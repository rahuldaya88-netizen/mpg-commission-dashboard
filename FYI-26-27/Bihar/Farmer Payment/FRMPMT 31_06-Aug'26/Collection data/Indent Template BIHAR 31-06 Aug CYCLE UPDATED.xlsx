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"/>
    </mc:Choice>
  </mc:AlternateContent>
  <xr:revisionPtr revIDLastSave="0" documentId="13_ncr:1_{42A9DD56-ADFE-41D6-8166-ACA4D2E573F9}" xr6:coauthVersionLast="47" xr6:coauthVersionMax="47" xr10:uidLastSave="{00000000-0000-0000-0000-000000000000}"/>
  <bookViews>
    <workbookView xWindow="-120" yWindow="-120" windowWidth="29040" windowHeight="15720" activeTab="1" xr2:uid="{35CFCF43-A8AA-4067-BB39-D69C68CCF199}"/>
  </bookViews>
  <sheets>
    <sheet name="Sheet2" sheetId="2" r:id="rId1"/>
    <sheet name="Indent" sheetId="1" r:id="rId2"/>
    <sheet name="Summary" sheetId="3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6" i="1" l="1"/>
  <c r="U192" i="1"/>
  <c r="Y166" i="1"/>
  <c r="Y167" i="1"/>
  <c r="Y168" i="1"/>
  <c r="Y169" i="1"/>
  <c r="Y170" i="1"/>
  <c r="Y171" i="1"/>
  <c r="Y172" i="1"/>
  <c r="Y173" i="1"/>
  <c r="Y175" i="1"/>
  <c r="Y176" i="1"/>
  <c r="Y178" i="1"/>
  <c r="Y179" i="1"/>
  <c r="Y180" i="1"/>
  <c r="Y183" i="1"/>
  <c r="Y184" i="1"/>
  <c r="Y185" i="1"/>
  <c r="Y186" i="1"/>
  <c r="Y187" i="1"/>
  <c r="Y188" i="1"/>
  <c r="Y165" i="1"/>
  <c r="X172" i="1"/>
  <c r="X171" i="1"/>
  <c r="X58" i="1"/>
  <c r="X57" i="1"/>
  <c r="X55" i="1"/>
  <c r="X53" i="1"/>
  <c r="X52" i="1"/>
  <c r="X51" i="1"/>
  <c r="X50" i="1"/>
  <c r="X21" i="1"/>
  <c r="X20" i="1"/>
  <c r="X8" i="1"/>
  <c r="X4" i="1"/>
  <c r="X3" i="1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F2" i="1"/>
  <c r="F3" i="1"/>
  <c r="F4" i="1"/>
  <c r="F5" i="1"/>
  <c r="F6" i="1"/>
  <c r="F165" i="1"/>
  <c r="F7" i="1"/>
  <c r="F166" i="1"/>
  <c r="F16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168" i="1"/>
  <c r="F169" i="1"/>
  <c r="F22" i="1"/>
  <c r="F23" i="1"/>
  <c r="F24" i="1"/>
  <c r="F25" i="1"/>
  <c r="F26" i="1"/>
  <c r="F27" i="1"/>
  <c r="F28" i="1"/>
  <c r="F29" i="1"/>
  <c r="F30" i="1"/>
  <c r="F31" i="1"/>
  <c r="F32" i="1"/>
  <c r="F33" i="1"/>
  <c r="F170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171" i="1"/>
  <c r="F51" i="1"/>
  <c r="F52" i="1"/>
  <c r="F53" i="1"/>
  <c r="F54" i="1"/>
  <c r="F55" i="1"/>
  <c r="F56" i="1"/>
  <c r="F57" i="1"/>
  <c r="F172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73" i="1"/>
  <c r="F100" i="1"/>
  <c r="F174" i="1"/>
  <c r="F175" i="1"/>
  <c r="F101" i="1"/>
  <c r="F102" i="1"/>
  <c r="F103" i="1"/>
  <c r="F104" i="1"/>
  <c r="F176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77" i="1"/>
  <c r="F128" i="1"/>
  <c r="F129" i="1"/>
  <c r="F130" i="1"/>
  <c r="F178" i="1"/>
  <c r="F179" i="1"/>
  <c r="F180" i="1"/>
  <c r="F181" i="1"/>
  <c r="F131" i="1"/>
  <c r="F132" i="1"/>
  <c r="F182" i="1"/>
  <c r="F133" i="1"/>
  <c r="F18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84" i="1"/>
  <c r="F147" i="1"/>
  <c r="F148" i="1"/>
  <c r="F149" i="1"/>
  <c r="F150" i="1"/>
  <c r="F151" i="1"/>
  <c r="F152" i="1"/>
  <c r="F153" i="1"/>
  <c r="F154" i="1"/>
  <c r="F155" i="1"/>
  <c r="F185" i="1"/>
  <c r="F188" i="1"/>
  <c r="F156" i="1"/>
  <c r="F157" i="1"/>
  <c r="F186" i="1"/>
  <c r="F158" i="1"/>
  <c r="F159" i="1"/>
  <c r="F160" i="1"/>
  <c r="F161" i="1"/>
  <c r="F187" i="1"/>
  <c r="F162" i="1"/>
  <c r="F163" i="1"/>
  <c r="F164" i="1"/>
  <c r="S16" i="1"/>
  <c r="S15" i="1"/>
  <c r="S14" i="1"/>
  <c r="S13" i="1"/>
  <c r="S12" i="1"/>
  <c r="S11" i="1"/>
  <c r="S10" i="1"/>
  <c r="Q16" i="1"/>
  <c r="Q15" i="1"/>
  <c r="Q14" i="1"/>
  <c r="Q13" i="1"/>
  <c r="Q12" i="1"/>
  <c r="Q11" i="1"/>
  <c r="Q10" i="1"/>
  <c r="O11" i="1"/>
  <c r="O12" i="1"/>
  <c r="O13" i="1"/>
  <c r="O14" i="1"/>
  <c r="O15" i="1"/>
  <c r="O16" i="1"/>
  <c r="O10" i="1"/>
  <c r="S144" i="1"/>
  <c r="S143" i="1"/>
  <c r="S138" i="1"/>
  <c r="S137" i="1"/>
  <c r="S189" i="1" l="1"/>
  <c r="T26" i="2" l="1"/>
  <c r="U189" i="1" l="1"/>
  <c r="U191" i="1" s="1"/>
  <c r="U194" i="1" s="1"/>
  <c r="U198" i="1" s="1"/>
  <c r="L158" i="2"/>
</calcChain>
</file>

<file path=xl/sharedStrings.xml><?xml version="1.0" encoding="utf-8"?>
<sst xmlns="http://schemas.openxmlformats.org/spreadsheetml/2006/main" count="7363" uniqueCount="1204">
  <si>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</si>
  <si>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</si>
  <si>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</si>
  <si>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</si>
  <si>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</si>
  <si>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</si>
  <si>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</si>
  <si>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</si>
  <si>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</si>
  <si>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</si>
  <si>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</si>
  <si>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</si>
  <si>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</si>
  <si>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</si>
  <si>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</si>
  <si>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</si>
  <si>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</si>
  <si>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</si>
  <si>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</si>
  <si>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</si>
  <si>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</si>
  <si>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</si>
  <si>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</si>
  <si>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0016</t>
  </si>
  <si>
    <t>Kalyanpur</t>
  </si>
  <si>
    <t>0007</t>
  </si>
  <si>
    <t>Saroj kumar</t>
  </si>
  <si>
    <t>Buff Spl 50 Kg</t>
  </si>
  <si>
    <t>Gomukh Paharpur</t>
  </si>
  <si>
    <t>Mahua BMC</t>
  </si>
  <si>
    <t>Gold 50 Kg</t>
  </si>
  <si>
    <t>Mithun Kumar</t>
  </si>
  <si>
    <t>DalsinghSarai</t>
  </si>
  <si>
    <t>ONLY DUE ADJUSTMENT</t>
  </si>
  <si>
    <t>0003</t>
  </si>
  <si>
    <t>DESUA</t>
  </si>
  <si>
    <t>Mordiba</t>
  </si>
  <si>
    <t>2 and unregistered farmer code</t>
  </si>
  <si>
    <t>0037</t>
  </si>
  <si>
    <t>0038</t>
  </si>
  <si>
    <t>0027</t>
  </si>
  <si>
    <t>Janganath Pur</t>
  </si>
  <si>
    <t>ANSHU KUMAR</t>
  </si>
  <si>
    <t>ARMAULI-2</t>
  </si>
  <si>
    <t>0107</t>
  </si>
  <si>
    <t>0009</t>
  </si>
  <si>
    <t>0014</t>
  </si>
  <si>
    <t>Gomukh Mordiwa East</t>
  </si>
  <si>
    <t>0149</t>
  </si>
  <si>
    <t>Bhatgama</t>
  </si>
  <si>
    <t>Balram Kumar</t>
  </si>
  <si>
    <t>GOMUKH BHARJA</t>
  </si>
  <si>
    <t>Gomukh Bharav</t>
  </si>
  <si>
    <t>0010</t>
  </si>
  <si>
    <t>0071</t>
  </si>
  <si>
    <t>0017</t>
  </si>
  <si>
    <t>0004</t>
  </si>
  <si>
    <t>0013</t>
  </si>
  <si>
    <t>0056</t>
  </si>
  <si>
    <t>GOMUKH SAKARI</t>
  </si>
  <si>
    <t>GOMUKH SHIVNAGAR</t>
  </si>
  <si>
    <t>GOMUKH JITWARIYA W-6</t>
  </si>
  <si>
    <t>0065</t>
  </si>
  <si>
    <t>Gomukh Ghosravan</t>
  </si>
  <si>
    <t>0005</t>
  </si>
  <si>
    <t>Liveferol 1LTR</t>
  </si>
  <si>
    <t>Methochelated Provical Forte 5L</t>
  </si>
  <si>
    <t>0034</t>
  </si>
  <si>
    <t>Liveferol 500 ml</t>
  </si>
  <si>
    <t>GOMUKH BAKHITIYARPUR</t>
  </si>
  <si>
    <t>RAMJEEVAN SHANDILYA</t>
  </si>
  <si>
    <t>Gomukh Punas</t>
  </si>
  <si>
    <t>GOMUKH HARPUR W-13</t>
  </si>
  <si>
    <t>0029</t>
  </si>
  <si>
    <t>0080</t>
  </si>
  <si>
    <t>GOMUKH JHAHURI</t>
  </si>
  <si>
    <t>0030</t>
  </si>
  <si>
    <t>0022</t>
  </si>
  <si>
    <t>0006</t>
  </si>
  <si>
    <t>0020</t>
  </si>
  <si>
    <t>GOMUKH DADHIYA-2</t>
  </si>
  <si>
    <t>0051</t>
  </si>
  <si>
    <t>Bestmin Gold 1.2 Kg</t>
  </si>
  <si>
    <t>0018</t>
  </si>
  <si>
    <t>0023</t>
  </si>
  <si>
    <t>0055</t>
  </si>
  <si>
    <t>0046</t>
  </si>
  <si>
    <t>Deepak Kumar</t>
  </si>
  <si>
    <t>Musrigharari</t>
  </si>
  <si>
    <t>Gomukh ID Sararanjan</t>
  </si>
  <si>
    <t>Harsingpur</t>
  </si>
  <si>
    <t>GOMUKH Khanpatti</t>
  </si>
  <si>
    <t>Amit Narayan</t>
  </si>
  <si>
    <t>Alauli</t>
  </si>
  <si>
    <t>0024</t>
  </si>
  <si>
    <t>GOMUKH CHANDPURA</t>
  </si>
  <si>
    <t>Bittu kumar</t>
  </si>
  <si>
    <t>Sahibpur Kamal</t>
  </si>
  <si>
    <t>Gomukh Bariyarpur</t>
  </si>
  <si>
    <t>Gomukh Bochaha</t>
  </si>
  <si>
    <t>0052</t>
  </si>
  <si>
    <t>Gomukh Dumduma</t>
  </si>
  <si>
    <t>Bestmin Gold 24 KG</t>
  </si>
  <si>
    <t>Matior</t>
  </si>
  <si>
    <t>Kacha - Amarjeet</t>
  </si>
  <si>
    <t>Gomukh Mahendrapur</t>
  </si>
  <si>
    <t>Matihani</t>
  </si>
  <si>
    <t>Prince Raj</t>
  </si>
  <si>
    <t>Gayghat</t>
  </si>
  <si>
    <t>GOMUKH TEERA JATMALPUR</t>
  </si>
  <si>
    <t>Jangli Tol Vlc</t>
  </si>
  <si>
    <t>MOHANPUR VLC</t>
  </si>
  <si>
    <t>Mathar-3</t>
  </si>
  <si>
    <t>GOMUKH SRINAGAR</t>
  </si>
  <si>
    <t>GOMUKH SUPOLTARIYA</t>
  </si>
  <si>
    <t>GOMUKH PARRI</t>
  </si>
  <si>
    <t>Mukesh kumar</t>
  </si>
  <si>
    <t>GOMUKH ASHRAPHA DIYARA</t>
  </si>
  <si>
    <t>GOMUKH BARGAMA</t>
  </si>
  <si>
    <t>0124</t>
  </si>
  <si>
    <t>GOMUKH Kalaunjar</t>
  </si>
  <si>
    <t>0044</t>
  </si>
  <si>
    <t>Bestmin Gold 6 KG</t>
  </si>
  <si>
    <t>GOMUKH HATHA</t>
  </si>
  <si>
    <t>0105</t>
  </si>
  <si>
    <t>GOMUKH PREMNAGAR</t>
  </si>
  <si>
    <t>0127</t>
  </si>
  <si>
    <t>0079</t>
  </si>
  <si>
    <t>GOMUKH BHASINGPUR</t>
  </si>
  <si>
    <t>0019</t>
  </si>
  <si>
    <t>Gomukh Durgapur</t>
  </si>
  <si>
    <t>GOMUKH Mathar</t>
  </si>
  <si>
    <t>Dumraon</t>
  </si>
  <si>
    <t>Pawat</t>
  </si>
  <si>
    <t>Barja</t>
  </si>
  <si>
    <t>GOMUKH BEHORBA</t>
  </si>
  <si>
    <t>Gomukh Jhaura Tabhka</t>
  </si>
  <si>
    <t>GOMUKH SHADIPUR</t>
  </si>
  <si>
    <t>0011</t>
  </si>
  <si>
    <t>GOMUKH BALTHARA</t>
  </si>
  <si>
    <t>0036</t>
  </si>
  <si>
    <t>GOMUKH BARBIGHI</t>
  </si>
  <si>
    <t>Gomukh Patsara</t>
  </si>
  <si>
    <t>Gomukh Madhopur</t>
  </si>
  <si>
    <t>Gomukha Jounapur</t>
  </si>
  <si>
    <t>0048</t>
  </si>
  <si>
    <t>Gomukh Khanua</t>
  </si>
  <si>
    <t>Gomukh Dighra</t>
  </si>
  <si>
    <t>GOMUKH Madanpur W-3</t>
  </si>
  <si>
    <t>Gomukh Bedauliya</t>
  </si>
  <si>
    <t>Gomukh Gopalpur</t>
  </si>
  <si>
    <t>Nagargama</t>
  </si>
  <si>
    <t>0002(oll cood)</t>
  </si>
  <si>
    <t>JHAKHRA</t>
  </si>
  <si>
    <t>Methochelated Provical Forte 1L</t>
  </si>
  <si>
    <t>GOMUKH MANIYARPUR</t>
  </si>
  <si>
    <t>0012</t>
  </si>
  <si>
    <t>0084</t>
  </si>
  <si>
    <t>Dagarua</t>
  </si>
  <si>
    <t>Gopalpur Bmc</t>
  </si>
  <si>
    <t>Bablu Kumar</t>
  </si>
  <si>
    <t>Asarganj</t>
  </si>
  <si>
    <t>Gomukh Fulhatta</t>
  </si>
  <si>
    <t>0049</t>
  </si>
  <si>
    <t>0096</t>
  </si>
  <si>
    <t>0094</t>
  </si>
  <si>
    <t>0045</t>
  </si>
  <si>
    <t>kHUTUNA</t>
  </si>
  <si>
    <t>GOMUKH ANDAHA</t>
  </si>
  <si>
    <t>Jitwarpur-Manisha</t>
  </si>
  <si>
    <t>RAGHUNATHPUR</t>
  </si>
  <si>
    <t>Chhatauna w-1</t>
  </si>
  <si>
    <t>Bhagwanpur</t>
  </si>
  <si>
    <t>GOMUKH GOBARSITTHA</t>
  </si>
  <si>
    <t>0074</t>
  </si>
  <si>
    <t>0097</t>
  </si>
  <si>
    <t>0100</t>
  </si>
  <si>
    <t>GOMUKH PARAN 2</t>
  </si>
  <si>
    <t>BHANDAR</t>
  </si>
  <si>
    <t>SANGRAMPUR</t>
  </si>
  <si>
    <t>LAKHAPUR</t>
  </si>
  <si>
    <t>PRATAPUR</t>
  </si>
  <si>
    <t>Rahimpur Pachkhutti</t>
  </si>
  <si>
    <t>0050</t>
  </si>
  <si>
    <t>0073</t>
  </si>
  <si>
    <t>Kunal Kumar</t>
  </si>
  <si>
    <t>GOMUKH VADEYA</t>
  </si>
  <si>
    <t>0095</t>
  </si>
  <si>
    <t>BELSANDI W-9</t>
  </si>
  <si>
    <t>0069</t>
  </si>
  <si>
    <t>USHRI</t>
  </si>
  <si>
    <t>Simra</t>
  </si>
  <si>
    <t>all code se</t>
  </si>
  <si>
    <t>2 all code se</t>
  </si>
  <si>
    <t>MISHRBIGHA</t>
  </si>
  <si>
    <t>LAKHANPUR</t>
  </si>
  <si>
    <t>BARIYARPUR</t>
  </si>
  <si>
    <t>Gomukh Birauli Khurd</t>
  </si>
  <si>
    <t>(oll coood 💯%Dedection</t>
  </si>
  <si>
    <t>0002(inderect)</t>
  </si>
  <si>
    <t>0002(oll cood defection</t>
  </si>
  <si>
    <t>0002(an rajister farmer</t>
  </si>
  <si>
    <t>0002(in Direct mpg)</t>
  </si>
  <si>
    <t>0002(An rajister)</t>
  </si>
  <si>
    <t>Gomukh CHANDAULI</t>
  </si>
  <si>
    <t>0081</t>
  </si>
  <si>
    <t>0063</t>
  </si>
  <si>
    <t>Sekhpura</t>
  </si>
  <si>
    <t>0000</t>
  </si>
  <si>
    <t>Gangauli dubha</t>
  </si>
  <si>
    <t>Rakshanagar</t>
  </si>
  <si>
    <t>Dulahpur</t>
  </si>
  <si>
    <t>Purvi dumari</t>
  </si>
  <si>
    <t>0088</t>
  </si>
  <si>
    <t>31-07-2026 to 06-08-2026</t>
  </si>
  <si>
    <t>GOMUKH CHATAUNA W-2</t>
  </si>
  <si>
    <t>GOMUKH HAYAGHAT WEST</t>
  </si>
  <si>
    <t>Mirjapur</t>
  </si>
  <si>
    <t>Sushil sir</t>
  </si>
  <si>
    <t>Singhchak</t>
  </si>
  <si>
    <t>Prashant kumar</t>
  </si>
  <si>
    <t>Gomukh Repura</t>
  </si>
  <si>
    <t>Laldiyara</t>
  </si>
  <si>
    <t>Deduction</t>
  </si>
  <si>
    <t>0008</t>
  </si>
  <si>
    <t>0150</t>
  </si>
  <si>
    <t>0294</t>
  </si>
  <si>
    <t>0306</t>
  </si>
  <si>
    <t>0282</t>
  </si>
  <si>
    <t>Type</t>
  </si>
  <si>
    <t>Direct</t>
  </si>
  <si>
    <t>Indirect</t>
  </si>
  <si>
    <t>(blank)</t>
  </si>
  <si>
    <t>Grand Total</t>
  </si>
  <si>
    <t>Direct Total</t>
  </si>
  <si>
    <t>Indirect Total</t>
  </si>
  <si>
    <t>(blank) Total</t>
  </si>
  <si>
    <t>Sum of Final Amount</t>
  </si>
  <si>
    <t>Total</t>
  </si>
  <si>
    <t>Remarks</t>
  </si>
  <si>
    <t>Id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</si>
  <si>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</si>
  <si>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</si>
  <si>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</si>
  <si>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</si>
  <si>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</si>
  <si>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</si>
  <si>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</si>
  <si>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</si>
  <si>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</si>
  <si>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</si>
  <si>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Advance</t>
  </si>
  <si>
    <t>Closing Reserve</t>
  </si>
  <si>
    <t>Stop Payment</t>
  </si>
  <si>
    <t>Stop Amount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</si>
  <si>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</si>
  <si>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</si>
  <si>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</si>
  <si>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</si>
  <si>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</si>
  <si>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</si>
  <si>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</si>
  <si>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</si>
  <si>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</si>
  <si>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</si>
  <si>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</si>
  <si>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</si>
  <si>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</si>
  <si>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</si>
  <si>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</si>
  <si>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</si>
  <si>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</si>
  <si>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</si>
  <si>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</si>
  <si>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</si>
  <si>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</si>
  <si>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</si>
  <si>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</si>
  <si>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</si>
  <si>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</si>
  <si>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</si>
  <si>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</si>
  <si>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</si>
  <si>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</si>
  <si>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</si>
  <si>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Yes</t>
  </si>
  <si>
    <t>Letter not received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</si>
  <si>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</si>
  <si>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</si>
  <si>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</si>
  <si>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</si>
  <si>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</si>
  <si>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</si>
  <si>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</si>
  <si>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</si>
  <si>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</si>
  <si>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</si>
  <si>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</si>
  <si>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PCB Deduction</t>
  </si>
  <si>
    <t>Manjhaul- Gulshan Kumar</t>
  </si>
  <si>
    <t>Khaira Manjhaul</t>
  </si>
  <si>
    <t>Mehda Shahpur</t>
  </si>
  <si>
    <t>Shri Bhairav Laxmipur</t>
  </si>
  <si>
    <t>Gomukh Akaha</t>
  </si>
  <si>
    <t>Gomukh Rajakpur</t>
  </si>
  <si>
    <t>Gomukh Mohanpur</t>
  </si>
  <si>
    <t>Gomukh Chakka</t>
  </si>
  <si>
    <t>Gamharia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</si>
  <si>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</si>
  <si>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</si>
  <si>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</si>
  <si>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</si>
  <si>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</si>
  <si>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</si>
  <si>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</si>
  <si>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</si>
  <si>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</si>
  <si>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</si>
  <si>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</si>
  <si>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</si>
  <si>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</si>
  <si>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</si>
  <si>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</si>
  <si>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</si>
  <si>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Release2</t>
  </si>
  <si>
    <t>Dumri 2</t>
  </si>
  <si>
    <t>Gomukh Jhakhaur</t>
  </si>
  <si>
    <t>Gomukh Virupur</t>
  </si>
  <si>
    <t xml:space="preserve">Biogas </t>
  </si>
  <si>
    <t xml:space="preserve">Gomukh Diyarapipariya                                                                               </t>
  </si>
  <si>
    <t>TAJPUR</t>
  </si>
  <si>
    <t>Release1</t>
  </si>
  <si>
    <t>CF OS &gt; 15 Day's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</si>
  <si>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</si>
  <si>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</si>
  <si>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</si>
  <si>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</si>
  <si>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</si>
  <si>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</si>
  <si>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</si>
  <si>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</si>
  <si>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</si>
  <si>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</si>
  <si>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</si>
  <si>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</si>
  <si>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</si>
  <si>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</si>
  <si>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</si>
  <si>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</si>
  <si>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</si>
  <si>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</si>
  <si>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</si>
  <si>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</si>
  <si>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</si>
  <si>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</si>
  <si>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</si>
  <si>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</si>
  <si>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G WOLIPUR</t>
  </si>
  <si>
    <t>REHUA 3</t>
  </si>
  <si>
    <t>BICHWAY</t>
  </si>
  <si>
    <t>MANOHARPUR</t>
  </si>
  <si>
    <t>HIRDANBIGHA</t>
  </si>
  <si>
    <t>KHUTAHA DIH C</t>
  </si>
  <si>
    <t>Gomukh SARAIBIGHA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</si>
  <si>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</si>
  <si>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</si>
  <si>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</si>
  <si>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</si>
  <si>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</si>
  <si>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</si>
  <si>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</si>
  <si>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</si>
  <si>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</si>
  <si>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</si>
  <si>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</si>
  <si>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</si>
  <si>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</si>
  <si>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</si>
  <si>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</si>
  <si>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</si>
  <si>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</si>
  <si>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</si>
  <si>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</si>
  <si>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</si>
  <si>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</si>
  <si>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</si>
  <si>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</si>
  <si>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</si>
  <si>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</si>
  <si>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</si>
  <si>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</si>
  <si>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</si>
  <si>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</si>
  <si>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</si>
  <si>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</si>
  <si>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</si>
  <si>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</si>
  <si>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</si>
  <si>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</si>
  <si>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</si>
  <si>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</si>
  <si>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</si>
  <si>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</si>
  <si>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</si>
  <si>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</si>
  <si>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</si>
  <si>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</si>
  <si>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</si>
  <si>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</si>
  <si>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</si>
  <si>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</si>
  <si>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</si>
  <si>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</si>
  <si>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</si>
  <si>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</si>
  <si>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</si>
  <si>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</si>
  <si>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</si>
  <si>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</si>
  <si>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</si>
  <si>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</si>
  <si>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</si>
  <si>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</si>
  <si>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</si>
  <si>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</si>
  <si>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</si>
  <si>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</si>
  <si>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</si>
  <si>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</si>
  <si>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</si>
  <si>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</si>
  <si>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</si>
  <si>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</si>
  <si>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</si>
  <si>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</si>
  <si>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</si>
  <si>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</si>
  <si>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</si>
  <si>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</si>
  <si>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</si>
  <si>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</si>
  <si>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</si>
  <si>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</si>
  <si>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</si>
  <si>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</si>
  <si>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</si>
  <si>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Abgil-2 - Sheshnath</t>
  </si>
  <si>
    <t>MALIYA</t>
  </si>
  <si>
    <t>MAHULIYA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</si>
  <si>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</si>
  <si>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</si>
  <si>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</si>
  <si>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</si>
  <si>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Fodder seed</t>
  </si>
  <si>
    <t>AKHA-KURHA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</si>
  <si>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</si>
  <si>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</si>
  <si>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</si>
  <si>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</si>
  <si>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</si>
  <si>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</si>
  <si>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</si>
  <si>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</si>
  <si>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</si>
  <si>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</si>
  <si>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</si>
  <si>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</si>
  <si>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</si>
  <si>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</si>
  <si>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</si>
  <si>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</si>
  <si>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</si>
  <si>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</si>
  <si>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</si>
  <si>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</si>
  <si>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BHITAKITA</t>
  </si>
  <si>
    <t>GOMUKH OJONTOLA</t>
  </si>
  <si>
    <t>KHUDDIBAN SHIVNAGAR</t>
  </si>
  <si>
    <t>MASUDAN</t>
  </si>
  <si>
    <t>GOMUKH BOHLA</t>
  </si>
  <si>
    <t>TOTAHA</t>
  </si>
  <si>
    <t>GOMUKH RAMPUR</t>
  </si>
  <si>
    <t>GOMUKH GAHILSTHAN</t>
  </si>
  <si>
    <t>Gomukh ID Araria</t>
  </si>
  <si>
    <t>Gomukh ID Chaidha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</si>
  <si>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</si>
  <si>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</si>
  <si>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</si>
  <si>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</si>
  <si>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</si>
  <si>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</si>
  <si>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</si>
  <si>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</si>
  <si>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</si>
  <si>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Navlolya                                                                                     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</si>
  <si>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</si>
  <si>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</si>
  <si>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</si>
  <si>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</si>
  <si>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</si>
  <si>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</si>
  <si>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>Letter not received UPI-229594455399</t>
  </si>
  <si>
    <t xml:space="preserve"> Gomukh Nauranga</t>
  </si>
  <si>
    <t>Gomukh Malpa Dhutauli VLC</t>
  </si>
  <si>
    <t>Gomukh Pakrail Vijay Nagar VLC</t>
  </si>
  <si>
    <t>Gomukh Godhiyasi Nayagow VLC</t>
  </si>
  <si>
    <t>Gomukh Bandehra Purbi</t>
  </si>
  <si>
    <t>Gomukh Tila Tol</t>
  </si>
  <si>
    <t>Gomukh Gulshan Kumar VLC</t>
  </si>
  <si>
    <t>Gomukh Purani Tola</t>
  </si>
  <si>
    <t>Gomukh Gogri VLC</t>
  </si>
  <si>
    <t>Gomukh Bari Chak Gogri</t>
  </si>
  <si>
    <t>Gomukh Khatha</t>
  </si>
  <si>
    <t>Gomukh Shailesh Yadav Vlc</t>
  </si>
  <si>
    <t>Gomukh Banni</t>
  </si>
  <si>
    <t>Chak Punervas</t>
  </si>
  <si>
    <t>Labherchak</t>
  </si>
  <si>
    <t>Gomukh Godhna</t>
  </si>
  <si>
    <t>Gomukh Sihma 2</t>
  </si>
  <si>
    <t>Gomukh ID Marsaito</t>
  </si>
  <si>
    <t>Gomukh ID Akashpur</t>
  </si>
  <si>
    <t>GomukhBariyahi Chanan</t>
  </si>
  <si>
    <t>GomukhGehuni</t>
  </si>
  <si>
    <t>Gomukh Bakhatpur</t>
  </si>
  <si>
    <t>Letter not received UPI- NA</t>
  </si>
  <si>
    <t>Ananaya Dairy</t>
  </si>
  <si>
    <t>Gomukh Bishanpur</t>
  </si>
  <si>
    <t>Letter not received UPI- 565050797773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</si>
  <si>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</si>
  <si>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</si>
  <si>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</si>
  <si>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</si>
  <si>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</si>
  <si>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</si>
  <si>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Letter not received UPI - 670328693875</t>
  </si>
  <si>
    <t>GOMUKH NONPUR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</si>
  <si>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</si>
  <si>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</si>
  <si>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</si>
  <si>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</si>
  <si>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</si>
  <si>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Letter not received UPI - 127325552139</t>
  </si>
  <si>
    <t>PAWAN RAY</t>
  </si>
  <si>
    <t>RAJ BHARDWAJ</t>
  </si>
  <si>
    <t>Gomukh Amarpur</t>
  </si>
  <si>
    <t>Prashant Kumar</t>
  </si>
  <si>
    <t>CHANDAN YADAV</t>
  </si>
  <si>
    <t>ANITA DEVI</t>
  </si>
  <si>
    <t>GOMUKH FATEHA SALEMPUR</t>
  </si>
  <si>
    <t>GOMUKH GEHUNI 2</t>
  </si>
  <si>
    <t>GOMUKH MALHIPUR</t>
  </si>
  <si>
    <t>Letter not received UPI-584061499420</t>
  </si>
  <si>
    <t>Rasalpur - Durgesh Kumar</t>
  </si>
  <si>
    <t>Barauni Bariyarpur</t>
  </si>
  <si>
    <t>Fateha - Anil Yadav</t>
  </si>
  <si>
    <t>Bihat - Chakballi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</si>
  <si>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</si>
  <si>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</si>
  <si>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</si>
  <si>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</si>
  <si>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</si>
  <si>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</si>
  <si>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</si>
  <si>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</si>
  <si>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</si>
  <si>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Shamar Kasha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</si>
  <si>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</si>
  <si>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</si>
  <si>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</si>
  <si>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</si>
  <si>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</si>
  <si>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</si>
  <si>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</si>
  <si>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</si>
  <si>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</si>
  <si>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</si>
  <si>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</si>
  <si>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</si>
  <si>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</si>
  <si>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</si>
  <si>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</si>
  <si>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</si>
  <si>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</si>
  <si>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</si>
  <si>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</si>
  <si>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</si>
  <si>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</si>
  <si>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</si>
  <si>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</si>
  <si>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</si>
  <si>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</si>
  <si>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</si>
  <si>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</si>
  <si>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</si>
  <si>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</si>
  <si>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</si>
  <si>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</si>
  <si>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</si>
  <si>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</si>
  <si>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</si>
  <si>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</si>
  <si>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</si>
  <si>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</si>
  <si>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</si>
  <si>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</si>
  <si>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</si>
  <si>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</si>
  <si>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</si>
  <si>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</si>
  <si>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</si>
  <si>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</si>
  <si>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</si>
  <si>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</si>
  <si>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</si>
  <si>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</si>
  <si>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</si>
  <si>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</si>
  <si>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</si>
  <si>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</si>
  <si>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</si>
  <si>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</si>
  <si>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</si>
  <si>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</si>
  <si>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</si>
  <si>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</si>
  <si>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</si>
  <si>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</si>
  <si>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</si>
  <si>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</si>
  <si>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</si>
  <si>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Bandehra</t>
  </si>
  <si>
    <t>Gomukh Rahempur</t>
  </si>
  <si>
    <t>Gomukh Baisa</t>
  </si>
  <si>
    <t>Gomukh Khutha VLC</t>
  </si>
  <si>
    <t>RaJu Kumar(MOR)</t>
  </si>
  <si>
    <t>Gomukh Lagar Wad-13 Vlc</t>
  </si>
  <si>
    <t>Gomukh Manish Vlc</t>
  </si>
  <si>
    <t>Gomukh Parbatta Vlc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</si>
  <si>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</si>
  <si>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</si>
  <si>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</si>
  <si>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</si>
  <si>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</si>
  <si>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</si>
  <si>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</si>
  <si>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</si>
  <si>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Kumar Chakki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</si>
  <si>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</si>
  <si>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</si>
  <si>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</si>
  <si>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</si>
  <si>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</si>
  <si>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</si>
  <si>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</si>
  <si>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</si>
  <si>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</si>
  <si>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</si>
  <si>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</si>
  <si>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Nista Tol</t>
  </si>
  <si>
    <t>GOMUKH THATHA</t>
  </si>
  <si>
    <t>Reserve payment due to type change</t>
  </si>
  <si>
    <t>GOMUKH SANHA NAYATOLA</t>
  </si>
  <si>
    <t>Gomukh Koniya</t>
  </si>
  <si>
    <t>GOMUKH ROHUA</t>
  </si>
  <si>
    <t>GOMUKH LAXMIPUR</t>
  </si>
  <si>
    <t>GOMUKH CHATAR</t>
  </si>
  <si>
    <t>GOMUKH BATHNAMA</t>
  </si>
  <si>
    <t>GOMUKH TILAK NAGAR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</si>
  <si>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</si>
  <si>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</si>
  <si>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</si>
  <si>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</si>
  <si>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</si>
  <si>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</si>
  <si>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</si>
  <si>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</si>
  <si>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</si>
  <si>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</si>
  <si>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</si>
  <si>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</si>
  <si>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</si>
  <si>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</si>
  <si>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</si>
  <si>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</si>
  <si>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</si>
  <si>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</si>
  <si>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</si>
  <si>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</si>
  <si>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</si>
  <si>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</si>
  <si>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</si>
  <si>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</si>
  <si>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</si>
  <si>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GOMUKH JANGLITOL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</si>
  <si>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</si>
  <si>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</si>
  <si>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</si>
  <si>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</si>
  <si>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</si>
  <si>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</si>
  <si>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</si>
  <si>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Mathar-4</t>
  </si>
  <si>
    <t>Sadpur-2</t>
  </si>
  <si>
    <t xml:space="preserve">Sastiri Nagar </t>
  </si>
  <si>
    <t>Baliya</t>
  </si>
  <si>
    <t>Krititola</t>
  </si>
  <si>
    <t>GOMUKH SUBHANPUR</t>
  </si>
  <si>
    <t>GOMUKH  BHAJANGAMA</t>
  </si>
  <si>
    <t>Gomukh Basadhiya Kurni</t>
  </si>
  <si>
    <t>KHAJURI</t>
  </si>
  <si>
    <t>MUSAPUR - 2</t>
  </si>
  <si>
    <t>Sato Ghachchhi</t>
  </si>
  <si>
    <t>Borna Rasalpur</t>
  </si>
  <si>
    <t>Narahan</t>
  </si>
  <si>
    <t>SUPOL</t>
  </si>
  <si>
    <t>BHUSARAI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</si>
  <si>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</si>
  <si>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</si>
  <si>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</si>
  <si>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</si>
  <si>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</si>
  <si>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TELGAMA</t>
  </si>
  <si>
    <t>GOMUKH TATARPUR</t>
  </si>
  <si>
    <t>Gomukh Ghataho</t>
  </si>
  <si>
    <t>Simri - Suman</t>
  </si>
  <si>
    <t>Narenpur</t>
  </si>
  <si>
    <t>Jagdispur</t>
  </si>
  <si>
    <t>Chaklal Sahi_Vikrant</t>
  </si>
  <si>
    <t>Sarhad-Subodh</t>
  </si>
  <si>
    <t>Suratpur</t>
  </si>
  <si>
    <t>Mahmmadipur</t>
  </si>
  <si>
    <t>Mithilanchal Dairy Products</t>
  </si>
  <si>
    <t>Gomukh Terganj</t>
  </si>
  <si>
    <t>Gomukh Chapra</t>
  </si>
  <si>
    <t>GOMUKH Chiranjipur</t>
  </si>
  <si>
    <t>Gomukh Sahu Tol</t>
  </si>
  <si>
    <t>Gomukh Belamegh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</si>
  <si>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</si>
  <si>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</si>
  <si>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</si>
  <si>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</si>
  <si>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</si>
  <si>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</si>
  <si>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</si>
  <si>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DADHIYA RAMKRISHANPUR</t>
  </si>
  <si>
    <t>GOMUKH Chakhale Dad</t>
  </si>
  <si>
    <t>Gomukh Simri</t>
  </si>
  <si>
    <t>GOMUKH BANGHARH KISHANPUR</t>
  </si>
  <si>
    <t>Gomukh Serpur Narsari</t>
  </si>
  <si>
    <t>PARORIYA</t>
  </si>
  <si>
    <t>Gomukha Rohua</t>
  </si>
  <si>
    <t>Gomukha Arniya Ganj</t>
  </si>
  <si>
    <t>Gomukha Vishanupatti II</t>
  </si>
  <si>
    <t>Gomukh Khesarhiya</t>
  </si>
  <si>
    <t>Gomukh ID Mahathi</t>
  </si>
  <si>
    <t>MURTUJAPUR</t>
  </si>
  <si>
    <t>Gomukh VISHNUPATTI</t>
  </si>
  <si>
    <t xml:space="preserve">Chhuchhipur               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</si>
  <si>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</si>
  <si>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</si>
  <si>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</si>
  <si>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</si>
  <si>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Jahangipur Salkhanni</t>
  </si>
  <si>
    <t>Songar</t>
  </si>
  <si>
    <t>Rampur Maheshpur</t>
  </si>
  <si>
    <t>Godhiyari</t>
  </si>
  <si>
    <t>Hussainipur Gobindpur</t>
  </si>
  <si>
    <t>Jhakhra-Rambilash</t>
  </si>
  <si>
    <t>Chakmilki</t>
  </si>
  <si>
    <t>Nauachak-Pankaj</t>
  </si>
  <si>
    <t>Gomukh Sirdulpur 2</t>
  </si>
  <si>
    <t>Gomukh Patepur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</si>
  <si>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</si>
  <si>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</si>
  <si>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</si>
  <si>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</si>
  <si>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</si>
  <si>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</si>
  <si>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</si>
  <si>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NAUACHAUK W-04</t>
  </si>
  <si>
    <t>Gomukh Morwa Mohanpur</t>
  </si>
  <si>
    <t>GOMUKH Laguniya</t>
  </si>
  <si>
    <t>GOMUKH MAHINDWARA</t>
  </si>
  <si>
    <t>GOMUKH MISHRAULIA</t>
  </si>
  <si>
    <t>GOMUKH Bhagwatpur East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</si>
  <si>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</si>
  <si>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</si>
  <si>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</si>
  <si>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</si>
  <si>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</si>
  <si>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</si>
  <si>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</si>
  <si>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</si>
  <si>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</si>
  <si>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</si>
  <si>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</si>
  <si>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</si>
  <si>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</si>
  <si>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</si>
  <si>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</si>
  <si>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</si>
  <si>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Dharauli</t>
  </si>
  <si>
    <t>Letter not received UPI-167180055228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</si>
  <si>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</si>
  <si>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</si>
  <si>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</si>
  <si>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</si>
  <si>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</si>
  <si>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</si>
  <si>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</si>
  <si>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</si>
  <si>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</si>
  <si>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</si>
  <si>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</si>
  <si>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Gomukh Ekauni Karuwaj</t>
  </si>
  <si>
    <t>Letter not received UPI-379759927968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</si>
  <si>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</si>
  <si>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</si>
  <si>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</si>
  <si>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</si>
  <si>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</si>
  <si>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</si>
  <si>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</si>
  <si>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</si>
  <si>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</si>
  <si>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</si>
  <si>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</si>
  <si>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</si>
  <si>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</si>
  <si>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</si>
  <si>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</si>
  <si>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</si>
  <si>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</si>
  <si>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</si>
  <si>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</si>
  <si>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</si>
  <si>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</si>
  <si>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</si>
  <si>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</si>
  <si>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</si>
  <si>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</si>
  <si>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</si>
  <si>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</si>
  <si>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</si>
  <si>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</si>
  <si>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</si>
  <si>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</si>
  <si>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</si>
  <si>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</si>
  <si>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</si>
  <si>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</si>
  <si>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</si>
  <si>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</si>
  <si>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</si>
  <si>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</si>
  <si>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</si>
  <si>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</si>
  <si>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</si>
  <si>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</si>
  <si>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</si>
  <si>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</si>
  <si>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</si>
  <si>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</si>
  <si>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</si>
  <si>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</si>
  <si>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</si>
  <si>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</si>
  <si>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</si>
  <si>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</si>
  <si>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</si>
  <si>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</si>
  <si>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</si>
  <si>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</si>
  <si>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</si>
  <si>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</si>
  <si>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Tulsipur Jamunia VLC</t>
  </si>
  <si>
    <t>Gomukh Mohanpur  VLC</t>
  </si>
  <si>
    <t>Gomukh Abhirampur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</si>
  <si>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</si>
  <si>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</si>
  <si>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</si>
  <si>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</si>
  <si>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</si>
  <si>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</si>
  <si>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</si>
  <si>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45000/-'Deduction Againt Assets</t>
  </si>
  <si>
    <t>Gomukh Gograha Tola</t>
  </si>
  <si>
    <t>Gomukh Singhiya</t>
  </si>
  <si>
    <t xml:space="preserve">Gomukh BALHA </t>
  </si>
  <si>
    <t>Gomukh Namapur 2</t>
  </si>
  <si>
    <t>Gomukh Kalyanpur East</t>
  </si>
  <si>
    <t>Gomukh Bazidpur</t>
  </si>
  <si>
    <t>Gomukh Belsandi</t>
  </si>
  <si>
    <t>Gomukh Namapur Ward 8</t>
  </si>
  <si>
    <t>Belsandi</t>
  </si>
  <si>
    <t>Gomukh Belsandi East</t>
  </si>
  <si>
    <t>Gomukh Belsandi West Tola</t>
  </si>
  <si>
    <t>Gomukh Harpur</t>
  </si>
  <si>
    <t>Gomukh Loharkha</t>
  </si>
  <si>
    <t>Basuwari</t>
  </si>
  <si>
    <t>Belsandi 3</t>
  </si>
  <si>
    <t>Gomukh Bhagwanpur</t>
  </si>
  <si>
    <t>Gomukh PARAN</t>
  </si>
  <si>
    <t>GOMUKH MILKI</t>
  </si>
  <si>
    <t>Gomukh Ratwara</t>
  </si>
  <si>
    <t>Gomukh Fulhara</t>
  </si>
  <si>
    <t>Gomukh Ranitola</t>
  </si>
  <si>
    <t>Gomukh Malinagar East</t>
  </si>
  <si>
    <t>GOMUKH Singhiya Ward 11</t>
  </si>
  <si>
    <t>GOMUKH DIGHRA W-6</t>
  </si>
  <si>
    <t>GOMUKH BANDRA W-6</t>
  </si>
  <si>
    <t>GOMUKH KHARAGPUR</t>
  </si>
  <si>
    <t>KAMARGAMA</t>
  </si>
  <si>
    <t>GOMUKH BALAHA W-9</t>
  </si>
  <si>
    <t>Gomukh Namapur East (08)</t>
  </si>
  <si>
    <t>Jitwariya W-11</t>
  </si>
  <si>
    <t>Pastara Lakshman</t>
  </si>
  <si>
    <t>GOMUKH SUSTA</t>
  </si>
  <si>
    <t>DIH LAHI</t>
  </si>
  <si>
    <t>BHATGAMA W-5</t>
  </si>
  <si>
    <t>GOMUKH TOKE</t>
  </si>
  <si>
    <t xml:space="preserve">Gomukh Bhagwanpur East </t>
  </si>
  <si>
    <t>GOMUKH NAWABGANJ</t>
  </si>
  <si>
    <t>GOMUKH CHAKKI</t>
  </si>
  <si>
    <t>GOMUKH LAKSHMAN NAGAR</t>
  </si>
  <si>
    <t>GOMUKH KOTHIYA</t>
  </si>
  <si>
    <t>Belsandi Dihtola</t>
  </si>
  <si>
    <t>GOMUKH Keotsa</t>
  </si>
  <si>
    <t>Gomukh Namapur East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</si>
  <si>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</si>
  <si>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</si>
  <si>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</si>
  <si>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</si>
  <si>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</si>
  <si>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</si>
  <si>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</si>
  <si>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</si>
  <si>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</si>
  <si>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GADBANNI</t>
  </si>
  <si>
    <t>GOMUKH GORIYAMI</t>
  </si>
  <si>
    <t>Letter not received / 'CF OS &gt; 15 Day's</t>
  </si>
  <si>
    <t>GOMUKH BHIKHARI GHAT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</si>
  <si>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</si>
  <si>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</si>
  <si>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</si>
  <si>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</si>
  <si>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</si>
  <si>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</si>
  <si>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</si>
  <si>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</si>
  <si>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</si>
  <si>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</si>
  <si>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</si>
  <si>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</si>
  <si>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</si>
  <si>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</si>
  <si>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</si>
  <si>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</si>
  <si>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</si>
  <si>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</si>
  <si>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</si>
  <si>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</si>
  <si>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</si>
  <si>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</si>
  <si>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</si>
  <si>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Jailakh Abhiman</t>
  </si>
  <si>
    <t>Gomukh Pokhara</t>
  </si>
  <si>
    <t>Gomukh Chhilkauri</t>
  </si>
  <si>
    <t>Gomukh Gidhha</t>
  </si>
  <si>
    <t>Ahok VLC</t>
  </si>
  <si>
    <t>Budhaura VLC</t>
  </si>
  <si>
    <t>Budhaura VLC 2</t>
  </si>
  <si>
    <t>Gomukh Piparpatitola</t>
  </si>
  <si>
    <t>Machhara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</si>
  <si>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</si>
  <si>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</si>
  <si>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</si>
  <si>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</si>
  <si>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</si>
  <si>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</si>
  <si>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</si>
  <si>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</si>
  <si>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</si>
  <si>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</si>
  <si>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Pansalwa</t>
  </si>
  <si>
    <t>Gomukh Nawada</t>
  </si>
  <si>
    <t>Gomukh Yadav Tol Kanauli</t>
  </si>
  <si>
    <t>Gomukh Hardia</t>
  </si>
  <si>
    <t>Hold by Pandari Sir</t>
  </si>
  <si>
    <t>Gomukh Ashatol Paharpur</t>
  </si>
  <si>
    <t>Gomukh Kharawa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</si>
  <si>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</si>
  <si>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</si>
  <si>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</si>
  <si>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</si>
  <si>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</si>
  <si>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</si>
  <si>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</si>
  <si>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</si>
  <si>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</si>
  <si>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</si>
  <si>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</si>
  <si>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</si>
  <si>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</si>
  <si>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Gomukh Saraiya Wad -5 Vlc</t>
  </si>
  <si>
    <t>Gomukh Koila</t>
  </si>
  <si>
    <t>Gomukh Aakash Milk And Milk Producers.company</t>
  </si>
  <si>
    <t>Gomukh Paharpur Vlc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</si>
  <si>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</si>
  <si>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</si>
  <si>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</si>
  <si>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</si>
  <si>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</si>
  <si>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</si>
  <si>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</si>
  <si>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Dewanpur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</si>
  <si>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</si>
  <si>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</si>
  <si>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</si>
  <si>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</si>
  <si>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</si>
  <si>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</si>
  <si>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</si>
  <si>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 2</t>
  </si>
  <si>
    <t>Hajpurwa</t>
  </si>
  <si>
    <t>Hold by Amardeep</t>
  </si>
  <si>
    <t>Shekhopur</t>
  </si>
  <si>
    <t>Pauriya 2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</si>
  <si>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</si>
  <si>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</si>
  <si>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</si>
  <si>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</si>
  <si>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</si>
  <si>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</si>
  <si>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</si>
  <si>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</si>
  <si>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</si>
  <si>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</si>
  <si>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</si>
  <si>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</si>
  <si>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</si>
  <si>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</si>
  <si>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</si>
  <si>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</si>
  <si>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</si>
  <si>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</si>
  <si>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Kadarchak 2</t>
  </si>
  <si>
    <t>Madhopur Dih</t>
  </si>
  <si>
    <t>Alampur</t>
  </si>
  <si>
    <t>Satmalpur Pachim</t>
  </si>
  <si>
    <t>Ganopur</t>
  </si>
  <si>
    <t>Ratanpur</t>
  </si>
  <si>
    <t>Ratanpur 2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</si>
  <si>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</si>
  <si>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</si>
  <si>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</si>
  <si>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</si>
  <si>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</si>
  <si>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</si>
  <si>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</si>
  <si>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</si>
  <si>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</si>
  <si>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</si>
  <si>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</si>
  <si>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</si>
  <si>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</si>
  <si>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</si>
  <si>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</si>
  <si>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</si>
  <si>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</si>
  <si>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Gomukh Baliyar</t>
  </si>
  <si>
    <t>DIGHOI</t>
  </si>
  <si>
    <t>GOPALPUR</t>
  </si>
  <si>
    <t>NARMDA</t>
  </si>
  <si>
    <t>AMRATH</t>
  </si>
  <si>
    <t>PUTERIA</t>
  </si>
  <si>
    <t>BAGWANA</t>
  </si>
  <si>
    <t>REWATA</t>
  </si>
  <si>
    <t>GOMUKH DAND</t>
  </si>
  <si>
    <t>Gomukh Karisath</t>
  </si>
  <si>
    <t>Gomukh Ama</t>
  </si>
  <si>
    <t>Gomukh Pawat</t>
  </si>
  <si>
    <t>Letter not received UPI-004059678412</t>
  </si>
  <si>
    <t>Gomukh Barja</t>
  </si>
  <si>
    <t>Gomukh Ramdihra</t>
  </si>
  <si>
    <t>Gomukh Bara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</si>
  <si>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</si>
  <si>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</si>
  <si>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</si>
  <si>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</si>
  <si>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</si>
  <si>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</si>
  <si>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Bhagwatpur</t>
  </si>
  <si>
    <t>GOMUKH JIRWARA</t>
  </si>
  <si>
    <t>GOMUKH Karhatiya</t>
  </si>
  <si>
    <t>GOMUKH Bheraukhara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</si>
  <si>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</si>
  <si>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</si>
  <si>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</si>
  <si>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</si>
  <si>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</si>
  <si>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</si>
  <si>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</si>
  <si>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</si>
  <si>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</si>
  <si>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</si>
  <si>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</si>
  <si>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</si>
  <si>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</si>
  <si>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KHARIKA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</si>
  <si>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</si>
  <si>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</si>
  <si>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</si>
  <si>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</si>
  <si>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</si>
  <si>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</si>
  <si>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</si>
  <si>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BAJITPUR</t>
  </si>
  <si>
    <t>GOMUKH SHAHPUR TOI</t>
  </si>
  <si>
    <t>GOMUKH SUPAYAN</t>
  </si>
  <si>
    <t>GOMUKH RAJAPAKAR PURBI</t>
  </si>
  <si>
    <t>GOMUKH SAIDPUR</t>
  </si>
  <si>
    <t>Karua</t>
  </si>
  <si>
    <t>Murli</t>
  </si>
  <si>
    <t>Nauapokhar</t>
  </si>
  <si>
    <t>Erout 2</t>
  </si>
  <si>
    <t>Parsuram</t>
  </si>
  <si>
    <t>Sedukha</t>
  </si>
  <si>
    <t>Madhuban 2</t>
  </si>
  <si>
    <t>Yadav Jee</t>
  </si>
  <si>
    <t>Durgaashtan 2</t>
  </si>
  <si>
    <t xml:space="preserve">Durgaashtan </t>
  </si>
  <si>
    <t>Motipur</t>
  </si>
  <si>
    <t>Gudarghat Nitish</t>
  </si>
  <si>
    <t>Bhatandi</t>
  </si>
  <si>
    <t>Haripur</t>
  </si>
  <si>
    <t>Kajidumra</t>
  </si>
  <si>
    <t>Bhoraha</t>
  </si>
  <si>
    <t>Dharha</t>
  </si>
  <si>
    <t>Tolapur Erout</t>
  </si>
  <si>
    <t>Fatepur 2</t>
  </si>
  <si>
    <t>Shivram</t>
  </si>
  <si>
    <t>Sonupur</t>
  </si>
  <si>
    <t>Jahangirpur</t>
  </si>
  <si>
    <t>Tolapur Durgasthan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</si>
  <si>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</si>
  <si>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</si>
  <si>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</si>
  <si>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</si>
  <si>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</si>
  <si>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</si>
  <si>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</si>
  <si>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</si>
  <si>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</si>
  <si>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</si>
  <si>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</si>
  <si>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</si>
  <si>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</si>
  <si>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</si>
  <si>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</si>
  <si>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</si>
  <si>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</si>
  <si>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</si>
  <si>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Sakh Mohan</t>
  </si>
  <si>
    <t>GOMUKH UGHRA</t>
  </si>
  <si>
    <t>GOMUKH BALUAHA</t>
  </si>
  <si>
    <t>GOMUKH DHAB WEST</t>
  </si>
  <si>
    <t>GOMUKH GHOGHARAHA</t>
  </si>
  <si>
    <t>Gomukh Jatmalpur Dhab</t>
  </si>
  <si>
    <t>GOMUKH MORWARA</t>
  </si>
  <si>
    <t>GOMUKH SABAUL</t>
  </si>
  <si>
    <t>GOMUKH NIYAMCHAKHAIDAR</t>
  </si>
  <si>
    <t>GOMUKH JATMAPUR WARD 1</t>
  </si>
  <si>
    <t>GOMUKH JATMALPUR</t>
  </si>
  <si>
    <t>GOMUKH PURUSHOTTAMPUR WEST</t>
  </si>
  <si>
    <t>Gomukh Barhetta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</si>
  <si>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</si>
  <si>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</si>
  <si>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</si>
  <si>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</si>
  <si>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</si>
  <si>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</si>
  <si>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</si>
  <si>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</si>
  <si>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Total:</t>
  </si>
  <si>
    <t>Majhaul</t>
  </si>
  <si>
    <t>Hasanpur</t>
  </si>
  <si>
    <t>Sonvarsha</t>
  </si>
  <si>
    <t>Chautham</t>
  </si>
  <si>
    <t>Parbatta</t>
  </si>
  <si>
    <t>Teghra</t>
  </si>
  <si>
    <t>Halsi</t>
  </si>
  <si>
    <t xml:space="preserve">Alauli </t>
  </si>
  <si>
    <t>Singhia BMC</t>
  </si>
  <si>
    <t>3P Network</t>
  </si>
  <si>
    <t>Gaighat</t>
  </si>
  <si>
    <t>Rosera</t>
  </si>
  <si>
    <t>Warisnagar</t>
  </si>
  <si>
    <t>19. 31-06 Aug</t>
  </si>
  <si>
    <t>indent</t>
  </si>
  <si>
    <t>OS1</t>
  </si>
  <si>
    <t>OS2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</si>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</sst>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Calibri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8" borderId="12" applyNumberFormat="0" applyFont="0" applyAlignment="0" applyProtection="0"/>
    <xf numFmtId="43" fontId="10" fillId="0" borderId="0" applyFont="0" applyFill="0" applyBorder="0" applyAlignment="0" applyProtection="0"/>
  </cellStyleXfs>
  <cellXfs count="127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6" xfId="0" quotePrefix="1" applyFont="1" applyBorder="1" applyAlignment="1">
      <alignment horizontal="right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2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22" fontId="2" fillId="4" borderId="5" xfId="0" applyNumberFormat="1" applyFont="1" applyFill="1" applyBorder="1" applyAlignment="1">
      <alignment horizontal="right" vertical="center" wrapText="1"/>
    </xf>
    <xf numFmtId="22" fontId="2" fillId="5" borderId="5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14" fontId="2" fillId="5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right" wrapText="1"/>
    </xf>
    <xf numFmtId="0" fontId="8" fillId="5" borderId="1" xfId="0" applyFont="1" applyFill="1" applyBorder="1" applyAlignment="1">
      <alignment horizontal="right" wrapText="1"/>
    </xf>
    <xf numFmtId="0" fontId="8" fillId="4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1" fontId="4" fillId="0" borderId="1" xfId="0" applyNumberFormat="1" applyFont="1" applyBorder="1" applyAlignment="1">
      <alignment horizontal="right"/>
    </xf>
    <xf numFmtId="0" fontId="2" fillId="4" borderId="8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0" fillId="0" borderId="0" xfId="0" pivotButton="1"/>
    <xf numFmtId="0" fontId="9" fillId="6" borderId="10" xfId="0" applyFont="1" applyFill="1" applyBorder="1"/>
    <xf numFmtId="0" fontId="9" fillId="0" borderId="0" xfId="0" applyFont="1"/>
    <xf numFmtId="1" fontId="0" fillId="0" borderId="0" xfId="0" applyNumberFormat="1"/>
    <xf numFmtId="0" fontId="9" fillId="0" borderId="10" xfId="0" applyFont="1" applyBorder="1"/>
    <xf numFmtId="0" fontId="9" fillId="0" borderId="11" xfId="0" applyFont="1" applyBorder="1"/>
    <xf numFmtId="0" fontId="8" fillId="5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1" fontId="6" fillId="0" borderId="8" xfId="0" applyNumberFormat="1" applyFont="1" applyBorder="1" applyAlignment="1">
      <alignment horizontal="right"/>
    </xf>
    <xf numFmtId="1" fontId="9" fillId="0" borderId="11" xfId="0" applyNumberFormat="1" applyFont="1" applyBorder="1"/>
    <xf numFmtId="1" fontId="3" fillId="2" borderId="6" xfId="0" applyNumberFormat="1" applyFont="1" applyFill="1" applyBorder="1" applyAlignment="1">
      <alignment vertical="center"/>
    </xf>
    <xf numFmtId="1" fontId="0" fillId="0" borderId="6" xfId="0" applyNumberFormat="1" applyBorder="1"/>
    <xf numFmtId="1" fontId="3" fillId="2" borderId="9" xfId="0" applyNumberFormat="1" applyFont="1" applyFill="1" applyBorder="1" applyAlignment="1">
      <alignment vertical="center"/>
    </xf>
    <xf numFmtId="1" fontId="7" fillId="4" borderId="6" xfId="0" applyNumberFormat="1" applyFont="1" applyFill="1" applyBorder="1" applyAlignment="1">
      <alignment vertical="center" wrapText="1"/>
    </xf>
    <xf numFmtId="1" fontId="7" fillId="5" borderId="6" xfId="0" applyNumberFormat="1" applyFont="1" applyFill="1" applyBorder="1" applyAlignment="1">
      <alignment vertical="center" wrapText="1"/>
    </xf>
    <xf numFmtId="1" fontId="7" fillId="5" borderId="9" xfId="0" applyNumberFormat="1" applyFont="1" applyFill="1" applyBorder="1" applyAlignment="1">
      <alignment vertical="center" wrapText="1"/>
    </xf>
    <xf numFmtId="1" fontId="0" fillId="7" borderId="0" xfId="0" applyNumberFormat="1" applyFill="1"/>
    <xf numFmtId="43" fontId="9" fillId="9" borderId="1" xfId="4" applyFont="1" applyFill="1" applyBorder="1" applyAlignment="1">
      <alignment horizontal="center" vertical="center" wrapText="1"/>
    </xf>
    <xf numFmtId="43" fontId="9" fillId="9" borderId="1" xfId="4" applyFont="1" applyFill="1" applyBorder="1" applyAlignment="1">
      <alignment horizontal="left" vertical="center" wrapText="1"/>
    </xf>
    <xf numFmtId="43" fontId="9" fillId="10" borderId="1" xfId="4" applyFont="1" applyFill="1" applyBorder="1" applyAlignment="1">
      <alignment horizontal="center" vertical="center" wrapText="1"/>
    </xf>
    <xf numFmtId="43" fontId="9" fillId="11" borderId="1" xfId="4" applyFont="1" applyFill="1" applyBorder="1" applyAlignment="1">
      <alignment horizontal="center" vertical="center" wrapText="1"/>
    </xf>
    <xf numFmtId="43" fontId="9" fillId="12" borderId="13" xfId="4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9" fillId="1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6" fontId="10" fillId="11" borderId="3" xfId="4" applyNumberFormat="1" applyFont="1" applyFill="1" applyBorder="1" applyAlignment="1">
      <alignment horizontal="center" vertical="center"/>
    </xf>
    <xf numFmtId="166" fontId="0" fillId="11" borderId="3" xfId="0" applyNumberFormat="1" applyFill="1" applyBorder="1"/>
    <xf numFmtId="166" fontId="11" fillId="8" borderId="12" xfId="3" applyNumberFormat="1" applyFont="1" applyAlignment="1">
      <alignment horizontal="center"/>
    </xf>
    <xf numFmtId="166" fontId="12" fillId="0" borderId="1" xfId="1" applyNumberFormat="1" applyFont="1" applyBorder="1" applyAlignment="1">
      <alignment horizontal="center" vertical="center"/>
    </xf>
    <xf numFmtId="0" fontId="0" fillId="0" borderId="1" xfId="0" quotePrefix="1" applyBorder="1"/>
    <xf numFmtId="0" fontId="0" fillId="0" borderId="14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7" borderId="1" xfId="1" applyFont="1" applyFill="1" applyBorder="1" applyAlignment="1">
      <alignment horizontal="center"/>
    </xf>
    <xf numFmtId="167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center"/>
    </xf>
    <xf numFmtId="166" fontId="0" fillId="7" borderId="1" xfId="1" applyNumberFormat="1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6" fontId="13" fillId="0" borderId="1" xfId="1" applyNumberFormat="1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43" fontId="0" fillId="0" borderId="1" xfId="0" applyNumberFormat="1" applyBorder="1"/>
    <xf numFmtId="0" fontId="9" fillId="14" borderId="1" xfId="0" applyFont="1" applyFill="1" applyBorder="1" applyAlignment="1">
      <alignment horizontal="center"/>
    </xf>
    <xf numFmtId="0" fontId="9" fillId="14" borderId="1" xfId="0" applyFont="1" applyFill="1" applyBorder="1"/>
    <xf numFmtId="1" fontId="9" fillId="14" borderId="1" xfId="0" applyNumberFormat="1" applyFont="1" applyFill="1" applyBorder="1" applyAlignment="1">
      <alignment horizontal="center"/>
    </xf>
    <xf numFmtId="166" fontId="9" fillId="14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6" fontId="0" fillId="0" borderId="1" xfId="1" applyNumberFormat="1" applyFont="1" applyBorder="1"/>
    <xf numFmtId="0" fontId="0" fillId="0" borderId="15" xfId="0" applyBorder="1"/>
    <xf numFmtId="43" fontId="0" fillId="0" borderId="0" xfId="0" applyNumberFormat="1"/>
  </cellXfs>
  <cellStyles count="5">
    <cellStyle name="Comma" xfId="1" builtinId="3"/>
    <cellStyle name="Comma 2" xfId="4" xr:uid="{70A04409-FEB4-41E3-963A-04265B31E6BC}"/>
    <cellStyle name="Normal" xfId="0" builtinId="0"/>
    <cellStyle name="Note" xfId="3" builtinId="10"/>
    <cellStyle name="Percent" xfId="2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D630E602-0420-4C9A-99B9-EABCB8ADC3ED}">
      <tableStyleElement type="wholeTable" size="0" dxfId="64"/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9.%20Farmer%20Payment-31-06%20Aug.xlsb" TargetMode="External"/><Relationship Id="rId2" Type="http://schemas.openxmlformats.org/officeDocument/2006/relationships/externalLinkPath" Target="file:///C:\Users\rahul\Desktop\Rahul%20Backup\Farmer%20Payment\FYI-26-27\Bihar\Farmer%20Payment\FRMPMT%2031_06-Aug'26\19.%20Farmer%20Payment-31-06%20Aug.xlsb" TargetMode="External"/><Relationship Id="rId1" Type="http://schemas.openxmlformats.org/officeDocument/2006/relationships/externalLinkPath" Target="/Users/rahul/Desktop/Rahul%20Backup/Farmer%20Payment/FYI-26-27/Bihar/Farmer%20Payment/FRMPMT%2031_06-Aug'26/19.%20Farmer%20Payment-31-06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1.3599999999999999</v>
          </cell>
          <cell r="I3">
            <v>52.080000000000013</v>
          </cell>
          <cell r="J3">
            <v>0</v>
          </cell>
          <cell r="K3">
            <v>52.080000000000013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83.89</v>
          </cell>
          <cell r="I4">
            <v>3191.7299999999996</v>
          </cell>
          <cell r="J4">
            <v>0</v>
          </cell>
          <cell r="K4">
            <v>0</v>
          </cell>
          <cell r="M4">
            <v>0</v>
          </cell>
          <cell r="P4">
            <v>3192</v>
          </cell>
          <cell r="V4" t="str">
            <v>Available</v>
          </cell>
        </row>
        <row r="5">
          <cell r="E5">
            <v>10010013</v>
          </cell>
          <cell r="H5">
            <v>67.100000000000009</v>
          </cell>
          <cell r="I5">
            <v>2580.0899999999997</v>
          </cell>
          <cell r="J5">
            <v>0</v>
          </cell>
          <cell r="K5">
            <v>0</v>
          </cell>
          <cell r="M5">
            <v>0</v>
          </cell>
          <cell r="P5">
            <v>2580</v>
          </cell>
          <cell r="V5" t="str">
            <v>Available</v>
          </cell>
        </row>
        <row r="6">
          <cell r="E6">
            <v>10010013</v>
          </cell>
          <cell r="H6">
            <v>8.379999999999999</v>
          </cell>
          <cell r="I6">
            <v>309.34000000000003</v>
          </cell>
          <cell r="J6">
            <v>0</v>
          </cell>
          <cell r="K6">
            <v>0</v>
          </cell>
          <cell r="M6">
            <v>0</v>
          </cell>
          <cell r="P6">
            <v>309</v>
          </cell>
          <cell r="V6" t="str">
            <v>Available</v>
          </cell>
        </row>
        <row r="7">
          <cell r="E7">
            <v>10010013</v>
          </cell>
          <cell r="H7">
            <v>8.73</v>
          </cell>
          <cell r="I7">
            <v>330.02</v>
          </cell>
          <cell r="J7">
            <v>0</v>
          </cell>
          <cell r="K7">
            <v>0</v>
          </cell>
          <cell r="M7">
            <v>0</v>
          </cell>
          <cell r="P7">
            <v>330</v>
          </cell>
          <cell r="V7" t="str">
            <v>Available</v>
          </cell>
        </row>
        <row r="8">
          <cell r="E8">
            <v>10010013</v>
          </cell>
          <cell r="H8">
            <v>13.459999999999999</v>
          </cell>
          <cell r="I8">
            <v>517.66</v>
          </cell>
          <cell r="J8">
            <v>0</v>
          </cell>
          <cell r="K8">
            <v>0</v>
          </cell>
          <cell r="M8">
            <v>0</v>
          </cell>
          <cell r="P8">
            <v>518</v>
          </cell>
          <cell r="V8" t="str">
            <v>Available</v>
          </cell>
        </row>
        <row r="9">
          <cell r="E9">
            <v>10010013</v>
          </cell>
          <cell r="H9">
            <v>53.86999999999999</v>
          </cell>
          <cell r="I9">
            <v>2014.49</v>
          </cell>
          <cell r="J9">
            <v>0</v>
          </cell>
          <cell r="K9">
            <v>0</v>
          </cell>
          <cell r="M9">
            <v>0</v>
          </cell>
          <cell r="P9">
            <v>2014</v>
          </cell>
          <cell r="V9" t="str">
            <v>Available</v>
          </cell>
        </row>
        <row r="10">
          <cell r="E10">
            <v>10010013</v>
          </cell>
          <cell r="H10">
            <v>1.0900000000000001</v>
          </cell>
          <cell r="I10">
            <v>40.47</v>
          </cell>
          <cell r="J10">
            <v>0</v>
          </cell>
          <cell r="K10">
            <v>0</v>
          </cell>
          <cell r="M10">
            <v>0</v>
          </cell>
          <cell r="P10">
            <v>40</v>
          </cell>
          <cell r="V10" t="str">
            <v>Available</v>
          </cell>
        </row>
        <row r="11">
          <cell r="E11">
            <v>10010013</v>
          </cell>
          <cell r="H11">
            <v>58.38</v>
          </cell>
          <cell r="I11">
            <v>2127.1999999999998</v>
          </cell>
          <cell r="J11">
            <v>0</v>
          </cell>
          <cell r="K11">
            <v>0</v>
          </cell>
          <cell r="M11">
            <v>0</v>
          </cell>
          <cell r="P11">
            <v>2127</v>
          </cell>
          <cell r="V11" t="str">
            <v>Available</v>
          </cell>
        </row>
        <row r="12">
          <cell r="E12">
            <v>10010013</v>
          </cell>
          <cell r="H12">
            <v>7.4899999999999993</v>
          </cell>
          <cell r="I12">
            <v>515.68000000000006</v>
          </cell>
          <cell r="J12">
            <v>0</v>
          </cell>
          <cell r="K12">
            <v>0</v>
          </cell>
          <cell r="M12">
            <v>0</v>
          </cell>
          <cell r="P12">
            <v>516</v>
          </cell>
          <cell r="V12" t="str">
            <v>Available</v>
          </cell>
        </row>
        <row r="13">
          <cell r="E13">
            <v>10010013</v>
          </cell>
          <cell r="H13">
            <v>23.690000000000005</v>
          </cell>
          <cell r="I13">
            <v>884.6400000000001</v>
          </cell>
          <cell r="J13">
            <v>0</v>
          </cell>
          <cell r="K13">
            <v>0</v>
          </cell>
          <cell r="M13">
            <v>0</v>
          </cell>
          <cell r="P13">
            <v>885</v>
          </cell>
          <cell r="V13" t="str">
            <v>Available</v>
          </cell>
        </row>
        <row r="14">
          <cell r="E14">
            <v>10010013</v>
          </cell>
          <cell r="H14">
            <v>39.39</v>
          </cell>
          <cell r="I14">
            <v>1530.1299999999999</v>
          </cell>
          <cell r="J14">
            <v>0</v>
          </cell>
          <cell r="K14">
            <v>0</v>
          </cell>
          <cell r="M14">
            <v>0</v>
          </cell>
          <cell r="P14">
            <v>1530</v>
          </cell>
          <cell r="V14" t="str">
            <v>Available</v>
          </cell>
        </row>
        <row r="15">
          <cell r="E15">
            <v>10010019</v>
          </cell>
          <cell r="H15">
            <v>9.91</v>
          </cell>
          <cell r="I15">
            <v>376.77</v>
          </cell>
          <cell r="J15">
            <v>0</v>
          </cell>
          <cell r="K15">
            <v>376.77</v>
          </cell>
          <cell r="M15">
            <v>0</v>
          </cell>
          <cell r="P15">
            <v>0</v>
          </cell>
          <cell r="V15" t="str">
            <v>Not Available</v>
          </cell>
        </row>
        <row r="16">
          <cell r="E16">
            <v>10010019</v>
          </cell>
          <cell r="H16">
            <v>1.02</v>
          </cell>
          <cell r="I16">
            <v>38.99</v>
          </cell>
          <cell r="J16">
            <v>0</v>
          </cell>
          <cell r="K16">
            <v>0</v>
          </cell>
          <cell r="M16">
            <v>0</v>
          </cell>
          <cell r="P16">
            <v>18</v>
          </cell>
          <cell r="V16" t="str">
            <v>Available</v>
          </cell>
        </row>
        <row r="17">
          <cell r="E17">
            <v>10010019</v>
          </cell>
          <cell r="H17">
            <v>168.14</v>
          </cell>
          <cell r="I17">
            <v>6626.64</v>
          </cell>
          <cell r="J17">
            <v>0</v>
          </cell>
          <cell r="K17">
            <v>0</v>
          </cell>
          <cell r="M17">
            <v>0</v>
          </cell>
          <cell r="P17">
            <v>6627</v>
          </cell>
          <cell r="V17" t="str">
            <v>Available</v>
          </cell>
        </row>
        <row r="18">
          <cell r="E18">
            <v>10010019</v>
          </cell>
          <cell r="H18">
            <v>81.17</v>
          </cell>
          <cell r="I18">
            <v>3300.3200000000006</v>
          </cell>
          <cell r="J18">
            <v>0</v>
          </cell>
          <cell r="K18">
            <v>0</v>
          </cell>
          <cell r="M18">
            <v>0</v>
          </cell>
          <cell r="P18">
            <v>3300</v>
          </cell>
          <cell r="V18" t="str">
            <v>Available</v>
          </cell>
        </row>
        <row r="19">
          <cell r="E19">
            <v>10010019</v>
          </cell>
          <cell r="H19">
            <v>65.23</v>
          </cell>
          <cell r="I19">
            <v>2489.0100000000002</v>
          </cell>
          <cell r="J19">
            <v>0</v>
          </cell>
          <cell r="K19">
            <v>0</v>
          </cell>
          <cell r="M19">
            <v>0</v>
          </cell>
          <cell r="P19">
            <v>2489</v>
          </cell>
          <cell r="V19" t="str">
            <v>Available</v>
          </cell>
        </row>
        <row r="20">
          <cell r="E20">
            <v>10010019</v>
          </cell>
          <cell r="H20">
            <v>63.55</v>
          </cell>
          <cell r="I20">
            <v>2489.5499999999997</v>
          </cell>
          <cell r="J20">
            <v>0</v>
          </cell>
          <cell r="K20">
            <v>0</v>
          </cell>
          <cell r="M20">
            <v>0</v>
          </cell>
          <cell r="P20">
            <v>2490</v>
          </cell>
          <cell r="V20" t="str">
            <v>Available</v>
          </cell>
        </row>
        <row r="21">
          <cell r="E21">
            <v>10010019</v>
          </cell>
          <cell r="H21">
            <v>53.919999999999995</v>
          </cell>
          <cell r="I21">
            <v>2519.5799999999995</v>
          </cell>
          <cell r="J21">
            <v>0</v>
          </cell>
          <cell r="K21">
            <v>0</v>
          </cell>
          <cell r="M21">
            <v>0</v>
          </cell>
          <cell r="P21">
            <v>2520</v>
          </cell>
          <cell r="V21" t="str">
            <v>Available</v>
          </cell>
        </row>
        <row r="22">
          <cell r="E22">
            <v>10010019</v>
          </cell>
          <cell r="H22">
            <v>84.649999999999991</v>
          </cell>
          <cell r="I22">
            <v>3272.2899999999995</v>
          </cell>
          <cell r="J22">
            <v>0</v>
          </cell>
          <cell r="K22">
            <v>0</v>
          </cell>
          <cell r="M22">
            <v>0</v>
          </cell>
          <cell r="P22">
            <v>3272</v>
          </cell>
          <cell r="V22" t="str">
            <v>Available</v>
          </cell>
        </row>
        <row r="23">
          <cell r="E23">
            <v>10010019</v>
          </cell>
          <cell r="H23">
            <v>145.01000000000002</v>
          </cell>
          <cell r="I23">
            <v>5504.34</v>
          </cell>
          <cell r="J23">
            <v>0</v>
          </cell>
          <cell r="K23">
            <v>0</v>
          </cell>
          <cell r="M23">
            <v>0</v>
          </cell>
          <cell r="P23">
            <v>5504</v>
          </cell>
          <cell r="V23" t="str">
            <v>Available</v>
          </cell>
        </row>
        <row r="24">
          <cell r="E24">
            <v>10010019</v>
          </cell>
          <cell r="H24">
            <v>88.31</v>
          </cell>
          <cell r="I24">
            <v>3948.21</v>
          </cell>
          <cell r="J24">
            <v>0</v>
          </cell>
          <cell r="K24">
            <v>0</v>
          </cell>
          <cell r="M24">
            <v>0</v>
          </cell>
          <cell r="P24">
            <v>3948</v>
          </cell>
          <cell r="V24" t="str">
            <v>Available</v>
          </cell>
        </row>
        <row r="25">
          <cell r="E25">
            <v>10010019</v>
          </cell>
          <cell r="H25">
            <v>39.880000000000003</v>
          </cell>
          <cell r="I25">
            <v>1564.54</v>
          </cell>
          <cell r="J25">
            <v>0</v>
          </cell>
          <cell r="K25">
            <v>0</v>
          </cell>
          <cell r="M25">
            <v>0</v>
          </cell>
          <cell r="P25">
            <v>1565</v>
          </cell>
          <cell r="V25" t="str">
            <v>Available</v>
          </cell>
        </row>
        <row r="26">
          <cell r="E26">
            <v>10010019</v>
          </cell>
          <cell r="H26">
            <v>25.52</v>
          </cell>
          <cell r="I26">
            <v>1077.02</v>
          </cell>
          <cell r="J26">
            <v>0</v>
          </cell>
          <cell r="K26">
            <v>0</v>
          </cell>
          <cell r="M26">
            <v>0</v>
          </cell>
          <cell r="P26">
            <v>1077</v>
          </cell>
          <cell r="V26" t="str">
            <v>Available</v>
          </cell>
        </row>
        <row r="27">
          <cell r="E27">
            <v>10010038</v>
          </cell>
          <cell r="H27">
            <v>3.5</v>
          </cell>
          <cell r="I27">
            <v>143.05000000000001</v>
          </cell>
          <cell r="J27">
            <v>0</v>
          </cell>
          <cell r="K27">
            <v>143.05000000000001</v>
          </cell>
          <cell r="M27">
            <v>0</v>
          </cell>
          <cell r="P27">
            <v>0</v>
          </cell>
          <cell r="V27" t="str">
            <v>Not Available</v>
          </cell>
        </row>
        <row r="28">
          <cell r="E28">
            <v>10010038</v>
          </cell>
          <cell r="H28">
            <v>258.60000000000002</v>
          </cell>
          <cell r="I28">
            <v>10752.720000000001</v>
          </cell>
          <cell r="J28">
            <v>0</v>
          </cell>
          <cell r="K28">
            <v>0</v>
          </cell>
          <cell r="M28">
            <v>0</v>
          </cell>
          <cell r="P28">
            <v>10683</v>
          </cell>
          <cell r="V28" t="str">
            <v>Available</v>
          </cell>
        </row>
        <row r="29">
          <cell r="E29">
            <v>10010038</v>
          </cell>
          <cell r="H29">
            <v>233.7</v>
          </cell>
          <cell r="I29">
            <v>9763.5400000000009</v>
          </cell>
          <cell r="J29">
            <v>0</v>
          </cell>
          <cell r="K29">
            <v>0</v>
          </cell>
          <cell r="M29">
            <v>0</v>
          </cell>
          <cell r="P29">
            <v>9764</v>
          </cell>
          <cell r="V29" t="str">
            <v>Available</v>
          </cell>
        </row>
        <row r="30">
          <cell r="E30">
            <v>10010038</v>
          </cell>
          <cell r="H30">
            <v>229.9</v>
          </cell>
          <cell r="I30">
            <v>9586.3000000000011</v>
          </cell>
          <cell r="J30">
            <v>0</v>
          </cell>
          <cell r="K30">
            <v>0</v>
          </cell>
          <cell r="M30">
            <v>0</v>
          </cell>
          <cell r="P30">
            <v>9586</v>
          </cell>
          <cell r="V30" t="str">
            <v>Available</v>
          </cell>
        </row>
        <row r="31">
          <cell r="E31">
            <v>10010038</v>
          </cell>
          <cell r="H31">
            <v>21</v>
          </cell>
          <cell r="I31">
            <v>873.68999999999994</v>
          </cell>
          <cell r="J31">
            <v>0</v>
          </cell>
          <cell r="K31">
            <v>0</v>
          </cell>
          <cell r="M31">
            <v>0</v>
          </cell>
          <cell r="P31">
            <v>874</v>
          </cell>
          <cell r="V31" t="str">
            <v>Not Available</v>
          </cell>
        </row>
        <row r="32">
          <cell r="E32">
            <v>10010038</v>
          </cell>
          <cell r="H32">
            <v>5</v>
          </cell>
          <cell r="I32">
            <v>209.2</v>
          </cell>
          <cell r="J32">
            <v>0</v>
          </cell>
          <cell r="K32">
            <v>0</v>
          </cell>
          <cell r="M32">
            <v>0</v>
          </cell>
          <cell r="P32">
            <v>209</v>
          </cell>
          <cell r="V32" t="str">
            <v>Not Available</v>
          </cell>
        </row>
        <row r="33">
          <cell r="E33">
            <v>10010038</v>
          </cell>
          <cell r="H33">
            <v>12.3</v>
          </cell>
          <cell r="I33">
            <v>513.04999999999995</v>
          </cell>
          <cell r="J33">
            <v>0</v>
          </cell>
          <cell r="K33">
            <v>0</v>
          </cell>
          <cell r="M33">
            <v>0</v>
          </cell>
          <cell r="P33">
            <v>513</v>
          </cell>
          <cell r="V33" t="str">
            <v>Not Available</v>
          </cell>
        </row>
        <row r="34">
          <cell r="E34">
            <v>10010044</v>
          </cell>
          <cell r="H34">
            <v>255</v>
          </cell>
          <cell r="I34">
            <v>10493.25</v>
          </cell>
          <cell r="J34">
            <v>0</v>
          </cell>
          <cell r="K34">
            <v>0</v>
          </cell>
          <cell r="M34">
            <v>0</v>
          </cell>
          <cell r="P34">
            <v>10493</v>
          </cell>
          <cell r="V34" t="str">
            <v>Available</v>
          </cell>
        </row>
        <row r="35">
          <cell r="E35">
            <v>10010051</v>
          </cell>
          <cell r="H35">
            <v>5</v>
          </cell>
          <cell r="I35">
            <v>218.25</v>
          </cell>
          <cell r="J35">
            <v>0</v>
          </cell>
          <cell r="K35">
            <v>218.25</v>
          </cell>
          <cell r="M35">
            <v>0</v>
          </cell>
          <cell r="P35">
            <v>0</v>
          </cell>
          <cell r="V35" t="str">
            <v>Not Available</v>
          </cell>
        </row>
        <row r="36">
          <cell r="E36">
            <v>10010051</v>
          </cell>
          <cell r="H36">
            <v>46.9</v>
          </cell>
          <cell r="I36">
            <v>2047.19</v>
          </cell>
          <cell r="J36">
            <v>0</v>
          </cell>
          <cell r="K36">
            <v>0</v>
          </cell>
          <cell r="M36">
            <v>0</v>
          </cell>
          <cell r="P36">
            <v>2047</v>
          </cell>
          <cell r="V36" t="str">
            <v>Available</v>
          </cell>
        </row>
        <row r="37">
          <cell r="E37">
            <v>10010051</v>
          </cell>
          <cell r="H37">
            <v>83.300000000000011</v>
          </cell>
          <cell r="I37">
            <v>3517.48</v>
          </cell>
          <cell r="J37">
            <v>0</v>
          </cell>
          <cell r="K37">
            <v>0</v>
          </cell>
          <cell r="M37">
            <v>0</v>
          </cell>
          <cell r="P37">
            <v>3517</v>
          </cell>
          <cell r="V37" t="str">
            <v>Available</v>
          </cell>
        </row>
        <row r="38">
          <cell r="E38">
            <v>10010051</v>
          </cell>
          <cell r="H38">
            <v>5</v>
          </cell>
          <cell r="I38">
            <v>218.25</v>
          </cell>
          <cell r="J38">
            <v>0</v>
          </cell>
          <cell r="K38">
            <v>0</v>
          </cell>
          <cell r="M38">
            <v>0</v>
          </cell>
          <cell r="P38">
            <v>218</v>
          </cell>
          <cell r="V38" t="str">
            <v>Not Available</v>
          </cell>
        </row>
        <row r="39">
          <cell r="E39">
            <v>10010051</v>
          </cell>
          <cell r="H39">
            <v>5</v>
          </cell>
          <cell r="I39">
            <v>218.25</v>
          </cell>
          <cell r="J39">
            <v>0</v>
          </cell>
          <cell r="K39">
            <v>0</v>
          </cell>
          <cell r="M39">
            <v>0</v>
          </cell>
          <cell r="P39">
            <v>218</v>
          </cell>
          <cell r="V39" t="str">
            <v>Not Available</v>
          </cell>
        </row>
        <row r="40">
          <cell r="E40">
            <v>10010051</v>
          </cell>
          <cell r="H40">
            <v>5</v>
          </cell>
          <cell r="I40">
            <v>218.25</v>
          </cell>
          <cell r="J40">
            <v>0</v>
          </cell>
          <cell r="K40">
            <v>0</v>
          </cell>
          <cell r="M40">
            <v>0</v>
          </cell>
          <cell r="P40">
            <v>218</v>
          </cell>
          <cell r="V40" t="str">
            <v>Not Available</v>
          </cell>
        </row>
        <row r="41">
          <cell r="E41">
            <v>10010051</v>
          </cell>
          <cell r="H41">
            <v>5</v>
          </cell>
          <cell r="I41">
            <v>218.25</v>
          </cell>
          <cell r="J41">
            <v>0</v>
          </cell>
          <cell r="K41">
            <v>0</v>
          </cell>
          <cell r="M41">
            <v>0</v>
          </cell>
          <cell r="P41">
            <v>218</v>
          </cell>
          <cell r="V41" t="str">
            <v>Not Available</v>
          </cell>
        </row>
        <row r="42">
          <cell r="E42">
            <v>10010055</v>
          </cell>
          <cell r="H42">
            <v>95.1</v>
          </cell>
          <cell r="I42">
            <v>4109.22</v>
          </cell>
          <cell r="J42">
            <v>0</v>
          </cell>
          <cell r="K42">
            <v>0</v>
          </cell>
          <cell r="M42">
            <v>0</v>
          </cell>
          <cell r="P42">
            <v>3530</v>
          </cell>
          <cell r="V42" t="str">
            <v>Available</v>
          </cell>
        </row>
        <row r="43">
          <cell r="E43">
            <v>10010055</v>
          </cell>
          <cell r="H43">
            <v>1</v>
          </cell>
          <cell r="I43">
            <v>40.590000000000003</v>
          </cell>
          <cell r="J43">
            <v>0</v>
          </cell>
          <cell r="K43">
            <v>0</v>
          </cell>
          <cell r="M43">
            <v>0</v>
          </cell>
          <cell r="P43">
            <v>41</v>
          </cell>
          <cell r="V43" t="str">
            <v>Available</v>
          </cell>
        </row>
        <row r="44">
          <cell r="E44">
            <v>10010076</v>
          </cell>
          <cell r="H44">
            <v>2</v>
          </cell>
          <cell r="I44">
            <v>84.8</v>
          </cell>
          <cell r="J44">
            <v>0</v>
          </cell>
          <cell r="K44">
            <v>84.8</v>
          </cell>
          <cell r="M44">
            <v>0</v>
          </cell>
          <cell r="P44">
            <v>0</v>
          </cell>
          <cell r="V44" t="str">
            <v>Not Available</v>
          </cell>
        </row>
        <row r="45">
          <cell r="E45">
            <v>10010076</v>
          </cell>
          <cell r="H45">
            <v>373.8</v>
          </cell>
          <cell r="I45">
            <v>16306.289999999997</v>
          </cell>
          <cell r="J45">
            <v>0</v>
          </cell>
          <cell r="K45">
            <v>0</v>
          </cell>
          <cell r="M45">
            <v>0</v>
          </cell>
          <cell r="P45">
            <v>16306</v>
          </cell>
          <cell r="V45" t="str">
            <v>Available</v>
          </cell>
        </row>
        <row r="46">
          <cell r="E46">
            <v>10010076</v>
          </cell>
          <cell r="H46">
            <v>64</v>
          </cell>
          <cell r="I46">
            <v>2713.6</v>
          </cell>
          <cell r="J46">
            <v>0</v>
          </cell>
          <cell r="K46">
            <v>0</v>
          </cell>
          <cell r="M46">
            <v>0</v>
          </cell>
          <cell r="P46">
            <v>2714</v>
          </cell>
          <cell r="V46" t="str">
            <v>Not Available</v>
          </cell>
        </row>
        <row r="47">
          <cell r="E47">
            <v>10010076</v>
          </cell>
          <cell r="H47">
            <v>65</v>
          </cell>
          <cell r="I47">
            <v>2881</v>
          </cell>
          <cell r="J47">
            <v>0</v>
          </cell>
          <cell r="K47">
            <v>0</v>
          </cell>
          <cell r="M47">
            <v>0</v>
          </cell>
          <cell r="P47">
            <v>2881</v>
          </cell>
          <cell r="V47" t="str">
            <v>Not Available</v>
          </cell>
        </row>
        <row r="48">
          <cell r="E48">
            <v>10010076</v>
          </cell>
          <cell r="H48">
            <v>60</v>
          </cell>
          <cell r="I48">
            <v>2595.79</v>
          </cell>
          <cell r="J48">
            <v>0</v>
          </cell>
          <cell r="K48">
            <v>0</v>
          </cell>
          <cell r="M48">
            <v>0</v>
          </cell>
          <cell r="P48">
            <v>2596</v>
          </cell>
          <cell r="V48" t="str">
            <v>Not Available</v>
          </cell>
        </row>
        <row r="49">
          <cell r="E49">
            <v>10010076</v>
          </cell>
          <cell r="H49">
            <v>45</v>
          </cell>
          <cell r="I49">
            <v>1914.3</v>
          </cell>
          <cell r="J49">
            <v>0</v>
          </cell>
          <cell r="K49">
            <v>0</v>
          </cell>
          <cell r="M49">
            <v>0</v>
          </cell>
          <cell r="P49">
            <v>1914</v>
          </cell>
          <cell r="V49" t="str">
            <v>Not Available</v>
          </cell>
        </row>
        <row r="50">
          <cell r="E50">
            <v>10010076</v>
          </cell>
          <cell r="H50">
            <v>24</v>
          </cell>
          <cell r="I50">
            <v>1167.5999999999999</v>
          </cell>
          <cell r="J50">
            <v>0</v>
          </cell>
          <cell r="K50">
            <v>0</v>
          </cell>
          <cell r="M50">
            <v>0</v>
          </cell>
          <cell r="P50">
            <v>1168</v>
          </cell>
          <cell r="V50" t="str">
            <v>Not Available</v>
          </cell>
        </row>
        <row r="51">
          <cell r="E51">
            <v>10010076</v>
          </cell>
          <cell r="H51">
            <v>58</v>
          </cell>
          <cell r="I51">
            <v>2538.81</v>
          </cell>
          <cell r="J51">
            <v>0</v>
          </cell>
          <cell r="K51">
            <v>0</v>
          </cell>
          <cell r="M51">
            <v>0</v>
          </cell>
          <cell r="P51">
            <v>2539</v>
          </cell>
          <cell r="V51" t="str">
            <v>Not Available</v>
          </cell>
        </row>
        <row r="52">
          <cell r="E52">
            <v>10010076</v>
          </cell>
          <cell r="H52">
            <v>32</v>
          </cell>
          <cell r="I52">
            <v>1343.36</v>
          </cell>
          <cell r="J52">
            <v>0</v>
          </cell>
          <cell r="K52">
            <v>0</v>
          </cell>
          <cell r="M52">
            <v>0</v>
          </cell>
          <cell r="P52">
            <v>1343</v>
          </cell>
          <cell r="V52" t="str">
            <v>Not Available</v>
          </cell>
        </row>
        <row r="53">
          <cell r="E53">
            <v>10010082</v>
          </cell>
          <cell r="H53">
            <v>5.4</v>
          </cell>
          <cell r="I53">
            <v>224.42</v>
          </cell>
          <cell r="J53">
            <v>0</v>
          </cell>
          <cell r="K53">
            <v>0</v>
          </cell>
          <cell r="M53">
            <v>0</v>
          </cell>
          <cell r="P53">
            <v>12</v>
          </cell>
          <cell r="V53" t="str">
            <v>Available</v>
          </cell>
        </row>
        <row r="54">
          <cell r="E54">
            <v>10010082</v>
          </cell>
          <cell r="H54">
            <v>314.20000000000005</v>
          </cell>
          <cell r="I54">
            <v>12189.609999999999</v>
          </cell>
          <cell r="J54">
            <v>0</v>
          </cell>
          <cell r="K54">
            <v>0</v>
          </cell>
          <cell r="M54">
            <v>0</v>
          </cell>
          <cell r="P54">
            <v>12190</v>
          </cell>
          <cell r="V54" t="str">
            <v>Available</v>
          </cell>
        </row>
        <row r="55">
          <cell r="E55">
            <v>10010082</v>
          </cell>
          <cell r="H55">
            <v>41.86</v>
          </cell>
          <cell r="I55">
            <v>1659.95</v>
          </cell>
          <cell r="J55">
            <v>0</v>
          </cell>
          <cell r="K55">
            <v>0</v>
          </cell>
          <cell r="M55">
            <v>0</v>
          </cell>
          <cell r="P55">
            <v>1660</v>
          </cell>
          <cell r="V55" t="str">
            <v>Available</v>
          </cell>
        </row>
        <row r="56">
          <cell r="E56">
            <v>10010082</v>
          </cell>
          <cell r="H56">
            <v>317.0800000000001</v>
          </cell>
          <cell r="I56">
            <v>12300.77</v>
          </cell>
          <cell r="J56">
            <v>0</v>
          </cell>
          <cell r="K56">
            <v>0</v>
          </cell>
          <cell r="M56">
            <v>0</v>
          </cell>
          <cell r="P56">
            <v>12301</v>
          </cell>
          <cell r="V56" t="str">
            <v>Available</v>
          </cell>
        </row>
        <row r="57">
          <cell r="E57">
            <v>10010082</v>
          </cell>
          <cell r="H57">
            <v>70.61999999999999</v>
          </cell>
          <cell r="I57">
            <v>2833.2700000000004</v>
          </cell>
          <cell r="J57">
            <v>0</v>
          </cell>
          <cell r="K57">
            <v>0</v>
          </cell>
          <cell r="M57">
            <v>0</v>
          </cell>
          <cell r="P57">
            <v>2833</v>
          </cell>
          <cell r="V57" t="str">
            <v>Available</v>
          </cell>
        </row>
        <row r="58">
          <cell r="E58">
            <v>10010082</v>
          </cell>
          <cell r="H58">
            <v>366.26</v>
          </cell>
          <cell r="I58">
            <v>14582.069999999998</v>
          </cell>
          <cell r="J58">
            <v>0</v>
          </cell>
          <cell r="K58">
            <v>0</v>
          </cell>
          <cell r="M58">
            <v>0</v>
          </cell>
          <cell r="P58">
            <v>14582</v>
          </cell>
          <cell r="V58" t="str">
            <v>Available</v>
          </cell>
        </row>
        <row r="59">
          <cell r="E59">
            <v>10010082</v>
          </cell>
          <cell r="H59">
            <v>34.92</v>
          </cell>
          <cell r="I59">
            <v>1702.79</v>
          </cell>
          <cell r="J59">
            <v>0</v>
          </cell>
          <cell r="K59">
            <v>0</v>
          </cell>
          <cell r="M59">
            <v>0</v>
          </cell>
          <cell r="P59">
            <v>1703</v>
          </cell>
          <cell r="V59" t="str">
            <v>Not Available</v>
          </cell>
        </row>
        <row r="60">
          <cell r="E60">
            <v>10010082</v>
          </cell>
          <cell r="H60">
            <v>7.68</v>
          </cell>
          <cell r="I60">
            <v>325.06</v>
          </cell>
          <cell r="J60">
            <v>0</v>
          </cell>
          <cell r="K60">
            <v>0</v>
          </cell>
          <cell r="M60">
            <v>0</v>
          </cell>
          <cell r="P60">
            <v>325</v>
          </cell>
          <cell r="V60" t="str">
            <v>Available</v>
          </cell>
        </row>
        <row r="61">
          <cell r="E61">
            <v>10010086</v>
          </cell>
          <cell r="H61">
            <v>0.71</v>
          </cell>
          <cell r="I61">
            <v>43.599999999999994</v>
          </cell>
          <cell r="J61">
            <v>0</v>
          </cell>
          <cell r="K61">
            <v>43.599999999999994</v>
          </cell>
          <cell r="M61">
            <v>0</v>
          </cell>
          <cell r="P61">
            <v>0</v>
          </cell>
          <cell r="V61" t="str">
            <v>Not Available</v>
          </cell>
        </row>
        <row r="62">
          <cell r="E62">
            <v>10010086</v>
          </cell>
          <cell r="H62">
            <v>15.7</v>
          </cell>
          <cell r="I62">
            <v>627.05999999999995</v>
          </cell>
          <cell r="J62">
            <v>0</v>
          </cell>
          <cell r="K62">
            <v>0</v>
          </cell>
          <cell r="M62">
            <v>0</v>
          </cell>
          <cell r="P62">
            <v>0</v>
          </cell>
          <cell r="V62" t="str">
            <v>Available</v>
          </cell>
        </row>
        <row r="63">
          <cell r="E63">
            <v>10010086</v>
          </cell>
          <cell r="H63">
            <v>17.46</v>
          </cell>
          <cell r="I63">
            <v>844.62000000000012</v>
          </cell>
          <cell r="J63">
            <v>0</v>
          </cell>
          <cell r="K63">
            <v>0</v>
          </cell>
          <cell r="M63">
            <v>0</v>
          </cell>
          <cell r="P63">
            <v>0</v>
          </cell>
          <cell r="V63" t="str">
            <v>Available</v>
          </cell>
        </row>
        <row r="64">
          <cell r="E64">
            <v>10010086</v>
          </cell>
          <cell r="H64">
            <v>5.1899999999999995</v>
          </cell>
          <cell r="I64">
            <v>198.18</v>
          </cell>
          <cell r="J64">
            <v>0</v>
          </cell>
          <cell r="K64">
            <v>0</v>
          </cell>
          <cell r="M64">
            <v>0</v>
          </cell>
          <cell r="P64">
            <v>0</v>
          </cell>
          <cell r="V64" t="str">
            <v>Available</v>
          </cell>
        </row>
        <row r="65">
          <cell r="E65">
            <v>10010086</v>
          </cell>
          <cell r="H65">
            <v>42.749999999999993</v>
          </cell>
          <cell r="I65">
            <v>2502.1699999999996</v>
          </cell>
          <cell r="J65">
            <v>0</v>
          </cell>
          <cell r="K65">
            <v>0</v>
          </cell>
          <cell r="M65">
            <v>0</v>
          </cell>
          <cell r="P65">
            <v>0</v>
          </cell>
          <cell r="V65" t="str">
            <v>Available</v>
          </cell>
        </row>
        <row r="66">
          <cell r="E66">
            <v>10010089</v>
          </cell>
          <cell r="H66">
            <v>11.079999999999998</v>
          </cell>
          <cell r="I66">
            <v>473.47999999999996</v>
          </cell>
          <cell r="J66">
            <v>0</v>
          </cell>
          <cell r="K66">
            <v>473.47999999999996</v>
          </cell>
          <cell r="M66">
            <v>0</v>
          </cell>
          <cell r="P66">
            <v>0</v>
          </cell>
          <cell r="V66" t="str">
            <v>Not Available</v>
          </cell>
        </row>
        <row r="67">
          <cell r="E67">
            <v>10010089</v>
          </cell>
          <cell r="H67">
            <v>202.95999999999998</v>
          </cell>
          <cell r="I67">
            <v>8775.98</v>
          </cell>
          <cell r="J67">
            <v>0</v>
          </cell>
          <cell r="K67">
            <v>0</v>
          </cell>
          <cell r="M67">
            <v>0</v>
          </cell>
          <cell r="P67">
            <v>7475</v>
          </cell>
          <cell r="V67" t="str">
            <v>Available</v>
          </cell>
        </row>
        <row r="68">
          <cell r="E68">
            <v>10010089</v>
          </cell>
          <cell r="H68">
            <v>12.479999999999999</v>
          </cell>
          <cell r="I68">
            <v>541.33000000000004</v>
          </cell>
          <cell r="J68">
            <v>0</v>
          </cell>
          <cell r="K68">
            <v>0</v>
          </cell>
          <cell r="M68">
            <v>0</v>
          </cell>
          <cell r="P68">
            <v>541</v>
          </cell>
          <cell r="V68" t="str">
            <v>Not Available</v>
          </cell>
        </row>
        <row r="69">
          <cell r="E69">
            <v>10010089</v>
          </cell>
          <cell r="H69">
            <v>8.14</v>
          </cell>
          <cell r="I69">
            <v>366.24</v>
          </cell>
          <cell r="J69">
            <v>0</v>
          </cell>
          <cell r="K69">
            <v>0</v>
          </cell>
          <cell r="M69">
            <v>0</v>
          </cell>
          <cell r="P69">
            <v>366</v>
          </cell>
          <cell r="V69" t="str">
            <v>Not Available</v>
          </cell>
        </row>
        <row r="70">
          <cell r="E70">
            <v>10010089</v>
          </cell>
          <cell r="H70">
            <v>11.780000000000001</v>
          </cell>
          <cell r="I70">
            <v>506.26</v>
          </cell>
          <cell r="J70">
            <v>0</v>
          </cell>
          <cell r="K70">
            <v>0</v>
          </cell>
          <cell r="M70">
            <v>0</v>
          </cell>
          <cell r="P70">
            <v>506</v>
          </cell>
          <cell r="V70" t="str">
            <v>Not Available</v>
          </cell>
        </row>
        <row r="71">
          <cell r="E71">
            <v>10010089</v>
          </cell>
          <cell r="H71">
            <v>23.440000000000005</v>
          </cell>
          <cell r="I71">
            <v>922.56</v>
          </cell>
          <cell r="J71">
            <v>0</v>
          </cell>
          <cell r="K71">
            <v>0</v>
          </cell>
          <cell r="M71">
            <v>0</v>
          </cell>
          <cell r="P71">
            <v>923</v>
          </cell>
          <cell r="V71" t="str">
            <v>Not Available</v>
          </cell>
        </row>
        <row r="72">
          <cell r="E72">
            <v>10010089</v>
          </cell>
          <cell r="H72">
            <v>15.7</v>
          </cell>
          <cell r="I72">
            <v>597</v>
          </cell>
          <cell r="J72">
            <v>0</v>
          </cell>
          <cell r="K72">
            <v>0</v>
          </cell>
          <cell r="M72">
            <v>0</v>
          </cell>
          <cell r="P72">
            <v>597</v>
          </cell>
          <cell r="V72" t="str">
            <v>Not Available</v>
          </cell>
        </row>
        <row r="73">
          <cell r="E73">
            <v>10010089</v>
          </cell>
          <cell r="H73">
            <v>7.94</v>
          </cell>
          <cell r="I73">
            <v>314.34000000000003</v>
          </cell>
          <cell r="J73">
            <v>0</v>
          </cell>
          <cell r="K73">
            <v>0</v>
          </cell>
          <cell r="M73">
            <v>0</v>
          </cell>
          <cell r="P73">
            <v>314</v>
          </cell>
          <cell r="V73" t="str">
            <v>Not Available</v>
          </cell>
        </row>
        <row r="74">
          <cell r="E74">
            <v>10010089</v>
          </cell>
          <cell r="H74">
            <v>17.82</v>
          </cell>
          <cell r="I74">
            <v>855.97</v>
          </cell>
          <cell r="J74">
            <v>0</v>
          </cell>
          <cell r="K74">
            <v>0</v>
          </cell>
          <cell r="M74">
            <v>0</v>
          </cell>
          <cell r="P74">
            <v>856</v>
          </cell>
          <cell r="V74" t="str">
            <v>Not Available</v>
          </cell>
        </row>
        <row r="75">
          <cell r="E75">
            <v>10010089</v>
          </cell>
          <cell r="H75">
            <v>14.32</v>
          </cell>
          <cell r="I75">
            <v>1023.9699999999999</v>
          </cell>
          <cell r="J75">
            <v>0</v>
          </cell>
          <cell r="K75">
            <v>0</v>
          </cell>
          <cell r="M75">
            <v>0</v>
          </cell>
          <cell r="P75">
            <v>1024</v>
          </cell>
          <cell r="V75" t="str">
            <v>Not Available</v>
          </cell>
        </row>
        <row r="76">
          <cell r="E76">
            <v>10010089</v>
          </cell>
          <cell r="H76">
            <v>31.880000000000003</v>
          </cell>
          <cell r="I76">
            <v>1416.3999999999999</v>
          </cell>
          <cell r="J76">
            <v>0</v>
          </cell>
          <cell r="K76">
            <v>0</v>
          </cell>
          <cell r="M76">
            <v>0</v>
          </cell>
          <cell r="P76">
            <v>1416</v>
          </cell>
          <cell r="V76" t="str">
            <v>Not Available</v>
          </cell>
        </row>
        <row r="77">
          <cell r="E77">
            <v>10010089</v>
          </cell>
          <cell r="H77">
            <v>26.560000000000002</v>
          </cell>
          <cell r="I77">
            <v>1423.62</v>
          </cell>
          <cell r="J77">
            <v>0</v>
          </cell>
          <cell r="K77">
            <v>0</v>
          </cell>
          <cell r="M77">
            <v>0</v>
          </cell>
          <cell r="P77">
            <v>1424</v>
          </cell>
          <cell r="V77" t="str">
            <v>Not Available</v>
          </cell>
        </row>
        <row r="78">
          <cell r="E78">
            <v>10010089</v>
          </cell>
          <cell r="H78">
            <v>23.459999999999997</v>
          </cell>
          <cell r="I78">
            <v>942.94</v>
          </cell>
          <cell r="J78">
            <v>0</v>
          </cell>
          <cell r="K78">
            <v>0</v>
          </cell>
          <cell r="M78">
            <v>0</v>
          </cell>
          <cell r="P78">
            <v>943</v>
          </cell>
          <cell r="V78" t="str">
            <v>Not Available</v>
          </cell>
        </row>
        <row r="79">
          <cell r="E79">
            <v>10010089</v>
          </cell>
          <cell r="H79">
            <v>11.66</v>
          </cell>
          <cell r="I79">
            <v>535.73</v>
          </cell>
          <cell r="J79">
            <v>0</v>
          </cell>
          <cell r="K79">
            <v>0</v>
          </cell>
          <cell r="M79">
            <v>0</v>
          </cell>
          <cell r="P79">
            <v>536</v>
          </cell>
          <cell r="V79" t="str">
            <v>Not Available</v>
          </cell>
        </row>
        <row r="80">
          <cell r="E80">
            <v>10010089</v>
          </cell>
          <cell r="H80">
            <v>14.620000000000001</v>
          </cell>
          <cell r="I80">
            <v>609.41999999999996</v>
          </cell>
          <cell r="J80">
            <v>0</v>
          </cell>
          <cell r="K80">
            <v>0</v>
          </cell>
          <cell r="M80">
            <v>0</v>
          </cell>
          <cell r="P80">
            <v>609</v>
          </cell>
          <cell r="V80" t="str">
            <v>Not Available</v>
          </cell>
        </row>
        <row r="81">
          <cell r="E81">
            <v>10010089</v>
          </cell>
          <cell r="H81">
            <v>29.68</v>
          </cell>
          <cell r="I81">
            <v>1228.31</v>
          </cell>
          <cell r="J81">
            <v>0</v>
          </cell>
          <cell r="K81">
            <v>0</v>
          </cell>
          <cell r="M81">
            <v>0</v>
          </cell>
          <cell r="P81">
            <v>1228</v>
          </cell>
          <cell r="V81" t="str">
            <v>Not Available</v>
          </cell>
        </row>
        <row r="82">
          <cell r="E82">
            <v>10010089</v>
          </cell>
          <cell r="H82">
            <v>4.2799999999999994</v>
          </cell>
          <cell r="I82">
            <v>212.19</v>
          </cell>
          <cell r="J82">
            <v>0</v>
          </cell>
          <cell r="K82">
            <v>0</v>
          </cell>
          <cell r="M82">
            <v>0</v>
          </cell>
          <cell r="P82">
            <v>212</v>
          </cell>
          <cell r="V82" t="str">
            <v>Not Available</v>
          </cell>
        </row>
        <row r="83">
          <cell r="E83">
            <v>10010089</v>
          </cell>
          <cell r="H83">
            <v>12.94</v>
          </cell>
          <cell r="I83">
            <v>493.6</v>
          </cell>
          <cell r="J83">
            <v>0</v>
          </cell>
          <cell r="K83">
            <v>0</v>
          </cell>
          <cell r="M83">
            <v>0</v>
          </cell>
          <cell r="P83">
            <v>494</v>
          </cell>
          <cell r="V83" t="str">
            <v>Not Available</v>
          </cell>
        </row>
        <row r="84">
          <cell r="E84">
            <v>10010089</v>
          </cell>
          <cell r="H84">
            <v>14.78</v>
          </cell>
          <cell r="I84">
            <v>742.52</v>
          </cell>
          <cell r="J84">
            <v>0</v>
          </cell>
          <cell r="K84">
            <v>0</v>
          </cell>
          <cell r="M84">
            <v>0</v>
          </cell>
          <cell r="P84">
            <v>743</v>
          </cell>
          <cell r="V84" t="str">
            <v>Not Available</v>
          </cell>
        </row>
        <row r="85">
          <cell r="E85">
            <v>10010095</v>
          </cell>
          <cell r="H85">
            <v>5</v>
          </cell>
          <cell r="I85">
            <v>207.8</v>
          </cell>
          <cell r="J85">
            <v>0</v>
          </cell>
          <cell r="K85">
            <v>207.8</v>
          </cell>
          <cell r="M85">
            <v>0</v>
          </cell>
          <cell r="P85">
            <v>0</v>
          </cell>
          <cell r="V85" t="str">
            <v>Not Available</v>
          </cell>
        </row>
        <row r="86">
          <cell r="E86">
            <v>10010095</v>
          </cell>
          <cell r="H86">
            <v>60.399999999999991</v>
          </cell>
          <cell r="I86">
            <v>2583.0099999999998</v>
          </cell>
          <cell r="J86">
            <v>0</v>
          </cell>
          <cell r="K86">
            <v>0</v>
          </cell>
          <cell r="M86">
            <v>0</v>
          </cell>
          <cell r="P86">
            <v>2551</v>
          </cell>
          <cell r="V86" t="str">
            <v>Available</v>
          </cell>
        </row>
        <row r="87">
          <cell r="E87">
            <v>10010095</v>
          </cell>
          <cell r="H87">
            <v>135.60000000000002</v>
          </cell>
          <cell r="I87">
            <v>5845.5100000000011</v>
          </cell>
          <cell r="J87">
            <v>0</v>
          </cell>
          <cell r="K87">
            <v>0</v>
          </cell>
          <cell r="M87">
            <v>0</v>
          </cell>
          <cell r="P87">
            <v>5846</v>
          </cell>
          <cell r="V87" t="str">
            <v>Available</v>
          </cell>
        </row>
        <row r="88">
          <cell r="E88">
            <v>10010097</v>
          </cell>
          <cell r="H88">
            <v>1.2300000000000002</v>
          </cell>
          <cell r="I88">
            <v>50.740000000000009</v>
          </cell>
          <cell r="J88">
            <v>0</v>
          </cell>
          <cell r="K88">
            <v>50.740000000000009</v>
          </cell>
          <cell r="M88">
            <v>0</v>
          </cell>
          <cell r="P88">
            <v>0</v>
          </cell>
          <cell r="V88" t="str">
            <v>Not Available</v>
          </cell>
        </row>
        <row r="89">
          <cell r="E89">
            <v>10010097</v>
          </cell>
          <cell r="H89">
            <v>372.72</v>
          </cell>
          <cell r="I89">
            <v>15850.15</v>
          </cell>
          <cell r="J89">
            <v>0</v>
          </cell>
          <cell r="K89">
            <v>0</v>
          </cell>
          <cell r="M89">
            <v>0</v>
          </cell>
          <cell r="P89">
            <v>14201</v>
          </cell>
          <cell r="V89" t="str">
            <v>Available</v>
          </cell>
        </row>
        <row r="90">
          <cell r="E90">
            <v>10010097</v>
          </cell>
          <cell r="H90">
            <v>21.169999999999998</v>
          </cell>
          <cell r="I90">
            <v>759.78</v>
          </cell>
          <cell r="J90">
            <v>0</v>
          </cell>
          <cell r="K90">
            <v>0</v>
          </cell>
          <cell r="M90">
            <v>0</v>
          </cell>
          <cell r="P90">
            <v>760</v>
          </cell>
          <cell r="V90" t="str">
            <v>Available</v>
          </cell>
        </row>
        <row r="91">
          <cell r="E91">
            <v>10010097</v>
          </cell>
          <cell r="H91">
            <v>423.52000000000004</v>
          </cell>
          <cell r="I91">
            <v>17468.010000000002</v>
          </cell>
          <cell r="J91">
            <v>0</v>
          </cell>
          <cell r="K91">
            <v>0</v>
          </cell>
          <cell r="M91">
            <v>0</v>
          </cell>
          <cell r="P91">
            <v>17468</v>
          </cell>
          <cell r="V91" t="str">
            <v>Available</v>
          </cell>
        </row>
        <row r="92">
          <cell r="E92">
            <v>10010097</v>
          </cell>
          <cell r="H92">
            <v>23.63</v>
          </cell>
          <cell r="I92">
            <v>945.62</v>
          </cell>
          <cell r="J92">
            <v>0</v>
          </cell>
          <cell r="K92">
            <v>0</v>
          </cell>
          <cell r="M92">
            <v>0</v>
          </cell>
          <cell r="P92">
            <v>946</v>
          </cell>
          <cell r="V92" t="str">
            <v>Available</v>
          </cell>
        </row>
        <row r="93">
          <cell r="E93">
            <v>10010097</v>
          </cell>
          <cell r="H93">
            <v>24.54</v>
          </cell>
          <cell r="I93">
            <v>1177.22</v>
          </cell>
          <cell r="J93">
            <v>0</v>
          </cell>
          <cell r="K93">
            <v>0</v>
          </cell>
          <cell r="M93">
            <v>0</v>
          </cell>
          <cell r="P93">
            <v>1177</v>
          </cell>
          <cell r="V93" t="str">
            <v>Available</v>
          </cell>
        </row>
        <row r="94">
          <cell r="E94">
            <v>10010097</v>
          </cell>
          <cell r="H94">
            <v>38.07</v>
          </cell>
          <cell r="I94">
            <v>1698.52</v>
          </cell>
          <cell r="J94">
            <v>0</v>
          </cell>
          <cell r="K94">
            <v>0</v>
          </cell>
          <cell r="M94">
            <v>0</v>
          </cell>
          <cell r="P94">
            <v>1699</v>
          </cell>
          <cell r="V94" t="str">
            <v>Available</v>
          </cell>
        </row>
        <row r="95">
          <cell r="E95">
            <v>10010097</v>
          </cell>
          <cell r="H95">
            <v>16.61</v>
          </cell>
          <cell r="I95">
            <v>596.64</v>
          </cell>
          <cell r="J95">
            <v>0</v>
          </cell>
          <cell r="K95">
            <v>0</v>
          </cell>
          <cell r="M95">
            <v>0</v>
          </cell>
          <cell r="P95">
            <v>597</v>
          </cell>
          <cell r="V95" t="str">
            <v>Available</v>
          </cell>
        </row>
        <row r="96">
          <cell r="E96">
            <v>10010097</v>
          </cell>
          <cell r="H96">
            <v>21.529999999999998</v>
          </cell>
          <cell r="I96">
            <v>818.65</v>
          </cell>
          <cell r="J96">
            <v>0</v>
          </cell>
          <cell r="K96">
            <v>0</v>
          </cell>
          <cell r="M96">
            <v>0</v>
          </cell>
          <cell r="P96">
            <v>819</v>
          </cell>
          <cell r="V96" t="str">
            <v>Available</v>
          </cell>
        </row>
        <row r="97">
          <cell r="E97">
            <v>10010097</v>
          </cell>
          <cell r="H97">
            <v>11.73</v>
          </cell>
          <cell r="I97">
            <v>437.72</v>
          </cell>
          <cell r="J97">
            <v>0</v>
          </cell>
          <cell r="K97">
            <v>0</v>
          </cell>
          <cell r="M97">
            <v>0</v>
          </cell>
          <cell r="P97">
            <v>438</v>
          </cell>
          <cell r="V97" t="str">
            <v>Available</v>
          </cell>
        </row>
        <row r="98">
          <cell r="E98">
            <v>10010097</v>
          </cell>
          <cell r="H98">
            <v>8.879999999999999</v>
          </cell>
          <cell r="I98">
            <v>379.08000000000004</v>
          </cell>
          <cell r="J98">
            <v>0</v>
          </cell>
          <cell r="K98">
            <v>0</v>
          </cell>
          <cell r="M98">
            <v>0</v>
          </cell>
          <cell r="P98">
            <v>379</v>
          </cell>
          <cell r="V98" t="str">
            <v>Available</v>
          </cell>
        </row>
        <row r="99">
          <cell r="E99">
            <v>10010099</v>
          </cell>
          <cell r="H99">
            <v>27.2</v>
          </cell>
          <cell r="I99">
            <v>1142.55</v>
          </cell>
          <cell r="J99">
            <v>0</v>
          </cell>
          <cell r="K99">
            <v>0</v>
          </cell>
          <cell r="M99">
            <v>0</v>
          </cell>
          <cell r="P99">
            <v>598</v>
          </cell>
          <cell r="V99" t="str">
            <v>Available</v>
          </cell>
        </row>
        <row r="100">
          <cell r="E100">
            <v>10010099</v>
          </cell>
          <cell r="H100">
            <v>97.3</v>
          </cell>
          <cell r="I100">
            <v>4168.83</v>
          </cell>
          <cell r="J100">
            <v>0</v>
          </cell>
          <cell r="K100">
            <v>0</v>
          </cell>
          <cell r="M100">
            <v>0</v>
          </cell>
          <cell r="P100">
            <v>4169</v>
          </cell>
          <cell r="V100" t="str">
            <v>Available</v>
          </cell>
        </row>
        <row r="101">
          <cell r="E101">
            <v>10010108</v>
          </cell>
          <cell r="H101">
            <v>0.73</v>
          </cell>
          <cell r="I101">
            <v>28.3</v>
          </cell>
          <cell r="J101">
            <v>0</v>
          </cell>
          <cell r="K101">
            <v>28.3</v>
          </cell>
          <cell r="M101">
            <v>0</v>
          </cell>
          <cell r="P101">
            <v>0</v>
          </cell>
          <cell r="V101" t="str">
            <v>Not Available</v>
          </cell>
        </row>
        <row r="102">
          <cell r="E102">
            <v>10010108</v>
          </cell>
          <cell r="H102">
            <v>107.00000000000001</v>
          </cell>
          <cell r="I102">
            <v>3702.6899999999996</v>
          </cell>
          <cell r="J102">
            <v>0</v>
          </cell>
          <cell r="K102">
            <v>0</v>
          </cell>
          <cell r="M102">
            <v>0</v>
          </cell>
          <cell r="P102">
            <v>3096</v>
          </cell>
          <cell r="V102" t="str">
            <v>Available</v>
          </cell>
        </row>
        <row r="103">
          <cell r="E103">
            <v>10010113</v>
          </cell>
          <cell r="H103">
            <v>0.42</v>
          </cell>
          <cell r="I103">
            <v>18.739999999999998</v>
          </cell>
          <cell r="J103">
            <v>0</v>
          </cell>
          <cell r="K103">
            <v>18.739999999999998</v>
          </cell>
          <cell r="M103">
            <v>0</v>
          </cell>
          <cell r="P103">
            <v>0</v>
          </cell>
          <cell r="V103" t="str">
            <v>Not Available</v>
          </cell>
        </row>
        <row r="104">
          <cell r="E104">
            <v>10010113</v>
          </cell>
          <cell r="H104">
            <v>25.490000000000002</v>
          </cell>
          <cell r="I104">
            <v>1152.1600000000001</v>
          </cell>
          <cell r="J104">
            <v>0</v>
          </cell>
          <cell r="K104">
            <v>0</v>
          </cell>
          <cell r="M104">
            <v>0</v>
          </cell>
          <cell r="P104">
            <v>699</v>
          </cell>
          <cell r="V104" t="str">
            <v>Available</v>
          </cell>
        </row>
        <row r="105">
          <cell r="E105">
            <v>10010113</v>
          </cell>
          <cell r="H105">
            <v>14.08</v>
          </cell>
          <cell r="I105">
            <v>459.91999999999996</v>
          </cell>
          <cell r="J105">
            <v>0</v>
          </cell>
          <cell r="K105">
            <v>0</v>
          </cell>
          <cell r="M105">
            <v>0</v>
          </cell>
          <cell r="P105">
            <v>460</v>
          </cell>
          <cell r="V105" t="str">
            <v>Available</v>
          </cell>
        </row>
        <row r="106">
          <cell r="E106">
            <v>10010113</v>
          </cell>
          <cell r="H106">
            <v>23.520000000000003</v>
          </cell>
          <cell r="I106">
            <v>816.55</v>
          </cell>
          <cell r="J106">
            <v>0</v>
          </cell>
          <cell r="K106">
            <v>0</v>
          </cell>
          <cell r="M106">
            <v>0</v>
          </cell>
          <cell r="P106">
            <v>817</v>
          </cell>
          <cell r="V106" t="str">
            <v>Available</v>
          </cell>
        </row>
        <row r="107">
          <cell r="E107">
            <v>10010113</v>
          </cell>
          <cell r="H107">
            <v>8.08</v>
          </cell>
          <cell r="I107">
            <v>341.01</v>
          </cell>
          <cell r="J107">
            <v>0</v>
          </cell>
          <cell r="K107">
            <v>0</v>
          </cell>
          <cell r="M107">
            <v>0</v>
          </cell>
          <cell r="P107">
            <v>341</v>
          </cell>
          <cell r="V107" t="str">
            <v>Available</v>
          </cell>
        </row>
        <row r="108">
          <cell r="E108">
            <v>10010113</v>
          </cell>
          <cell r="H108">
            <v>16.869999999999997</v>
          </cell>
          <cell r="I108">
            <v>607.67000000000007</v>
          </cell>
          <cell r="J108">
            <v>0</v>
          </cell>
          <cell r="K108">
            <v>0</v>
          </cell>
          <cell r="M108">
            <v>0</v>
          </cell>
          <cell r="P108">
            <v>608</v>
          </cell>
          <cell r="V108" t="str">
            <v>Available</v>
          </cell>
        </row>
        <row r="109">
          <cell r="E109">
            <v>10010113</v>
          </cell>
          <cell r="H109">
            <v>8.01</v>
          </cell>
          <cell r="I109">
            <v>376.07000000000005</v>
          </cell>
          <cell r="J109">
            <v>0</v>
          </cell>
          <cell r="K109">
            <v>0</v>
          </cell>
          <cell r="M109">
            <v>0</v>
          </cell>
          <cell r="P109">
            <v>376</v>
          </cell>
          <cell r="V109" t="str">
            <v>Available</v>
          </cell>
        </row>
        <row r="110">
          <cell r="E110">
            <v>10010113</v>
          </cell>
          <cell r="H110">
            <v>40.47</v>
          </cell>
          <cell r="I110">
            <v>1503.73</v>
          </cell>
          <cell r="J110">
            <v>0</v>
          </cell>
          <cell r="K110">
            <v>0</v>
          </cell>
          <cell r="M110">
            <v>0</v>
          </cell>
          <cell r="P110">
            <v>1504</v>
          </cell>
          <cell r="V110" t="str">
            <v>Available</v>
          </cell>
        </row>
        <row r="111">
          <cell r="E111">
            <v>10010113</v>
          </cell>
          <cell r="H111">
            <v>70.430000000000007</v>
          </cell>
          <cell r="I111">
            <v>3028.42</v>
          </cell>
          <cell r="J111">
            <v>0</v>
          </cell>
          <cell r="K111">
            <v>0</v>
          </cell>
          <cell r="M111">
            <v>0</v>
          </cell>
          <cell r="P111">
            <v>3028</v>
          </cell>
          <cell r="V111" t="str">
            <v>Available</v>
          </cell>
        </row>
        <row r="112">
          <cell r="E112">
            <v>10010113</v>
          </cell>
          <cell r="H112">
            <v>42.109999999999992</v>
          </cell>
          <cell r="I112">
            <v>1293.94</v>
          </cell>
          <cell r="J112">
            <v>0</v>
          </cell>
          <cell r="K112">
            <v>0</v>
          </cell>
          <cell r="M112">
            <v>0</v>
          </cell>
          <cell r="P112">
            <v>1294</v>
          </cell>
          <cell r="V112" t="str">
            <v>Available</v>
          </cell>
        </row>
        <row r="113">
          <cell r="E113">
            <v>10010113</v>
          </cell>
          <cell r="H113">
            <v>10.490000000000002</v>
          </cell>
          <cell r="I113">
            <v>409.74</v>
          </cell>
          <cell r="J113">
            <v>0</v>
          </cell>
          <cell r="K113">
            <v>0</v>
          </cell>
          <cell r="M113">
            <v>0</v>
          </cell>
          <cell r="P113">
            <v>410</v>
          </cell>
          <cell r="V113" t="str">
            <v>Available</v>
          </cell>
        </row>
        <row r="114">
          <cell r="E114">
            <v>10010113</v>
          </cell>
          <cell r="H114">
            <v>29.540000000000006</v>
          </cell>
          <cell r="I114">
            <v>1024.52</v>
          </cell>
          <cell r="J114">
            <v>0</v>
          </cell>
          <cell r="K114">
            <v>0</v>
          </cell>
          <cell r="M114">
            <v>0</v>
          </cell>
          <cell r="P114">
            <v>1025</v>
          </cell>
          <cell r="V114" t="str">
            <v>Available</v>
          </cell>
        </row>
        <row r="115">
          <cell r="E115">
            <v>10010113</v>
          </cell>
          <cell r="H115">
            <v>88.710000000000008</v>
          </cell>
          <cell r="I115">
            <v>2958.9099999999994</v>
          </cell>
          <cell r="J115">
            <v>0</v>
          </cell>
          <cell r="K115">
            <v>0</v>
          </cell>
          <cell r="M115">
            <v>0</v>
          </cell>
          <cell r="P115">
            <v>2959</v>
          </cell>
          <cell r="V115" t="str">
            <v>Available</v>
          </cell>
        </row>
        <row r="116">
          <cell r="E116">
            <v>10010113</v>
          </cell>
          <cell r="H116">
            <v>4.84</v>
          </cell>
          <cell r="I116">
            <v>248.02999999999997</v>
          </cell>
          <cell r="J116">
            <v>0</v>
          </cell>
          <cell r="K116">
            <v>0</v>
          </cell>
          <cell r="M116">
            <v>0</v>
          </cell>
          <cell r="P116">
            <v>248</v>
          </cell>
          <cell r="V116" t="str">
            <v>Available</v>
          </cell>
        </row>
        <row r="117">
          <cell r="E117">
            <v>10010113</v>
          </cell>
          <cell r="H117">
            <v>31.18</v>
          </cell>
          <cell r="I117">
            <v>1332.4499999999998</v>
          </cell>
          <cell r="J117">
            <v>0</v>
          </cell>
          <cell r="K117">
            <v>0</v>
          </cell>
          <cell r="M117">
            <v>0</v>
          </cell>
          <cell r="P117">
            <v>1332</v>
          </cell>
          <cell r="V117" t="str">
            <v>Available</v>
          </cell>
        </row>
        <row r="118">
          <cell r="E118">
            <v>10010113</v>
          </cell>
          <cell r="H118">
            <v>5.61</v>
          </cell>
          <cell r="I118">
            <v>259.65999999999997</v>
          </cell>
          <cell r="J118">
            <v>0</v>
          </cell>
          <cell r="K118">
            <v>0</v>
          </cell>
          <cell r="M118">
            <v>0</v>
          </cell>
          <cell r="P118">
            <v>260</v>
          </cell>
          <cell r="V118" t="str">
            <v>Available</v>
          </cell>
        </row>
        <row r="119">
          <cell r="E119">
            <v>10010113</v>
          </cell>
          <cell r="H119">
            <v>9.4600000000000009</v>
          </cell>
          <cell r="I119">
            <v>421.64000000000004</v>
          </cell>
          <cell r="J119">
            <v>0</v>
          </cell>
          <cell r="K119">
            <v>0</v>
          </cell>
          <cell r="M119">
            <v>0</v>
          </cell>
          <cell r="P119">
            <v>422</v>
          </cell>
          <cell r="V119" t="str">
            <v>Available</v>
          </cell>
        </row>
        <row r="120">
          <cell r="E120">
            <v>10010113</v>
          </cell>
          <cell r="H120">
            <v>56.9</v>
          </cell>
          <cell r="I120">
            <v>1873.74</v>
          </cell>
          <cell r="J120">
            <v>0</v>
          </cell>
          <cell r="K120">
            <v>0</v>
          </cell>
          <cell r="M120">
            <v>0</v>
          </cell>
          <cell r="P120">
            <v>1874</v>
          </cell>
          <cell r="V120" t="str">
            <v>Available</v>
          </cell>
        </row>
        <row r="121">
          <cell r="E121">
            <v>10010113</v>
          </cell>
          <cell r="H121">
            <v>20.09</v>
          </cell>
          <cell r="I121">
            <v>1489.4</v>
          </cell>
          <cell r="J121">
            <v>0</v>
          </cell>
          <cell r="K121">
            <v>0</v>
          </cell>
          <cell r="M121">
            <v>0</v>
          </cell>
          <cell r="P121">
            <v>1489</v>
          </cell>
          <cell r="V121" t="str">
            <v>Available</v>
          </cell>
        </row>
        <row r="122">
          <cell r="E122">
            <v>10010113</v>
          </cell>
          <cell r="H122">
            <v>12.440000000000001</v>
          </cell>
          <cell r="I122">
            <v>712.30000000000007</v>
          </cell>
          <cell r="J122">
            <v>0</v>
          </cell>
          <cell r="K122">
            <v>0</v>
          </cell>
          <cell r="M122">
            <v>0</v>
          </cell>
          <cell r="P122">
            <v>712</v>
          </cell>
          <cell r="V122" t="str">
            <v>Available</v>
          </cell>
        </row>
        <row r="123">
          <cell r="E123">
            <v>10010113</v>
          </cell>
          <cell r="H123">
            <v>49.529999999999994</v>
          </cell>
          <cell r="I123">
            <v>1751.1600000000003</v>
          </cell>
          <cell r="J123">
            <v>0</v>
          </cell>
          <cell r="K123">
            <v>0</v>
          </cell>
          <cell r="M123">
            <v>0</v>
          </cell>
          <cell r="P123">
            <v>1751</v>
          </cell>
          <cell r="V123" t="str">
            <v>Available</v>
          </cell>
        </row>
        <row r="124">
          <cell r="E124">
            <v>10010113</v>
          </cell>
          <cell r="H124">
            <v>9.5</v>
          </cell>
          <cell r="I124">
            <v>326.41999999999996</v>
          </cell>
          <cell r="J124">
            <v>0</v>
          </cell>
          <cell r="K124">
            <v>0</v>
          </cell>
          <cell r="M124">
            <v>0</v>
          </cell>
          <cell r="P124">
            <v>326</v>
          </cell>
          <cell r="V124" t="str">
            <v>Available</v>
          </cell>
        </row>
        <row r="125">
          <cell r="E125">
            <v>10010113</v>
          </cell>
          <cell r="H125">
            <v>15.81</v>
          </cell>
          <cell r="I125">
            <v>1047.5</v>
          </cell>
          <cell r="J125">
            <v>0</v>
          </cell>
          <cell r="K125">
            <v>0</v>
          </cell>
          <cell r="M125">
            <v>0</v>
          </cell>
          <cell r="P125">
            <v>1048</v>
          </cell>
          <cell r="V125" t="str">
            <v>Available</v>
          </cell>
        </row>
        <row r="126">
          <cell r="E126">
            <v>10010113</v>
          </cell>
          <cell r="H126">
            <v>14.189999999999998</v>
          </cell>
          <cell r="I126">
            <v>617.12999999999988</v>
          </cell>
          <cell r="J126">
            <v>0</v>
          </cell>
          <cell r="K126">
            <v>0</v>
          </cell>
          <cell r="M126">
            <v>0</v>
          </cell>
          <cell r="P126">
            <v>617</v>
          </cell>
          <cell r="V126" t="str">
            <v>Available</v>
          </cell>
        </row>
        <row r="127">
          <cell r="E127">
            <v>10010113</v>
          </cell>
          <cell r="H127">
            <v>11.8</v>
          </cell>
          <cell r="I127">
            <v>760.8900000000001</v>
          </cell>
          <cell r="J127">
            <v>0</v>
          </cell>
          <cell r="K127">
            <v>0</v>
          </cell>
          <cell r="M127">
            <v>0</v>
          </cell>
          <cell r="P127">
            <v>761</v>
          </cell>
          <cell r="V127" t="str">
            <v>Available</v>
          </cell>
        </row>
        <row r="128">
          <cell r="E128">
            <v>10010113</v>
          </cell>
          <cell r="H128">
            <v>11.02</v>
          </cell>
          <cell r="I128">
            <v>798.82</v>
          </cell>
          <cell r="J128">
            <v>0</v>
          </cell>
          <cell r="K128">
            <v>0</v>
          </cell>
          <cell r="M128">
            <v>0</v>
          </cell>
          <cell r="P128">
            <v>799</v>
          </cell>
          <cell r="V128" t="str">
            <v>Available</v>
          </cell>
        </row>
        <row r="129">
          <cell r="E129">
            <v>10010113</v>
          </cell>
          <cell r="H129">
            <v>38.47</v>
          </cell>
          <cell r="I129">
            <v>1533.3500000000004</v>
          </cell>
          <cell r="J129">
            <v>0</v>
          </cell>
          <cell r="K129">
            <v>0</v>
          </cell>
          <cell r="M129">
            <v>0</v>
          </cell>
          <cell r="P129">
            <v>1533</v>
          </cell>
          <cell r="V129" t="str">
            <v>Available</v>
          </cell>
        </row>
        <row r="130">
          <cell r="E130">
            <v>10010113</v>
          </cell>
          <cell r="H130">
            <v>28.54</v>
          </cell>
          <cell r="I130">
            <v>1378.0900000000001</v>
          </cell>
          <cell r="J130">
            <v>0</v>
          </cell>
          <cell r="K130">
            <v>0</v>
          </cell>
          <cell r="M130">
            <v>0</v>
          </cell>
          <cell r="P130">
            <v>1378</v>
          </cell>
          <cell r="V130" t="str">
            <v>Available</v>
          </cell>
        </row>
        <row r="131">
          <cell r="E131">
            <v>10010121</v>
          </cell>
          <cell r="H131">
            <v>24.81</v>
          </cell>
          <cell r="I131">
            <v>757.93000000000006</v>
          </cell>
          <cell r="J131">
            <v>0</v>
          </cell>
          <cell r="K131">
            <v>757.93000000000006</v>
          </cell>
          <cell r="M131">
            <v>0</v>
          </cell>
          <cell r="P131">
            <v>0</v>
          </cell>
          <cell r="V131" t="str">
            <v>Not Available</v>
          </cell>
        </row>
        <row r="132">
          <cell r="E132">
            <v>10010121</v>
          </cell>
          <cell r="H132">
            <v>120.82999999999998</v>
          </cell>
          <cell r="I132">
            <v>4495.3900000000003</v>
          </cell>
          <cell r="J132">
            <v>0</v>
          </cell>
          <cell r="K132">
            <v>0</v>
          </cell>
          <cell r="M132">
            <v>0</v>
          </cell>
          <cell r="P132">
            <v>2215</v>
          </cell>
          <cell r="V132" t="str">
            <v>Available</v>
          </cell>
        </row>
        <row r="133">
          <cell r="E133">
            <v>10010121</v>
          </cell>
          <cell r="H133">
            <v>185.61</v>
          </cell>
          <cell r="I133">
            <v>7391.37</v>
          </cell>
          <cell r="J133">
            <v>0</v>
          </cell>
          <cell r="K133">
            <v>0</v>
          </cell>
          <cell r="M133">
            <v>0</v>
          </cell>
          <cell r="P133">
            <v>7391</v>
          </cell>
          <cell r="V133" t="str">
            <v>Available</v>
          </cell>
        </row>
        <row r="134">
          <cell r="E134">
            <v>10010121</v>
          </cell>
          <cell r="H134">
            <v>34.53</v>
          </cell>
          <cell r="I134">
            <v>1333.94</v>
          </cell>
          <cell r="J134">
            <v>0</v>
          </cell>
          <cell r="K134">
            <v>0</v>
          </cell>
          <cell r="M134">
            <v>0</v>
          </cell>
          <cell r="P134">
            <v>1334</v>
          </cell>
          <cell r="V134" t="str">
            <v>Available</v>
          </cell>
        </row>
        <row r="135">
          <cell r="E135">
            <v>10010121</v>
          </cell>
          <cell r="H135">
            <v>136.37</v>
          </cell>
          <cell r="I135">
            <v>5077.6400000000003</v>
          </cell>
          <cell r="J135">
            <v>0</v>
          </cell>
          <cell r="K135">
            <v>0</v>
          </cell>
          <cell r="M135">
            <v>0</v>
          </cell>
          <cell r="P135">
            <v>5078</v>
          </cell>
          <cell r="V135" t="str">
            <v>Available</v>
          </cell>
        </row>
        <row r="136">
          <cell r="E136">
            <v>10010121</v>
          </cell>
          <cell r="H136">
            <v>20.839999999999996</v>
          </cell>
          <cell r="I136">
            <v>827.07999999999993</v>
          </cell>
          <cell r="J136">
            <v>0</v>
          </cell>
          <cell r="K136">
            <v>0</v>
          </cell>
          <cell r="M136">
            <v>0</v>
          </cell>
          <cell r="P136">
            <v>827</v>
          </cell>
          <cell r="V136" t="str">
            <v>Available</v>
          </cell>
        </row>
        <row r="137">
          <cell r="E137">
            <v>10010121</v>
          </cell>
          <cell r="H137">
            <v>54.78</v>
          </cell>
          <cell r="I137">
            <v>2096.66</v>
          </cell>
          <cell r="J137">
            <v>0</v>
          </cell>
          <cell r="K137">
            <v>0</v>
          </cell>
          <cell r="M137">
            <v>0</v>
          </cell>
          <cell r="P137">
            <v>2097</v>
          </cell>
          <cell r="V137" t="str">
            <v>Available</v>
          </cell>
        </row>
        <row r="138">
          <cell r="E138">
            <v>10010121</v>
          </cell>
          <cell r="H138">
            <v>94.030000000000015</v>
          </cell>
          <cell r="I138">
            <v>3712.0500000000006</v>
          </cell>
          <cell r="J138">
            <v>0</v>
          </cell>
          <cell r="K138">
            <v>0</v>
          </cell>
          <cell r="M138">
            <v>0</v>
          </cell>
          <cell r="P138">
            <v>3712</v>
          </cell>
          <cell r="V138" t="str">
            <v>Available</v>
          </cell>
        </row>
        <row r="139">
          <cell r="E139">
            <v>10010121</v>
          </cell>
          <cell r="H139">
            <v>15.259999999999998</v>
          </cell>
          <cell r="I139">
            <v>966.05000000000007</v>
          </cell>
          <cell r="J139">
            <v>0</v>
          </cell>
          <cell r="K139">
            <v>0</v>
          </cell>
          <cell r="M139">
            <v>0</v>
          </cell>
          <cell r="P139">
            <v>966</v>
          </cell>
          <cell r="V139" t="str">
            <v>Available</v>
          </cell>
        </row>
        <row r="140">
          <cell r="E140">
            <v>10010121</v>
          </cell>
          <cell r="H140">
            <v>27.820000000000004</v>
          </cell>
          <cell r="I140">
            <v>991.34999999999991</v>
          </cell>
          <cell r="J140">
            <v>0</v>
          </cell>
          <cell r="K140">
            <v>0</v>
          </cell>
          <cell r="M140">
            <v>0</v>
          </cell>
          <cell r="P140">
            <v>991</v>
          </cell>
          <cell r="V140" t="str">
            <v>Available</v>
          </cell>
        </row>
        <row r="141">
          <cell r="E141">
            <v>10010121</v>
          </cell>
          <cell r="H141">
            <v>76.220000000000013</v>
          </cell>
          <cell r="I141">
            <v>2816.2699999999995</v>
          </cell>
          <cell r="J141">
            <v>0</v>
          </cell>
          <cell r="K141">
            <v>0</v>
          </cell>
          <cell r="M141">
            <v>0</v>
          </cell>
          <cell r="P141">
            <v>2816</v>
          </cell>
          <cell r="V141" t="str">
            <v>Available</v>
          </cell>
        </row>
        <row r="142">
          <cell r="E142">
            <v>10010121</v>
          </cell>
          <cell r="H142">
            <v>141.69</v>
          </cell>
          <cell r="I142">
            <v>5479.8899999999994</v>
          </cell>
          <cell r="J142">
            <v>0</v>
          </cell>
          <cell r="K142">
            <v>0</v>
          </cell>
          <cell r="M142">
            <v>0</v>
          </cell>
          <cell r="P142">
            <v>5480</v>
          </cell>
          <cell r="V142" t="str">
            <v>Not Available</v>
          </cell>
        </row>
        <row r="143">
          <cell r="E143">
            <v>10010121</v>
          </cell>
          <cell r="H143">
            <v>118.16000000000001</v>
          </cell>
          <cell r="I143">
            <v>4604.21</v>
          </cell>
          <cell r="J143">
            <v>0</v>
          </cell>
          <cell r="K143">
            <v>0</v>
          </cell>
          <cell r="M143">
            <v>0</v>
          </cell>
          <cell r="P143">
            <v>4604</v>
          </cell>
          <cell r="V143" t="str">
            <v>Not Available</v>
          </cell>
        </row>
        <row r="144">
          <cell r="E144">
            <v>10010121</v>
          </cell>
          <cell r="H144">
            <v>49.65</v>
          </cell>
          <cell r="I144">
            <v>1959.6399999999999</v>
          </cell>
          <cell r="J144">
            <v>0</v>
          </cell>
          <cell r="K144">
            <v>0</v>
          </cell>
          <cell r="M144">
            <v>0</v>
          </cell>
          <cell r="P144">
            <v>1960</v>
          </cell>
          <cell r="V144" t="str">
            <v>Not Available</v>
          </cell>
        </row>
        <row r="145">
          <cell r="E145">
            <v>10010121</v>
          </cell>
          <cell r="H145">
            <v>22.17</v>
          </cell>
          <cell r="I145">
            <v>867.51</v>
          </cell>
          <cell r="J145">
            <v>0</v>
          </cell>
          <cell r="K145">
            <v>0</v>
          </cell>
          <cell r="M145">
            <v>0</v>
          </cell>
          <cell r="P145">
            <v>868</v>
          </cell>
          <cell r="V145" t="str">
            <v>Not Available</v>
          </cell>
        </row>
        <row r="146">
          <cell r="E146">
            <v>10010121</v>
          </cell>
          <cell r="H146">
            <v>13.87</v>
          </cell>
          <cell r="I146">
            <v>541.76</v>
          </cell>
          <cell r="J146">
            <v>0</v>
          </cell>
          <cell r="K146">
            <v>0</v>
          </cell>
          <cell r="M146">
            <v>0</v>
          </cell>
          <cell r="P146">
            <v>542</v>
          </cell>
          <cell r="V146" t="str">
            <v>Not Available</v>
          </cell>
        </row>
        <row r="147">
          <cell r="E147">
            <v>10010121</v>
          </cell>
          <cell r="H147">
            <v>13.87</v>
          </cell>
          <cell r="I147">
            <v>541.76</v>
          </cell>
          <cell r="J147">
            <v>0</v>
          </cell>
          <cell r="K147">
            <v>0</v>
          </cell>
          <cell r="M147">
            <v>0</v>
          </cell>
          <cell r="P147">
            <v>542</v>
          </cell>
          <cell r="V147" t="str">
            <v>Not Available</v>
          </cell>
        </row>
        <row r="148">
          <cell r="E148">
            <v>10010128</v>
          </cell>
          <cell r="H148">
            <v>425</v>
          </cell>
          <cell r="I148">
            <v>19138.510000000002</v>
          </cell>
          <cell r="J148">
            <v>10700</v>
          </cell>
          <cell r="K148">
            <v>0</v>
          </cell>
          <cell r="M148">
            <v>0</v>
          </cell>
          <cell r="P148">
            <v>8439</v>
          </cell>
          <cell r="V148" t="str">
            <v>Available</v>
          </cell>
        </row>
        <row r="149">
          <cell r="E149">
            <v>10010128</v>
          </cell>
          <cell r="H149">
            <v>335</v>
          </cell>
          <cell r="I149">
            <v>15072.77</v>
          </cell>
          <cell r="J149">
            <v>0</v>
          </cell>
          <cell r="K149">
            <v>0</v>
          </cell>
          <cell r="M149">
            <v>0</v>
          </cell>
          <cell r="P149">
            <v>15073</v>
          </cell>
          <cell r="V149" t="str">
            <v>Available</v>
          </cell>
        </row>
        <row r="150">
          <cell r="E150">
            <v>10010128</v>
          </cell>
          <cell r="H150">
            <v>251</v>
          </cell>
          <cell r="I150">
            <v>11098.580000000002</v>
          </cell>
          <cell r="J150">
            <v>0</v>
          </cell>
          <cell r="K150">
            <v>0</v>
          </cell>
          <cell r="M150">
            <v>0</v>
          </cell>
          <cell r="P150">
            <v>11099</v>
          </cell>
          <cell r="V150" t="str">
            <v>Available</v>
          </cell>
        </row>
        <row r="151">
          <cell r="E151">
            <v>10010128</v>
          </cell>
          <cell r="H151">
            <v>210.5</v>
          </cell>
          <cell r="I151">
            <v>9261.0600000000013</v>
          </cell>
          <cell r="J151">
            <v>0</v>
          </cell>
          <cell r="K151">
            <v>0</v>
          </cell>
          <cell r="M151">
            <v>0</v>
          </cell>
          <cell r="P151">
            <v>9261</v>
          </cell>
          <cell r="V151" t="str">
            <v>Available</v>
          </cell>
        </row>
        <row r="152">
          <cell r="E152">
            <v>10010140</v>
          </cell>
          <cell r="H152">
            <v>15.18</v>
          </cell>
          <cell r="I152">
            <v>578.81000000000006</v>
          </cell>
          <cell r="J152">
            <v>0</v>
          </cell>
          <cell r="K152">
            <v>0</v>
          </cell>
          <cell r="M152">
            <v>0</v>
          </cell>
          <cell r="P152">
            <v>29</v>
          </cell>
          <cell r="V152" t="str">
            <v>Available</v>
          </cell>
        </row>
        <row r="153">
          <cell r="E153">
            <v>10010140</v>
          </cell>
          <cell r="H153">
            <v>10.239999999999998</v>
          </cell>
          <cell r="I153">
            <v>410.38000000000005</v>
          </cell>
          <cell r="J153">
            <v>0</v>
          </cell>
          <cell r="K153">
            <v>0</v>
          </cell>
          <cell r="M153">
            <v>0</v>
          </cell>
          <cell r="P153">
            <v>410</v>
          </cell>
          <cell r="V153" t="str">
            <v>Available</v>
          </cell>
        </row>
        <row r="154">
          <cell r="E154">
            <v>10010140</v>
          </cell>
          <cell r="H154">
            <v>82.17</v>
          </cell>
          <cell r="I154">
            <v>3576.7699999999995</v>
          </cell>
          <cell r="J154">
            <v>0</v>
          </cell>
          <cell r="K154">
            <v>0</v>
          </cell>
          <cell r="M154">
            <v>0</v>
          </cell>
          <cell r="P154">
            <v>3577</v>
          </cell>
          <cell r="V154" t="str">
            <v>Available</v>
          </cell>
        </row>
        <row r="155">
          <cell r="E155">
            <v>10010140</v>
          </cell>
          <cell r="H155">
            <v>51.81</v>
          </cell>
          <cell r="I155">
            <v>2852.32</v>
          </cell>
          <cell r="J155">
            <v>0</v>
          </cell>
          <cell r="K155">
            <v>0</v>
          </cell>
          <cell r="M155">
            <v>0</v>
          </cell>
          <cell r="P155">
            <v>2852</v>
          </cell>
          <cell r="V155" t="str">
            <v>Available</v>
          </cell>
        </row>
        <row r="156">
          <cell r="E156">
            <v>10010140</v>
          </cell>
          <cell r="H156">
            <v>37.989999999999995</v>
          </cell>
          <cell r="I156">
            <v>1397.55</v>
          </cell>
          <cell r="J156">
            <v>0</v>
          </cell>
          <cell r="K156">
            <v>0</v>
          </cell>
          <cell r="M156">
            <v>0</v>
          </cell>
          <cell r="P156">
            <v>1398</v>
          </cell>
          <cell r="V156" t="str">
            <v>Available</v>
          </cell>
        </row>
        <row r="157">
          <cell r="E157">
            <v>10010143</v>
          </cell>
          <cell r="H157">
            <v>40.299999999999997</v>
          </cell>
          <cell r="I157">
            <v>1408.28</v>
          </cell>
          <cell r="J157">
            <v>0</v>
          </cell>
          <cell r="K157">
            <v>0</v>
          </cell>
          <cell r="M157">
            <v>0</v>
          </cell>
          <cell r="P157">
            <v>1311</v>
          </cell>
          <cell r="V157" t="str">
            <v>Available</v>
          </cell>
        </row>
        <row r="158">
          <cell r="E158">
            <v>10010143</v>
          </cell>
          <cell r="H158">
            <v>0.1</v>
          </cell>
          <cell r="I158">
            <v>3.48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10010143</v>
          </cell>
          <cell r="H159">
            <v>115.39999999999998</v>
          </cell>
          <cell r="I159">
            <v>3977.3699999999994</v>
          </cell>
          <cell r="J159">
            <v>0</v>
          </cell>
          <cell r="K159">
            <v>0</v>
          </cell>
          <cell r="M159">
            <v>0</v>
          </cell>
          <cell r="P159">
            <v>3977</v>
          </cell>
          <cell r="V159" t="str">
            <v>Available</v>
          </cell>
        </row>
        <row r="160">
          <cell r="E160">
            <v>10010144</v>
          </cell>
          <cell r="H160">
            <v>31.64</v>
          </cell>
          <cell r="I160">
            <v>1072.42</v>
          </cell>
          <cell r="J160">
            <v>0</v>
          </cell>
          <cell r="K160">
            <v>0</v>
          </cell>
          <cell r="M160">
            <v>0</v>
          </cell>
          <cell r="P160">
            <v>1072</v>
          </cell>
          <cell r="V160" t="str">
            <v>Available</v>
          </cell>
        </row>
        <row r="161">
          <cell r="E161">
            <v>10010144</v>
          </cell>
          <cell r="H161">
            <v>25.919999999999998</v>
          </cell>
          <cell r="I161">
            <v>1009.34</v>
          </cell>
          <cell r="J161">
            <v>0</v>
          </cell>
          <cell r="K161">
            <v>0</v>
          </cell>
          <cell r="M161">
            <v>0</v>
          </cell>
          <cell r="P161">
            <v>1009</v>
          </cell>
          <cell r="V161" t="str">
            <v>Available</v>
          </cell>
        </row>
        <row r="162">
          <cell r="E162">
            <v>10010144</v>
          </cell>
          <cell r="H162">
            <v>42.13</v>
          </cell>
          <cell r="I162">
            <v>1411.99</v>
          </cell>
          <cell r="J162">
            <v>0</v>
          </cell>
          <cell r="K162">
            <v>0</v>
          </cell>
          <cell r="M162">
            <v>0</v>
          </cell>
          <cell r="P162">
            <v>1412</v>
          </cell>
          <cell r="V162" t="str">
            <v>Available</v>
          </cell>
        </row>
        <row r="163">
          <cell r="E163">
            <v>10010144</v>
          </cell>
          <cell r="H163">
            <v>34.819999999999993</v>
          </cell>
          <cell r="I163">
            <v>1198.25</v>
          </cell>
          <cell r="J163">
            <v>0</v>
          </cell>
          <cell r="K163">
            <v>0</v>
          </cell>
          <cell r="M163">
            <v>0</v>
          </cell>
          <cell r="P163">
            <v>1198</v>
          </cell>
          <cell r="V163" t="str">
            <v>Available</v>
          </cell>
        </row>
        <row r="164">
          <cell r="E164">
            <v>10010145</v>
          </cell>
          <cell r="H164">
            <v>2.06</v>
          </cell>
          <cell r="I164">
            <v>90.55</v>
          </cell>
          <cell r="J164">
            <v>0</v>
          </cell>
          <cell r="K164">
            <v>90.55</v>
          </cell>
          <cell r="M164">
            <v>0</v>
          </cell>
          <cell r="P164">
            <v>0</v>
          </cell>
          <cell r="V164" t="str">
            <v>Not Available</v>
          </cell>
        </row>
        <row r="165">
          <cell r="E165">
            <v>10010145</v>
          </cell>
          <cell r="H165">
            <v>183.13000000000002</v>
          </cell>
          <cell r="I165">
            <v>8298.76</v>
          </cell>
          <cell r="J165">
            <v>0</v>
          </cell>
          <cell r="K165">
            <v>0</v>
          </cell>
          <cell r="M165">
            <v>0</v>
          </cell>
          <cell r="P165">
            <v>7995</v>
          </cell>
          <cell r="V165" t="str">
            <v>Available</v>
          </cell>
        </row>
        <row r="166">
          <cell r="E166">
            <v>10010145</v>
          </cell>
          <cell r="H166">
            <v>13.430000000000001</v>
          </cell>
          <cell r="I166">
            <v>526.65000000000009</v>
          </cell>
          <cell r="J166">
            <v>0</v>
          </cell>
          <cell r="K166">
            <v>0</v>
          </cell>
          <cell r="M166">
            <v>0</v>
          </cell>
          <cell r="P166">
            <v>527</v>
          </cell>
          <cell r="V166" t="str">
            <v>Available</v>
          </cell>
        </row>
        <row r="167">
          <cell r="E167">
            <v>10010145</v>
          </cell>
          <cell r="H167">
            <v>2.2199999999999998</v>
          </cell>
          <cell r="I167">
            <v>81.960000000000008</v>
          </cell>
          <cell r="J167">
            <v>0</v>
          </cell>
          <cell r="K167">
            <v>0</v>
          </cell>
          <cell r="M167">
            <v>0</v>
          </cell>
          <cell r="P167">
            <v>82</v>
          </cell>
          <cell r="V167" t="str">
            <v>Available</v>
          </cell>
        </row>
        <row r="168">
          <cell r="E168">
            <v>10010145</v>
          </cell>
          <cell r="H168">
            <v>32.33</v>
          </cell>
          <cell r="I168">
            <v>1290.0199999999998</v>
          </cell>
          <cell r="J168">
            <v>0</v>
          </cell>
          <cell r="K168">
            <v>0</v>
          </cell>
          <cell r="M168">
            <v>0</v>
          </cell>
          <cell r="P168">
            <v>1290</v>
          </cell>
          <cell r="V168" t="str">
            <v>Available</v>
          </cell>
        </row>
        <row r="169">
          <cell r="E169">
            <v>10010145</v>
          </cell>
          <cell r="H169">
            <v>14.57</v>
          </cell>
          <cell r="I169">
            <v>649.91</v>
          </cell>
          <cell r="J169">
            <v>0</v>
          </cell>
          <cell r="K169">
            <v>0</v>
          </cell>
          <cell r="M169">
            <v>0</v>
          </cell>
          <cell r="P169">
            <v>650</v>
          </cell>
          <cell r="V169" t="str">
            <v>Available</v>
          </cell>
        </row>
        <row r="170">
          <cell r="E170">
            <v>10010146</v>
          </cell>
          <cell r="H170">
            <v>110.66000000000003</v>
          </cell>
          <cell r="I170">
            <v>4458.3300000000008</v>
          </cell>
          <cell r="J170">
            <v>0</v>
          </cell>
          <cell r="K170">
            <v>0</v>
          </cell>
          <cell r="M170">
            <v>0</v>
          </cell>
          <cell r="P170">
            <v>4376</v>
          </cell>
          <cell r="V170" t="str">
            <v>Available</v>
          </cell>
        </row>
        <row r="171">
          <cell r="E171">
            <v>10010146</v>
          </cell>
          <cell r="H171">
            <v>32.690000000000005</v>
          </cell>
          <cell r="I171">
            <v>1335.29</v>
          </cell>
          <cell r="J171">
            <v>0</v>
          </cell>
          <cell r="K171">
            <v>0</v>
          </cell>
          <cell r="M171">
            <v>0</v>
          </cell>
          <cell r="P171">
            <v>1335</v>
          </cell>
          <cell r="V171" t="str">
            <v>Available</v>
          </cell>
        </row>
        <row r="172">
          <cell r="E172">
            <v>10010146</v>
          </cell>
          <cell r="H172">
            <v>23.18</v>
          </cell>
          <cell r="I172">
            <v>936.29</v>
          </cell>
          <cell r="J172">
            <v>0</v>
          </cell>
          <cell r="K172">
            <v>0</v>
          </cell>
          <cell r="M172">
            <v>0</v>
          </cell>
          <cell r="P172">
            <v>936</v>
          </cell>
          <cell r="V172" t="str">
            <v>Available</v>
          </cell>
        </row>
        <row r="173">
          <cell r="E173">
            <v>10010148</v>
          </cell>
          <cell r="H173">
            <v>5.1599999999999993</v>
          </cell>
          <cell r="I173">
            <v>210.86999999999998</v>
          </cell>
          <cell r="J173">
            <v>0</v>
          </cell>
          <cell r="K173">
            <v>210.86999999999998</v>
          </cell>
          <cell r="M173">
            <v>0</v>
          </cell>
          <cell r="P173">
            <v>0</v>
          </cell>
          <cell r="V173" t="str">
            <v>Not Available</v>
          </cell>
        </row>
        <row r="174">
          <cell r="E174">
            <v>10010148</v>
          </cell>
          <cell r="H174">
            <v>32.159999999999997</v>
          </cell>
          <cell r="I174">
            <v>1387.7100000000003</v>
          </cell>
          <cell r="J174">
            <v>0</v>
          </cell>
          <cell r="K174">
            <v>0</v>
          </cell>
          <cell r="M174">
            <v>0</v>
          </cell>
          <cell r="P174">
            <v>1209</v>
          </cell>
          <cell r="V174" t="str">
            <v>Available</v>
          </cell>
        </row>
        <row r="175">
          <cell r="E175">
            <v>10010148</v>
          </cell>
          <cell r="H175">
            <v>54.4</v>
          </cell>
          <cell r="I175">
            <v>2130.2800000000002</v>
          </cell>
          <cell r="J175">
            <v>0</v>
          </cell>
          <cell r="K175">
            <v>0</v>
          </cell>
          <cell r="M175">
            <v>0</v>
          </cell>
          <cell r="P175">
            <v>2130</v>
          </cell>
          <cell r="V175" t="str">
            <v>Available</v>
          </cell>
        </row>
        <row r="176">
          <cell r="E176">
            <v>10010148</v>
          </cell>
          <cell r="H176">
            <v>21.26</v>
          </cell>
          <cell r="I176">
            <v>793.34999999999991</v>
          </cell>
          <cell r="J176">
            <v>0</v>
          </cell>
          <cell r="K176">
            <v>0</v>
          </cell>
          <cell r="M176">
            <v>0</v>
          </cell>
          <cell r="P176">
            <v>793</v>
          </cell>
          <cell r="V176" t="str">
            <v>Available</v>
          </cell>
        </row>
        <row r="177">
          <cell r="E177">
            <v>10010148</v>
          </cell>
          <cell r="H177">
            <v>27.230000000000004</v>
          </cell>
          <cell r="I177">
            <v>1175.1300000000001</v>
          </cell>
          <cell r="J177">
            <v>0</v>
          </cell>
          <cell r="K177">
            <v>0</v>
          </cell>
          <cell r="M177">
            <v>0</v>
          </cell>
          <cell r="P177">
            <v>1175</v>
          </cell>
          <cell r="V177" t="str">
            <v>Available</v>
          </cell>
        </row>
        <row r="178">
          <cell r="E178">
            <v>10010148</v>
          </cell>
          <cell r="H178">
            <v>23.11</v>
          </cell>
          <cell r="I178">
            <v>807.31999999999994</v>
          </cell>
          <cell r="J178">
            <v>0</v>
          </cell>
          <cell r="K178">
            <v>0</v>
          </cell>
          <cell r="M178">
            <v>0</v>
          </cell>
          <cell r="P178">
            <v>807</v>
          </cell>
          <cell r="V178" t="str">
            <v>Available</v>
          </cell>
        </row>
        <row r="179">
          <cell r="E179">
            <v>10010148</v>
          </cell>
          <cell r="H179">
            <v>28.87</v>
          </cell>
          <cell r="I179">
            <v>1025.4000000000001</v>
          </cell>
          <cell r="J179">
            <v>0</v>
          </cell>
          <cell r="K179">
            <v>0</v>
          </cell>
          <cell r="M179">
            <v>0</v>
          </cell>
          <cell r="P179">
            <v>1025</v>
          </cell>
          <cell r="V179" t="str">
            <v>Available</v>
          </cell>
        </row>
        <row r="180">
          <cell r="E180">
            <v>10010148</v>
          </cell>
          <cell r="H180">
            <v>41.25</v>
          </cell>
          <cell r="I180">
            <v>1606.14</v>
          </cell>
          <cell r="J180">
            <v>0</v>
          </cell>
          <cell r="K180">
            <v>0</v>
          </cell>
          <cell r="M180">
            <v>0</v>
          </cell>
          <cell r="P180">
            <v>1606</v>
          </cell>
          <cell r="V180" t="str">
            <v>Available</v>
          </cell>
        </row>
        <row r="181">
          <cell r="E181">
            <v>10010149</v>
          </cell>
          <cell r="H181">
            <v>186.8</v>
          </cell>
          <cell r="I181">
            <v>7431.44</v>
          </cell>
          <cell r="J181">
            <v>0</v>
          </cell>
          <cell r="K181">
            <v>0</v>
          </cell>
          <cell r="M181">
            <v>0</v>
          </cell>
          <cell r="P181">
            <v>7295</v>
          </cell>
          <cell r="V181" t="str">
            <v>Available</v>
          </cell>
        </row>
        <row r="182">
          <cell r="E182">
            <v>10010149</v>
          </cell>
          <cell r="H182">
            <v>0.1</v>
          </cell>
          <cell r="I182">
            <v>3.48</v>
          </cell>
          <cell r="J182">
            <v>0</v>
          </cell>
          <cell r="K182">
            <v>0</v>
          </cell>
          <cell r="M182">
            <v>0</v>
          </cell>
          <cell r="P182">
            <v>3</v>
          </cell>
          <cell r="V182" t="str">
            <v>Available</v>
          </cell>
        </row>
        <row r="183">
          <cell r="E183">
            <v>10010149</v>
          </cell>
          <cell r="H183">
            <v>0.1</v>
          </cell>
          <cell r="I183">
            <v>3.48</v>
          </cell>
          <cell r="J183">
            <v>0</v>
          </cell>
          <cell r="K183">
            <v>0</v>
          </cell>
          <cell r="M183">
            <v>0</v>
          </cell>
          <cell r="P183">
            <v>3</v>
          </cell>
          <cell r="V183" t="str">
            <v>Available</v>
          </cell>
        </row>
        <row r="184">
          <cell r="E184">
            <v>10010149</v>
          </cell>
          <cell r="H184">
            <v>0.1</v>
          </cell>
          <cell r="I184">
            <v>3.48</v>
          </cell>
          <cell r="J184">
            <v>0</v>
          </cell>
          <cell r="K184">
            <v>0</v>
          </cell>
          <cell r="M184">
            <v>0</v>
          </cell>
          <cell r="P184">
            <v>3</v>
          </cell>
          <cell r="V184" t="str">
            <v>Available</v>
          </cell>
        </row>
        <row r="185">
          <cell r="E185">
            <v>10010149</v>
          </cell>
          <cell r="H185">
            <v>0.1</v>
          </cell>
          <cell r="I185">
            <v>3.48</v>
          </cell>
          <cell r="J185">
            <v>0</v>
          </cell>
          <cell r="K185">
            <v>0</v>
          </cell>
          <cell r="M185">
            <v>0</v>
          </cell>
          <cell r="P185">
            <v>3</v>
          </cell>
          <cell r="V185" t="str">
            <v>Available</v>
          </cell>
        </row>
        <row r="186">
          <cell r="E186">
            <v>10020002</v>
          </cell>
          <cell r="H186">
            <v>19.100000000000001</v>
          </cell>
          <cell r="I186">
            <v>907.25</v>
          </cell>
          <cell r="J186">
            <v>0</v>
          </cell>
          <cell r="K186">
            <v>907.25</v>
          </cell>
          <cell r="M186">
            <v>0</v>
          </cell>
          <cell r="P186">
            <v>0</v>
          </cell>
          <cell r="V186" t="str">
            <v>Not Available</v>
          </cell>
        </row>
        <row r="187">
          <cell r="E187">
            <v>10020002</v>
          </cell>
          <cell r="H187">
            <v>516.30000000000007</v>
          </cell>
          <cell r="I187">
            <v>21939.91</v>
          </cell>
          <cell r="J187">
            <v>0</v>
          </cell>
          <cell r="K187">
            <v>0</v>
          </cell>
          <cell r="M187">
            <v>0</v>
          </cell>
          <cell r="P187">
            <v>19270</v>
          </cell>
          <cell r="V187" t="str">
            <v>Available</v>
          </cell>
        </row>
        <row r="188">
          <cell r="E188">
            <v>10020002</v>
          </cell>
          <cell r="H188">
            <v>53.099999999999994</v>
          </cell>
          <cell r="I188">
            <v>2379.4300000000003</v>
          </cell>
          <cell r="J188">
            <v>0</v>
          </cell>
          <cell r="K188">
            <v>0</v>
          </cell>
          <cell r="M188">
            <v>0</v>
          </cell>
          <cell r="P188">
            <v>2379</v>
          </cell>
          <cell r="V188" t="str">
            <v>Available</v>
          </cell>
        </row>
        <row r="189">
          <cell r="E189">
            <v>10020002</v>
          </cell>
          <cell r="H189">
            <v>767.60000000000025</v>
          </cell>
          <cell r="I189">
            <v>38283.929999999993</v>
          </cell>
          <cell r="J189">
            <v>0</v>
          </cell>
          <cell r="K189">
            <v>0</v>
          </cell>
          <cell r="M189">
            <v>0</v>
          </cell>
          <cell r="P189">
            <v>38284</v>
          </cell>
          <cell r="V189" t="str">
            <v>Available</v>
          </cell>
        </row>
        <row r="190">
          <cell r="E190">
            <v>10020002</v>
          </cell>
          <cell r="H190">
            <v>64.5</v>
          </cell>
          <cell r="I190">
            <v>3570.7</v>
          </cell>
          <cell r="J190">
            <v>0</v>
          </cell>
          <cell r="K190">
            <v>0</v>
          </cell>
          <cell r="M190">
            <v>0</v>
          </cell>
          <cell r="P190">
            <v>3571</v>
          </cell>
          <cell r="V190" t="str">
            <v>Available</v>
          </cell>
        </row>
        <row r="191">
          <cell r="E191">
            <v>10020002</v>
          </cell>
          <cell r="H191">
            <v>48.100000000000009</v>
          </cell>
          <cell r="I191">
            <v>2172.14</v>
          </cell>
          <cell r="J191">
            <v>0</v>
          </cell>
          <cell r="K191">
            <v>0</v>
          </cell>
          <cell r="M191">
            <v>0</v>
          </cell>
          <cell r="P191">
            <v>2172</v>
          </cell>
          <cell r="V191" t="str">
            <v>Available</v>
          </cell>
        </row>
        <row r="192">
          <cell r="E192">
            <v>10020002</v>
          </cell>
          <cell r="H192">
            <v>27.3</v>
          </cell>
          <cell r="I192">
            <v>2171.5999999999995</v>
          </cell>
          <cell r="J192">
            <v>0</v>
          </cell>
          <cell r="K192">
            <v>0</v>
          </cell>
          <cell r="M192">
            <v>0</v>
          </cell>
          <cell r="P192">
            <v>2172</v>
          </cell>
          <cell r="V192" t="str">
            <v>Available</v>
          </cell>
        </row>
        <row r="193">
          <cell r="E193">
            <v>10020002</v>
          </cell>
          <cell r="H193">
            <v>61.6</v>
          </cell>
          <cell r="I193">
            <v>3913.1899999999996</v>
          </cell>
          <cell r="J193">
            <v>0</v>
          </cell>
          <cell r="K193">
            <v>0</v>
          </cell>
          <cell r="M193">
            <v>0</v>
          </cell>
          <cell r="P193">
            <v>3913</v>
          </cell>
          <cell r="V193" t="str">
            <v>Available</v>
          </cell>
        </row>
        <row r="194">
          <cell r="E194">
            <v>10020002</v>
          </cell>
          <cell r="H194">
            <v>14.700000000000003</v>
          </cell>
          <cell r="I194">
            <v>913.45999999999992</v>
          </cell>
          <cell r="J194">
            <v>0</v>
          </cell>
          <cell r="K194">
            <v>0</v>
          </cell>
          <cell r="M194">
            <v>0</v>
          </cell>
          <cell r="P194">
            <v>913</v>
          </cell>
          <cell r="V194" t="str">
            <v>Available</v>
          </cell>
        </row>
        <row r="195">
          <cell r="E195">
            <v>10020002</v>
          </cell>
          <cell r="H195">
            <v>121.69999999999996</v>
          </cell>
          <cell r="I195">
            <v>6813.2599999999993</v>
          </cell>
          <cell r="J195">
            <v>0</v>
          </cell>
          <cell r="K195">
            <v>0</v>
          </cell>
          <cell r="M195">
            <v>0</v>
          </cell>
          <cell r="P195">
            <v>6813</v>
          </cell>
          <cell r="V195" t="str">
            <v>Available</v>
          </cell>
        </row>
        <row r="196">
          <cell r="E196">
            <v>10020002</v>
          </cell>
          <cell r="H196">
            <v>5.3</v>
          </cell>
          <cell r="I196">
            <v>294.08</v>
          </cell>
          <cell r="J196">
            <v>0</v>
          </cell>
          <cell r="K196">
            <v>0</v>
          </cell>
          <cell r="M196">
            <v>0</v>
          </cell>
          <cell r="P196">
            <v>294</v>
          </cell>
          <cell r="V196" t="str">
            <v>Available</v>
          </cell>
        </row>
        <row r="197">
          <cell r="E197">
            <v>10020002</v>
          </cell>
          <cell r="H197">
            <v>19.500000000000004</v>
          </cell>
          <cell r="I197">
            <v>975.68000000000006</v>
          </cell>
          <cell r="J197">
            <v>0</v>
          </cell>
          <cell r="K197">
            <v>0</v>
          </cell>
          <cell r="M197">
            <v>0</v>
          </cell>
          <cell r="P197">
            <v>976</v>
          </cell>
          <cell r="V197" t="str">
            <v>Available</v>
          </cell>
        </row>
        <row r="198">
          <cell r="E198">
            <v>10020002</v>
          </cell>
          <cell r="H198">
            <v>504.6</v>
          </cell>
          <cell r="I198">
            <v>21393.15</v>
          </cell>
          <cell r="J198">
            <v>0</v>
          </cell>
          <cell r="K198">
            <v>0</v>
          </cell>
          <cell r="M198">
            <v>0</v>
          </cell>
          <cell r="P198">
            <v>21393</v>
          </cell>
          <cell r="V198" t="str">
            <v>Not Available</v>
          </cell>
        </row>
        <row r="199">
          <cell r="E199">
            <v>10020002</v>
          </cell>
          <cell r="H199">
            <v>429.1</v>
          </cell>
          <cell r="I199">
            <v>18160.909999999996</v>
          </cell>
          <cell r="J199">
            <v>0</v>
          </cell>
          <cell r="K199">
            <v>0</v>
          </cell>
          <cell r="M199">
            <v>0</v>
          </cell>
          <cell r="P199">
            <v>18161</v>
          </cell>
          <cell r="V199" t="str">
            <v>Not Available</v>
          </cell>
        </row>
        <row r="200">
          <cell r="E200">
            <v>10020004</v>
          </cell>
          <cell r="H200">
            <v>488.90000000000003</v>
          </cell>
          <cell r="I200">
            <v>19580.96</v>
          </cell>
          <cell r="J200">
            <v>0</v>
          </cell>
          <cell r="K200">
            <v>0</v>
          </cell>
          <cell r="M200">
            <v>0</v>
          </cell>
          <cell r="P200">
            <v>19544</v>
          </cell>
          <cell r="V200" t="str">
            <v>Available</v>
          </cell>
        </row>
        <row r="201">
          <cell r="E201">
            <v>10020010</v>
          </cell>
          <cell r="H201">
            <v>0.3</v>
          </cell>
          <cell r="I201">
            <v>10.89</v>
          </cell>
          <cell r="J201">
            <v>0</v>
          </cell>
          <cell r="K201">
            <v>10.89</v>
          </cell>
          <cell r="M201">
            <v>0</v>
          </cell>
          <cell r="P201">
            <v>0</v>
          </cell>
          <cell r="V201" t="str">
            <v>Not Available</v>
          </cell>
        </row>
        <row r="202">
          <cell r="E202">
            <v>10020010</v>
          </cell>
          <cell r="H202">
            <v>34.1</v>
          </cell>
          <cell r="I202">
            <v>1338.57</v>
          </cell>
          <cell r="J202">
            <v>0</v>
          </cell>
          <cell r="K202">
            <v>0</v>
          </cell>
          <cell r="M202">
            <v>0</v>
          </cell>
          <cell r="P202">
            <v>1221</v>
          </cell>
          <cell r="V202" t="str">
            <v>Available</v>
          </cell>
        </row>
        <row r="203">
          <cell r="E203">
            <v>10020010</v>
          </cell>
          <cell r="H203">
            <v>20.100000000000001</v>
          </cell>
          <cell r="I203">
            <v>729.43</v>
          </cell>
          <cell r="J203">
            <v>0</v>
          </cell>
          <cell r="K203">
            <v>0</v>
          </cell>
          <cell r="M203">
            <v>0</v>
          </cell>
          <cell r="P203">
            <v>729</v>
          </cell>
          <cell r="V203" t="str">
            <v>Available</v>
          </cell>
        </row>
        <row r="204">
          <cell r="E204">
            <v>10020010</v>
          </cell>
          <cell r="H204">
            <v>69</v>
          </cell>
          <cell r="I204">
            <v>2812.32</v>
          </cell>
          <cell r="J204">
            <v>0</v>
          </cell>
          <cell r="K204">
            <v>0</v>
          </cell>
          <cell r="M204">
            <v>0</v>
          </cell>
          <cell r="P204">
            <v>2812</v>
          </cell>
          <cell r="V204" t="str">
            <v>Available</v>
          </cell>
        </row>
        <row r="205">
          <cell r="E205">
            <v>10020017</v>
          </cell>
          <cell r="H205">
            <v>31.500000000000004</v>
          </cell>
          <cell r="I205">
            <v>1480.86</v>
          </cell>
          <cell r="J205">
            <v>0</v>
          </cell>
          <cell r="K205">
            <v>1480.86</v>
          </cell>
          <cell r="M205">
            <v>0</v>
          </cell>
          <cell r="P205">
            <v>0</v>
          </cell>
          <cell r="V205" t="str">
            <v>Not Available</v>
          </cell>
        </row>
        <row r="206">
          <cell r="E206">
            <v>10020017</v>
          </cell>
          <cell r="H206">
            <v>1000</v>
          </cell>
          <cell r="I206">
            <v>27300</v>
          </cell>
          <cell r="J206">
            <v>0</v>
          </cell>
          <cell r="K206">
            <v>0</v>
          </cell>
          <cell r="M206">
            <v>0</v>
          </cell>
          <cell r="P206">
            <v>23795</v>
          </cell>
          <cell r="V206" t="str">
            <v>Available</v>
          </cell>
        </row>
        <row r="207">
          <cell r="E207">
            <v>10020017</v>
          </cell>
          <cell r="H207">
            <v>41.8</v>
          </cell>
          <cell r="I207">
            <v>1632.7000000000003</v>
          </cell>
          <cell r="J207">
            <v>0</v>
          </cell>
          <cell r="K207">
            <v>0</v>
          </cell>
          <cell r="M207">
            <v>0</v>
          </cell>
          <cell r="P207">
            <v>1633</v>
          </cell>
          <cell r="V207" t="str">
            <v>Available</v>
          </cell>
        </row>
        <row r="208">
          <cell r="E208">
            <v>10020017</v>
          </cell>
          <cell r="H208">
            <v>110.99999999999999</v>
          </cell>
          <cell r="I208">
            <v>4336.33</v>
          </cell>
          <cell r="J208">
            <v>0</v>
          </cell>
          <cell r="K208">
            <v>0</v>
          </cell>
          <cell r="M208">
            <v>0</v>
          </cell>
          <cell r="P208">
            <v>4336</v>
          </cell>
          <cell r="V208" t="str">
            <v>Available</v>
          </cell>
        </row>
        <row r="209">
          <cell r="E209">
            <v>10020017</v>
          </cell>
          <cell r="H209">
            <v>12.4</v>
          </cell>
          <cell r="I209">
            <v>535.14</v>
          </cell>
          <cell r="J209">
            <v>0</v>
          </cell>
          <cell r="K209">
            <v>0</v>
          </cell>
          <cell r="M209">
            <v>0</v>
          </cell>
          <cell r="P209">
            <v>535</v>
          </cell>
          <cell r="V209" t="str">
            <v>Available</v>
          </cell>
        </row>
        <row r="210">
          <cell r="E210">
            <v>10020017</v>
          </cell>
          <cell r="H210">
            <v>48.79999999999999</v>
          </cell>
          <cell r="I210">
            <v>1906.14</v>
          </cell>
          <cell r="J210">
            <v>0</v>
          </cell>
          <cell r="K210">
            <v>0</v>
          </cell>
          <cell r="M210">
            <v>0</v>
          </cell>
          <cell r="P210">
            <v>1906</v>
          </cell>
          <cell r="V210" t="str">
            <v>Available</v>
          </cell>
        </row>
        <row r="211">
          <cell r="E211">
            <v>10020017</v>
          </cell>
          <cell r="H211">
            <v>50.6</v>
          </cell>
          <cell r="I211">
            <v>1976.4300000000003</v>
          </cell>
          <cell r="J211">
            <v>0</v>
          </cell>
          <cell r="K211">
            <v>0</v>
          </cell>
          <cell r="M211">
            <v>0</v>
          </cell>
          <cell r="P211">
            <v>1976</v>
          </cell>
          <cell r="V211" t="str">
            <v>Available</v>
          </cell>
        </row>
        <row r="212">
          <cell r="E212">
            <v>10020017</v>
          </cell>
          <cell r="H212">
            <v>47.1</v>
          </cell>
          <cell r="I212">
            <v>1839.7400000000002</v>
          </cell>
          <cell r="J212">
            <v>0</v>
          </cell>
          <cell r="K212">
            <v>0</v>
          </cell>
          <cell r="M212">
            <v>0</v>
          </cell>
          <cell r="P212">
            <v>1840</v>
          </cell>
          <cell r="V212" t="str">
            <v>Available</v>
          </cell>
        </row>
        <row r="213">
          <cell r="E213">
            <v>10020017</v>
          </cell>
          <cell r="H213">
            <v>24.1</v>
          </cell>
          <cell r="I213">
            <v>952.27</v>
          </cell>
          <cell r="J213">
            <v>0</v>
          </cell>
          <cell r="K213">
            <v>0</v>
          </cell>
          <cell r="M213">
            <v>0</v>
          </cell>
          <cell r="P213">
            <v>952</v>
          </cell>
          <cell r="V213" t="str">
            <v>Available</v>
          </cell>
        </row>
        <row r="214">
          <cell r="E214">
            <v>10020017</v>
          </cell>
          <cell r="H214">
            <v>9.6</v>
          </cell>
          <cell r="I214">
            <v>580.54999999999995</v>
          </cell>
          <cell r="J214">
            <v>0</v>
          </cell>
          <cell r="K214">
            <v>0</v>
          </cell>
          <cell r="M214">
            <v>0</v>
          </cell>
          <cell r="P214">
            <v>581</v>
          </cell>
          <cell r="V214" t="str">
            <v>Available</v>
          </cell>
        </row>
        <row r="215">
          <cell r="E215">
            <v>10020017</v>
          </cell>
          <cell r="H215">
            <v>78.099999999999994</v>
          </cell>
          <cell r="I215">
            <v>3095.63</v>
          </cell>
          <cell r="J215">
            <v>0</v>
          </cell>
          <cell r="K215">
            <v>0</v>
          </cell>
          <cell r="M215">
            <v>0</v>
          </cell>
          <cell r="P215">
            <v>3096</v>
          </cell>
          <cell r="V215" t="str">
            <v>Available</v>
          </cell>
        </row>
        <row r="216">
          <cell r="E216">
            <v>10020017</v>
          </cell>
          <cell r="H216">
            <v>94</v>
          </cell>
          <cell r="I216">
            <v>4008.81</v>
          </cell>
          <cell r="J216">
            <v>0</v>
          </cell>
          <cell r="K216">
            <v>0</v>
          </cell>
          <cell r="M216">
            <v>0</v>
          </cell>
          <cell r="P216">
            <v>4009</v>
          </cell>
          <cell r="V216" t="str">
            <v>Available</v>
          </cell>
        </row>
        <row r="217">
          <cell r="E217">
            <v>10020017</v>
          </cell>
          <cell r="H217">
            <v>27</v>
          </cell>
          <cell r="I217">
            <v>1663.41</v>
          </cell>
          <cell r="J217">
            <v>0</v>
          </cell>
          <cell r="K217">
            <v>0</v>
          </cell>
          <cell r="M217">
            <v>0</v>
          </cell>
          <cell r="P217">
            <v>1663</v>
          </cell>
          <cell r="V217" t="str">
            <v>Available</v>
          </cell>
        </row>
        <row r="218">
          <cell r="E218">
            <v>10020017</v>
          </cell>
          <cell r="H218">
            <v>17.8</v>
          </cell>
          <cell r="I218">
            <v>1180.18</v>
          </cell>
          <cell r="J218">
            <v>0</v>
          </cell>
          <cell r="K218">
            <v>0</v>
          </cell>
          <cell r="M218">
            <v>0</v>
          </cell>
          <cell r="P218">
            <v>1180</v>
          </cell>
          <cell r="V218" t="str">
            <v>Available</v>
          </cell>
        </row>
        <row r="219">
          <cell r="E219">
            <v>10020017</v>
          </cell>
          <cell r="H219">
            <v>17.399999999999999</v>
          </cell>
          <cell r="I219">
            <v>703.08</v>
          </cell>
          <cell r="J219">
            <v>0</v>
          </cell>
          <cell r="K219">
            <v>0</v>
          </cell>
          <cell r="M219">
            <v>0</v>
          </cell>
          <cell r="P219">
            <v>703</v>
          </cell>
          <cell r="V219" t="str">
            <v>Available</v>
          </cell>
        </row>
        <row r="220">
          <cell r="E220">
            <v>10020017</v>
          </cell>
          <cell r="H220">
            <v>9.9</v>
          </cell>
          <cell r="I220">
            <v>428.23999999999995</v>
          </cell>
          <cell r="J220">
            <v>0</v>
          </cell>
          <cell r="K220">
            <v>0</v>
          </cell>
          <cell r="M220">
            <v>0</v>
          </cell>
          <cell r="P220">
            <v>428</v>
          </cell>
          <cell r="V220" t="str">
            <v>Available</v>
          </cell>
        </row>
        <row r="221">
          <cell r="E221">
            <v>10020017</v>
          </cell>
          <cell r="H221">
            <v>25.2</v>
          </cell>
          <cell r="I221">
            <v>1118.6200000000001</v>
          </cell>
          <cell r="J221">
            <v>0</v>
          </cell>
          <cell r="K221">
            <v>0</v>
          </cell>
          <cell r="M221">
            <v>0</v>
          </cell>
          <cell r="P221">
            <v>1119</v>
          </cell>
          <cell r="V221" t="str">
            <v>Available</v>
          </cell>
        </row>
        <row r="222">
          <cell r="E222">
            <v>10020017</v>
          </cell>
          <cell r="H222">
            <v>26.799999999999997</v>
          </cell>
          <cell r="I222">
            <v>1249.3799999999999</v>
          </cell>
          <cell r="J222">
            <v>0</v>
          </cell>
          <cell r="K222">
            <v>0</v>
          </cell>
          <cell r="M222">
            <v>0</v>
          </cell>
          <cell r="P222">
            <v>1249</v>
          </cell>
          <cell r="V222" t="str">
            <v>Available</v>
          </cell>
        </row>
        <row r="223">
          <cell r="E223">
            <v>10020017</v>
          </cell>
          <cell r="H223">
            <v>30.099999999999998</v>
          </cell>
          <cell r="I223">
            <v>1185.3900000000001</v>
          </cell>
          <cell r="J223">
            <v>0</v>
          </cell>
          <cell r="K223">
            <v>0</v>
          </cell>
          <cell r="M223">
            <v>0</v>
          </cell>
          <cell r="P223">
            <v>1185</v>
          </cell>
          <cell r="V223" t="str">
            <v>Available</v>
          </cell>
        </row>
        <row r="224">
          <cell r="E224">
            <v>10020017</v>
          </cell>
          <cell r="H224">
            <v>45.8</v>
          </cell>
          <cell r="I224">
            <v>1788.9400000000003</v>
          </cell>
          <cell r="J224">
            <v>0</v>
          </cell>
          <cell r="K224">
            <v>0</v>
          </cell>
          <cell r="M224">
            <v>0</v>
          </cell>
          <cell r="P224">
            <v>1789</v>
          </cell>
          <cell r="V224" t="str">
            <v>Available</v>
          </cell>
        </row>
        <row r="225">
          <cell r="E225">
            <v>10020017</v>
          </cell>
          <cell r="H225">
            <v>18.5</v>
          </cell>
          <cell r="I225">
            <v>722.63000000000011</v>
          </cell>
          <cell r="J225">
            <v>0</v>
          </cell>
          <cell r="K225">
            <v>0</v>
          </cell>
          <cell r="M225">
            <v>0</v>
          </cell>
          <cell r="P225">
            <v>723</v>
          </cell>
          <cell r="V225" t="str">
            <v>Available</v>
          </cell>
        </row>
        <row r="226">
          <cell r="E226">
            <v>10020017</v>
          </cell>
          <cell r="H226">
            <v>7.0000000000000009</v>
          </cell>
          <cell r="I226">
            <v>301.03000000000003</v>
          </cell>
          <cell r="J226">
            <v>0</v>
          </cell>
          <cell r="K226">
            <v>0</v>
          </cell>
          <cell r="M226">
            <v>0</v>
          </cell>
          <cell r="P226">
            <v>301</v>
          </cell>
          <cell r="V226" t="str">
            <v>Available</v>
          </cell>
        </row>
        <row r="227">
          <cell r="E227">
            <v>10020017</v>
          </cell>
          <cell r="H227">
            <v>190.60000000000005</v>
          </cell>
          <cell r="I227">
            <v>7504.8099999999995</v>
          </cell>
          <cell r="J227">
            <v>0</v>
          </cell>
          <cell r="K227">
            <v>0</v>
          </cell>
          <cell r="M227">
            <v>0</v>
          </cell>
          <cell r="P227">
            <v>7505</v>
          </cell>
          <cell r="V227" t="str">
            <v>Available</v>
          </cell>
        </row>
        <row r="228">
          <cell r="E228">
            <v>10020017</v>
          </cell>
          <cell r="H228">
            <v>116.40000000000002</v>
          </cell>
          <cell r="I228">
            <v>5364.0200000000013</v>
          </cell>
          <cell r="J228">
            <v>0</v>
          </cell>
          <cell r="K228">
            <v>0</v>
          </cell>
          <cell r="M228">
            <v>0</v>
          </cell>
          <cell r="P228">
            <v>5364</v>
          </cell>
          <cell r="V228" t="str">
            <v>Available</v>
          </cell>
        </row>
        <row r="229">
          <cell r="E229">
            <v>10020017</v>
          </cell>
          <cell r="H229">
            <v>20.599999999999998</v>
          </cell>
          <cell r="I229">
            <v>806.01</v>
          </cell>
          <cell r="J229">
            <v>0</v>
          </cell>
          <cell r="K229">
            <v>0</v>
          </cell>
          <cell r="M229">
            <v>0</v>
          </cell>
          <cell r="P229">
            <v>806</v>
          </cell>
          <cell r="V229" t="str">
            <v>Available</v>
          </cell>
        </row>
        <row r="230">
          <cell r="E230">
            <v>10020017</v>
          </cell>
          <cell r="H230">
            <v>10.8</v>
          </cell>
          <cell r="I230">
            <v>421.85</v>
          </cell>
          <cell r="J230">
            <v>0</v>
          </cell>
          <cell r="K230">
            <v>0</v>
          </cell>
          <cell r="M230">
            <v>0</v>
          </cell>
          <cell r="P230">
            <v>422</v>
          </cell>
          <cell r="V230" t="str">
            <v>Available</v>
          </cell>
        </row>
        <row r="231">
          <cell r="E231">
            <v>10020017</v>
          </cell>
          <cell r="H231">
            <v>4.0999999999999996</v>
          </cell>
          <cell r="I231">
            <v>160.15</v>
          </cell>
          <cell r="J231">
            <v>0</v>
          </cell>
          <cell r="K231">
            <v>0</v>
          </cell>
          <cell r="M231">
            <v>0</v>
          </cell>
          <cell r="P231">
            <v>160</v>
          </cell>
          <cell r="V231" t="str">
            <v>Available</v>
          </cell>
        </row>
        <row r="232">
          <cell r="E232">
            <v>10020017</v>
          </cell>
          <cell r="H232">
            <v>62.6</v>
          </cell>
          <cell r="I232">
            <v>2445.16</v>
          </cell>
          <cell r="J232">
            <v>0</v>
          </cell>
          <cell r="K232">
            <v>0</v>
          </cell>
          <cell r="M232">
            <v>0</v>
          </cell>
          <cell r="P232">
            <v>2445</v>
          </cell>
          <cell r="V232" t="str">
            <v>Available</v>
          </cell>
        </row>
        <row r="233">
          <cell r="E233">
            <v>10020017</v>
          </cell>
          <cell r="H233">
            <v>68.7</v>
          </cell>
          <cell r="I233">
            <v>4428.6900000000005</v>
          </cell>
          <cell r="J233">
            <v>0</v>
          </cell>
          <cell r="K233">
            <v>0</v>
          </cell>
          <cell r="M233">
            <v>0</v>
          </cell>
          <cell r="P233">
            <v>4429</v>
          </cell>
          <cell r="V233" t="str">
            <v>Available</v>
          </cell>
        </row>
        <row r="234">
          <cell r="E234">
            <v>10020017</v>
          </cell>
          <cell r="H234">
            <v>7.3000000000000007</v>
          </cell>
          <cell r="I234">
            <v>348.84</v>
          </cell>
          <cell r="J234">
            <v>0</v>
          </cell>
          <cell r="K234">
            <v>0</v>
          </cell>
          <cell r="M234">
            <v>0</v>
          </cell>
          <cell r="P234">
            <v>349</v>
          </cell>
          <cell r="V234" t="str">
            <v>Available</v>
          </cell>
        </row>
        <row r="235">
          <cell r="E235">
            <v>10020017</v>
          </cell>
          <cell r="H235">
            <v>11.899999999999999</v>
          </cell>
          <cell r="I235">
            <v>559.97</v>
          </cell>
          <cell r="J235">
            <v>0</v>
          </cell>
          <cell r="K235">
            <v>0</v>
          </cell>
          <cell r="M235">
            <v>0</v>
          </cell>
          <cell r="P235">
            <v>560</v>
          </cell>
          <cell r="V235" t="str">
            <v>Available</v>
          </cell>
        </row>
        <row r="236">
          <cell r="E236">
            <v>10020017</v>
          </cell>
          <cell r="H236">
            <v>254.1</v>
          </cell>
          <cell r="I236">
            <v>10164.06</v>
          </cell>
          <cell r="J236">
            <v>0</v>
          </cell>
          <cell r="K236">
            <v>0</v>
          </cell>
          <cell r="M236">
            <v>0</v>
          </cell>
          <cell r="P236">
            <v>10164</v>
          </cell>
          <cell r="V236" t="str">
            <v>Available</v>
          </cell>
        </row>
        <row r="237">
          <cell r="E237">
            <v>10020017</v>
          </cell>
          <cell r="H237">
            <v>64.5</v>
          </cell>
          <cell r="I237">
            <v>2521.19</v>
          </cell>
          <cell r="J237">
            <v>0</v>
          </cell>
          <cell r="K237">
            <v>0</v>
          </cell>
          <cell r="M237">
            <v>0</v>
          </cell>
          <cell r="P237">
            <v>2521</v>
          </cell>
          <cell r="V237" t="str">
            <v>Available</v>
          </cell>
        </row>
        <row r="238">
          <cell r="E238">
            <v>10020017</v>
          </cell>
          <cell r="H238">
            <v>75.900000000000006</v>
          </cell>
          <cell r="I238">
            <v>2993.3</v>
          </cell>
          <cell r="J238">
            <v>0</v>
          </cell>
          <cell r="K238">
            <v>0</v>
          </cell>
          <cell r="M238">
            <v>0</v>
          </cell>
          <cell r="P238">
            <v>2993</v>
          </cell>
          <cell r="V238" t="str">
            <v>Available</v>
          </cell>
        </row>
        <row r="239">
          <cell r="E239">
            <v>10020017</v>
          </cell>
          <cell r="H239">
            <v>16.5</v>
          </cell>
          <cell r="I239">
            <v>737.35000000000014</v>
          </cell>
          <cell r="J239">
            <v>0</v>
          </cell>
          <cell r="K239">
            <v>0</v>
          </cell>
          <cell r="M239">
            <v>0</v>
          </cell>
          <cell r="P239">
            <v>737</v>
          </cell>
          <cell r="V239" t="str">
            <v>Available</v>
          </cell>
        </row>
        <row r="240">
          <cell r="E240">
            <v>10020017</v>
          </cell>
          <cell r="H240">
            <v>20.6</v>
          </cell>
          <cell r="I240">
            <v>814.12000000000012</v>
          </cell>
          <cell r="J240">
            <v>0</v>
          </cell>
          <cell r="K240">
            <v>0</v>
          </cell>
          <cell r="M240">
            <v>0</v>
          </cell>
          <cell r="P240">
            <v>814</v>
          </cell>
          <cell r="V240" t="str">
            <v>Available</v>
          </cell>
        </row>
        <row r="241">
          <cell r="E241">
            <v>10020017</v>
          </cell>
          <cell r="H241">
            <v>24.1</v>
          </cell>
          <cell r="I241">
            <v>1009.6999999999999</v>
          </cell>
          <cell r="J241">
            <v>0</v>
          </cell>
          <cell r="K241">
            <v>0</v>
          </cell>
          <cell r="M241">
            <v>0</v>
          </cell>
          <cell r="P241">
            <v>1010</v>
          </cell>
          <cell r="V241" t="str">
            <v>Available</v>
          </cell>
        </row>
        <row r="242">
          <cell r="E242">
            <v>10020017</v>
          </cell>
          <cell r="H242">
            <v>48.3</v>
          </cell>
          <cell r="I242">
            <v>1921.8300000000002</v>
          </cell>
          <cell r="J242">
            <v>0</v>
          </cell>
          <cell r="K242">
            <v>0</v>
          </cell>
          <cell r="M242">
            <v>0</v>
          </cell>
          <cell r="P242">
            <v>1922</v>
          </cell>
          <cell r="V242" t="str">
            <v>Available</v>
          </cell>
        </row>
        <row r="243">
          <cell r="E243">
            <v>10020017</v>
          </cell>
          <cell r="H243">
            <v>29.400000000000002</v>
          </cell>
          <cell r="I243">
            <v>1188.53</v>
          </cell>
          <cell r="J243">
            <v>0</v>
          </cell>
          <cell r="K243">
            <v>0</v>
          </cell>
          <cell r="M243">
            <v>0</v>
          </cell>
          <cell r="P243">
            <v>1189</v>
          </cell>
          <cell r="V243" t="str">
            <v>Available</v>
          </cell>
        </row>
        <row r="244">
          <cell r="E244">
            <v>10020017</v>
          </cell>
          <cell r="H244">
            <v>101.40000000000002</v>
          </cell>
          <cell r="I244">
            <v>3964.6900000000005</v>
          </cell>
          <cell r="J244">
            <v>0</v>
          </cell>
          <cell r="K244">
            <v>0</v>
          </cell>
          <cell r="M244">
            <v>0</v>
          </cell>
          <cell r="P244">
            <v>3965</v>
          </cell>
          <cell r="V244" t="str">
            <v>Available</v>
          </cell>
        </row>
        <row r="245">
          <cell r="E245">
            <v>10020017</v>
          </cell>
          <cell r="H245">
            <v>55.400000000000006</v>
          </cell>
          <cell r="I245">
            <v>3208.58</v>
          </cell>
          <cell r="J245">
            <v>0</v>
          </cell>
          <cell r="K245">
            <v>0</v>
          </cell>
          <cell r="M245">
            <v>0</v>
          </cell>
          <cell r="P245">
            <v>3209</v>
          </cell>
          <cell r="V245" t="str">
            <v>Available</v>
          </cell>
        </row>
        <row r="246">
          <cell r="E246">
            <v>10020017</v>
          </cell>
          <cell r="H246">
            <v>6.4</v>
          </cell>
          <cell r="I246">
            <v>261.82000000000005</v>
          </cell>
          <cell r="J246">
            <v>0</v>
          </cell>
          <cell r="K246">
            <v>0</v>
          </cell>
          <cell r="M246">
            <v>0</v>
          </cell>
          <cell r="P246">
            <v>262</v>
          </cell>
          <cell r="V246" t="str">
            <v>Available</v>
          </cell>
        </row>
        <row r="247">
          <cell r="E247">
            <v>10020017</v>
          </cell>
          <cell r="H247">
            <v>27.2</v>
          </cell>
          <cell r="I247">
            <v>1062.43</v>
          </cell>
          <cell r="J247">
            <v>0</v>
          </cell>
          <cell r="K247">
            <v>0</v>
          </cell>
          <cell r="M247">
            <v>0</v>
          </cell>
          <cell r="P247">
            <v>1062</v>
          </cell>
          <cell r="V247" t="str">
            <v>Available</v>
          </cell>
        </row>
        <row r="248">
          <cell r="E248">
            <v>10020017</v>
          </cell>
          <cell r="H248">
            <v>67.5</v>
          </cell>
          <cell r="I248">
            <v>2638.2300000000005</v>
          </cell>
          <cell r="J248">
            <v>0</v>
          </cell>
          <cell r="K248">
            <v>0</v>
          </cell>
          <cell r="M248">
            <v>0</v>
          </cell>
          <cell r="P248">
            <v>2638</v>
          </cell>
          <cell r="V248" t="str">
            <v>Available</v>
          </cell>
        </row>
        <row r="249">
          <cell r="E249">
            <v>10020017</v>
          </cell>
          <cell r="H249">
            <v>129.60000000000002</v>
          </cell>
          <cell r="I249">
            <v>6350.68</v>
          </cell>
          <cell r="J249">
            <v>0</v>
          </cell>
          <cell r="K249">
            <v>0</v>
          </cell>
          <cell r="M249">
            <v>0</v>
          </cell>
          <cell r="P249">
            <v>6351</v>
          </cell>
          <cell r="V249" t="str">
            <v>Available</v>
          </cell>
        </row>
        <row r="250">
          <cell r="E250">
            <v>10020017</v>
          </cell>
          <cell r="H250">
            <v>16</v>
          </cell>
          <cell r="I250">
            <v>624.96</v>
          </cell>
          <cell r="J250">
            <v>0</v>
          </cell>
          <cell r="K250">
            <v>0</v>
          </cell>
          <cell r="M250">
            <v>0</v>
          </cell>
          <cell r="P250">
            <v>625</v>
          </cell>
          <cell r="V250" t="str">
            <v>Available</v>
          </cell>
        </row>
        <row r="251">
          <cell r="E251">
            <v>10020017</v>
          </cell>
          <cell r="H251">
            <v>17.100000000000001</v>
          </cell>
          <cell r="I251">
            <v>675.93</v>
          </cell>
          <cell r="J251">
            <v>0</v>
          </cell>
          <cell r="K251">
            <v>0</v>
          </cell>
          <cell r="M251">
            <v>0</v>
          </cell>
          <cell r="P251">
            <v>676</v>
          </cell>
          <cell r="V251" t="str">
            <v>Available</v>
          </cell>
        </row>
        <row r="252">
          <cell r="E252">
            <v>10020017</v>
          </cell>
          <cell r="H252">
            <v>118.19999999999997</v>
          </cell>
          <cell r="I252">
            <v>4618.1200000000008</v>
          </cell>
          <cell r="J252">
            <v>0</v>
          </cell>
          <cell r="K252">
            <v>0</v>
          </cell>
          <cell r="M252">
            <v>0</v>
          </cell>
          <cell r="P252">
            <v>4618</v>
          </cell>
          <cell r="V252" t="str">
            <v>Available</v>
          </cell>
        </row>
        <row r="253">
          <cell r="E253">
            <v>10020017</v>
          </cell>
          <cell r="H253">
            <v>35.4</v>
          </cell>
          <cell r="I253">
            <v>1414.67</v>
          </cell>
          <cell r="J253">
            <v>0</v>
          </cell>
          <cell r="K253">
            <v>0</v>
          </cell>
          <cell r="M253">
            <v>0</v>
          </cell>
          <cell r="P253">
            <v>1415</v>
          </cell>
          <cell r="V253" t="str">
            <v>Available</v>
          </cell>
        </row>
        <row r="254">
          <cell r="E254">
            <v>10020017</v>
          </cell>
          <cell r="H254">
            <v>35.6</v>
          </cell>
          <cell r="I254">
            <v>1614.27</v>
          </cell>
          <cell r="J254">
            <v>0</v>
          </cell>
          <cell r="K254">
            <v>0</v>
          </cell>
          <cell r="M254">
            <v>0</v>
          </cell>
          <cell r="P254">
            <v>1614</v>
          </cell>
          <cell r="V254" t="str">
            <v>Available</v>
          </cell>
        </row>
        <row r="255">
          <cell r="E255">
            <v>10020017</v>
          </cell>
          <cell r="H255">
            <v>37.000000000000007</v>
          </cell>
          <cell r="I255">
            <v>1656.9899999999998</v>
          </cell>
          <cell r="J255">
            <v>0</v>
          </cell>
          <cell r="K255">
            <v>0</v>
          </cell>
          <cell r="M255">
            <v>0</v>
          </cell>
          <cell r="P255">
            <v>1657</v>
          </cell>
          <cell r="V255" t="str">
            <v>Available</v>
          </cell>
        </row>
        <row r="256">
          <cell r="E256">
            <v>10020017</v>
          </cell>
          <cell r="H256">
            <v>28.6</v>
          </cell>
          <cell r="I256">
            <v>1366.5100000000002</v>
          </cell>
          <cell r="J256">
            <v>0</v>
          </cell>
          <cell r="K256">
            <v>0</v>
          </cell>
          <cell r="M256">
            <v>0</v>
          </cell>
          <cell r="P256">
            <v>1367</v>
          </cell>
          <cell r="V256" t="str">
            <v>Available</v>
          </cell>
        </row>
        <row r="257">
          <cell r="E257">
            <v>10020017</v>
          </cell>
          <cell r="H257">
            <v>31.4</v>
          </cell>
          <cell r="I257">
            <v>1256.4999999999998</v>
          </cell>
          <cell r="J257">
            <v>0</v>
          </cell>
          <cell r="K257">
            <v>0</v>
          </cell>
          <cell r="M257">
            <v>0</v>
          </cell>
          <cell r="P257">
            <v>1257</v>
          </cell>
          <cell r="V257" t="str">
            <v>Available</v>
          </cell>
        </row>
        <row r="258">
          <cell r="E258">
            <v>10020017</v>
          </cell>
          <cell r="H258">
            <v>17.200000000000003</v>
          </cell>
          <cell r="I258">
            <v>695.45</v>
          </cell>
          <cell r="J258">
            <v>0</v>
          </cell>
          <cell r="K258">
            <v>0</v>
          </cell>
          <cell r="M258">
            <v>0</v>
          </cell>
          <cell r="P258">
            <v>695</v>
          </cell>
          <cell r="V258" t="str">
            <v>Available</v>
          </cell>
        </row>
        <row r="259">
          <cell r="E259">
            <v>10020017</v>
          </cell>
          <cell r="H259">
            <v>9.8000000000000007</v>
          </cell>
          <cell r="I259">
            <v>410.92</v>
          </cell>
          <cell r="J259">
            <v>0</v>
          </cell>
          <cell r="K259">
            <v>0</v>
          </cell>
          <cell r="M259">
            <v>0</v>
          </cell>
          <cell r="P259">
            <v>411</v>
          </cell>
          <cell r="V259" t="str">
            <v>Available</v>
          </cell>
        </row>
        <row r="260">
          <cell r="E260">
            <v>10020017</v>
          </cell>
          <cell r="H260">
            <v>54.1</v>
          </cell>
          <cell r="I260">
            <v>3065.6299999999997</v>
          </cell>
          <cell r="J260">
            <v>0</v>
          </cell>
          <cell r="K260">
            <v>0</v>
          </cell>
          <cell r="M260">
            <v>0</v>
          </cell>
          <cell r="P260">
            <v>3066</v>
          </cell>
          <cell r="V260" t="str">
            <v>Available</v>
          </cell>
        </row>
        <row r="261">
          <cell r="E261">
            <v>10020017</v>
          </cell>
          <cell r="H261">
            <v>17.400000000000002</v>
          </cell>
          <cell r="I261">
            <v>679.63999999999987</v>
          </cell>
          <cell r="J261">
            <v>0</v>
          </cell>
          <cell r="K261">
            <v>0</v>
          </cell>
          <cell r="M261">
            <v>0</v>
          </cell>
          <cell r="P261">
            <v>680</v>
          </cell>
          <cell r="V261" t="str">
            <v>Available</v>
          </cell>
        </row>
        <row r="262">
          <cell r="E262">
            <v>10020017</v>
          </cell>
          <cell r="H262">
            <v>20.900000000000002</v>
          </cell>
          <cell r="I262">
            <v>818.54000000000019</v>
          </cell>
          <cell r="J262">
            <v>0</v>
          </cell>
          <cell r="K262">
            <v>0</v>
          </cell>
          <cell r="M262">
            <v>0</v>
          </cell>
          <cell r="P262">
            <v>819</v>
          </cell>
          <cell r="V262" t="str">
            <v>Available</v>
          </cell>
        </row>
        <row r="263">
          <cell r="E263">
            <v>10020017</v>
          </cell>
          <cell r="H263">
            <v>43.3</v>
          </cell>
          <cell r="I263">
            <v>1689.5399999999997</v>
          </cell>
          <cell r="J263">
            <v>0</v>
          </cell>
          <cell r="K263">
            <v>0</v>
          </cell>
          <cell r="M263">
            <v>0</v>
          </cell>
          <cell r="P263">
            <v>1690</v>
          </cell>
          <cell r="V263" t="str">
            <v>Available</v>
          </cell>
        </row>
        <row r="264">
          <cell r="E264">
            <v>10020017</v>
          </cell>
          <cell r="H264">
            <v>28.3</v>
          </cell>
          <cell r="I264">
            <v>1202.3500000000001</v>
          </cell>
          <cell r="J264">
            <v>0</v>
          </cell>
          <cell r="K264">
            <v>0</v>
          </cell>
          <cell r="M264">
            <v>0</v>
          </cell>
          <cell r="P264">
            <v>1202</v>
          </cell>
          <cell r="V264" t="str">
            <v>Available</v>
          </cell>
        </row>
        <row r="265">
          <cell r="E265">
            <v>10020021</v>
          </cell>
          <cell r="H265">
            <v>25.4</v>
          </cell>
          <cell r="I265">
            <v>1177.33</v>
          </cell>
          <cell r="J265">
            <v>0</v>
          </cell>
          <cell r="K265">
            <v>1177.33</v>
          </cell>
          <cell r="M265">
            <v>0</v>
          </cell>
          <cell r="P265">
            <v>0</v>
          </cell>
          <cell r="V265" t="str">
            <v>Not Available</v>
          </cell>
        </row>
        <row r="266">
          <cell r="E266">
            <v>10020021</v>
          </cell>
          <cell r="H266">
            <v>249.70000000000002</v>
          </cell>
          <cell r="I266">
            <v>11163.779999999999</v>
          </cell>
          <cell r="J266">
            <v>0</v>
          </cell>
          <cell r="K266">
            <v>0</v>
          </cell>
          <cell r="M266">
            <v>0</v>
          </cell>
          <cell r="P266">
            <v>6350</v>
          </cell>
          <cell r="V266" t="str">
            <v>Available</v>
          </cell>
        </row>
        <row r="267">
          <cell r="E267">
            <v>10020021</v>
          </cell>
          <cell r="H267">
            <v>12.9</v>
          </cell>
          <cell r="I267">
            <v>523.63</v>
          </cell>
          <cell r="J267">
            <v>0</v>
          </cell>
          <cell r="K267">
            <v>0</v>
          </cell>
          <cell r="M267">
            <v>0</v>
          </cell>
          <cell r="P267">
            <v>524</v>
          </cell>
          <cell r="V267" t="str">
            <v>Available</v>
          </cell>
        </row>
        <row r="268">
          <cell r="E268">
            <v>10020021</v>
          </cell>
          <cell r="H268">
            <v>284.10000000000002</v>
          </cell>
          <cell r="I268">
            <v>12244.410000000003</v>
          </cell>
          <cell r="J268">
            <v>0</v>
          </cell>
          <cell r="K268">
            <v>0</v>
          </cell>
          <cell r="M268">
            <v>0</v>
          </cell>
          <cell r="P268">
            <v>12244</v>
          </cell>
          <cell r="V268" t="str">
            <v>Available</v>
          </cell>
        </row>
        <row r="269">
          <cell r="E269">
            <v>10020021</v>
          </cell>
          <cell r="H269">
            <v>148.30000000000001</v>
          </cell>
          <cell r="I269">
            <v>6177.829999999999</v>
          </cell>
          <cell r="J269">
            <v>0</v>
          </cell>
          <cell r="K269">
            <v>0</v>
          </cell>
          <cell r="M269">
            <v>0</v>
          </cell>
          <cell r="P269">
            <v>6178</v>
          </cell>
          <cell r="V269" t="str">
            <v>Available</v>
          </cell>
        </row>
        <row r="270">
          <cell r="E270">
            <v>10020021</v>
          </cell>
          <cell r="H270">
            <v>65.900000000000006</v>
          </cell>
          <cell r="I270">
            <v>2946.9199999999992</v>
          </cell>
          <cell r="J270">
            <v>0</v>
          </cell>
          <cell r="K270">
            <v>0</v>
          </cell>
          <cell r="M270">
            <v>0</v>
          </cell>
          <cell r="P270">
            <v>2947</v>
          </cell>
          <cell r="V270" t="str">
            <v>Available</v>
          </cell>
        </row>
        <row r="271">
          <cell r="E271">
            <v>10020021</v>
          </cell>
          <cell r="H271">
            <v>380.00000000000006</v>
          </cell>
          <cell r="I271">
            <v>18209.109999999997</v>
          </cell>
          <cell r="J271">
            <v>0</v>
          </cell>
          <cell r="K271">
            <v>0</v>
          </cell>
          <cell r="M271">
            <v>0</v>
          </cell>
          <cell r="P271">
            <v>18209</v>
          </cell>
          <cell r="V271" t="str">
            <v>Available</v>
          </cell>
        </row>
        <row r="272">
          <cell r="E272">
            <v>10020021</v>
          </cell>
          <cell r="H272">
            <v>261.29999999999995</v>
          </cell>
          <cell r="I272">
            <v>11276.049999999997</v>
          </cell>
          <cell r="J272">
            <v>0</v>
          </cell>
          <cell r="K272">
            <v>0</v>
          </cell>
          <cell r="M272">
            <v>0</v>
          </cell>
          <cell r="P272">
            <v>11276</v>
          </cell>
          <cell r="V272" t="str">
            <v>Available</v>
          </cell>
        </row>
        <row r="273">
          <cell r="E273">
            <v>10020021</v>
          </cell>
          <cell r="H273">
            <v>186.8</v>
          </cell>
          <cell r="I273">
            <v>8119.83</v>
          </cell>
          <cell r="J273">
            <v>0</v>
          </cell>
          <cell r="K273">
            <v>0</v>
          </cell>
          <cell r="M273">
            <v>0</v>
          </cell>
          <cell r="P273">
            <v>8120</v>
          </cell>
          <cell r="V273" t="str">
            <v>Available</v>
          </cell>
        </row>
        <row r="274">
          <cell r="E274">
            <v>10020021</v>
          </cell>
          <cell r="H274">
            <v>12.7</v>
          </cell>
          <cell r="I274">
            <v>749.37</v>
          </cell>
          <cell r="J274">
            <v>0</v>
          </cell>
          <cell r="K274">
            <v>0</v>
          </cell>
          <cell r="M274">
            <v>0</v>
          </cell>
          <cell r="P274">
            <v>749</v>
          </cell>
          <cell r="V274" t="str">
            <v>Available</v>
          </cell>
        </row>
        <row r="275">
          <cell r="E275">
            <v>10020021</v>
          </cell>
          <cell r="H275">
            <v>208.79999999999995</v>
          </cell>
          <cell r="I275">
            <v>8731.4299999999985</v>
          </cell>
          <cell r="J275">
            <v>0</v>
          </cell>
          <cell r="K275">
            <v>0</v>
          </cell>
          <cell r="M275">
            <v>0</v>
          </cell>
          <cell r="P275">
            <v>8731</v>
          </cell>
          <cell r="V275" t="str">
            <v>Available</v>
          </cell>
        </row>
        <row r="276">
          <cell r="E276">
            <v>10020021</v>
          </cell>
          <cell r="H276">
            <v>161</v>
          </cell>
          <cell r="I276">
            <v>7286.8600000000006</v>
          </cell>
          <cell r="J276">
            <v>0</v>
          </cell>
          <cell r="K276">
            <v>0</v>
          </cell>
          <cell r="M276">
            <v>0</v>
          </cell>
          <cell r="P276">
            <v>7287</v>
          </cell>
          <cell r="V276" t="str">
            <v>Available</v>
          </cell>
        </row>
        <row r="277">
          <cell r="E277">
            <v>10020021</v>
          </cell>
          <cell r="H277">
            <v>180.7</v>
          </cell>
          <cell r="I277">
            <v>7566.46</v>
          </cell>
          <cell r="J277">
            <v>0</v>
          </cell>
          <cell r="K277">
            <v>0</v>
          </cell>
          <cell r="M277">
            <v>0</v>
          </cell>
          <cell r="P277">
            <v>7566</v>
          </cell>
          <cell r="V277" t="str">
            <v>Available</v>
          </cell>
        </row>
        <row r="278">
          <cell r="E278">
            <v>10020021</v>
          </cell>
          <cell r="H278">
            <v>30.400000000000002</v>
          </cell>
          <cell r="I278">
            <v>1968.19</v>
          </cell>
          <cell r="J278">
            <v>0</v>
          </cell>
          <cell r="K278">
            <v>0</v>
          </cell>
          <cell r="M278">
            <v>0</v>
          </cell>
          <cell r="P278">
            <v>1968</v>
          </cell>
          <cell r="V278" t="str">
            <v>Available</v>
          </cell>
        </row>
        <row r="279">
          <cell r="E279">
            <v>10020021</v>
          </cell>
          <cell r="H279">
            <v>238</v>
          </cell>
          <cell r="I279">
            <v>10152.499999999998</v>
          </cell>
          <cell r="J279">
            <v>0</v>
          </cell>
          <cell r="K279">
            <v>0</v>
          </cell>
          <cell r="M279">
            <v>0</v>
          </cell>
          <cell r="P279">
            <v>10153</v>
          </cell>
          <cell r="V279" t="str">
            <v>Available</v>
          </cell>
        </row>
        <row r="280">
          <cell r="E280">
            <v>10020021</v>
          </cell>
          <cell r="H280">
            <v>7.0000000000000009</v>
          </cell>
          <cell r="I280">
            <v>329.66999999999996</v>
          </cell>
          <cell r="J280">
            <v>0</v>
          </cell>
          <cell r="K280">
            <v>0</v>
          </cell>
          <cell r="M280">
            <v>0</v>
          </cell>
          <cell r="P280">
            <v>330</v>
          </cell>
          <cell r="V280" t="str">
            <v>Available</v>
          </cell>
        </row>
        <row r="281">
          <cell r="E281">
            <v>10020021</v>
          </cell>
          <cell r="H281">
            <v>21.400000000000002</v>
          </cell>
          <cell r="I281">
            <v>1088.75</v>
          </cell>
          <cell r="J281">
            <v>0</v>
          </cell>
          <cell r="K281">
            <v>0</v>
          </cell>
          <cell r="M281">
            <v>0</v>
          </cell>
          <cell r="P281">
            <v>1089</v>
          </cell>
          <cell r="V281" t="str">
            <v>Available</v>
          </cell>
        </row>
        <row r="282">
          <cell r="E282">
            <v>10020021</v>
          </cell>
          <cell r="H282">
            <v>286.20000000000005</v>
          </cell>
          <cell r="I282">
            <v>12238.779999999999</v>
          </cell>
          <cell r="J282">
            <v>0</v>
          </cell>
          <cell r="K282">
            <v>0</v>
          </cell>
          <cell r="M282">
            <v>0</v>
          </cell>
          <cell r="P282">
            <v>12239</v>
          </cell>
          <cell r="V282" t="str">
            <v>Available</v>
          </cell>
        </row>
        <row r="283">
          <cell r="E283">
            <v>10020021</v>
          </cell>
          <cell r="H283">
            <v>186.50000000000003</v>
          </cell>
          <cell r="I283">
            <v>7933.2199999999993</v>
          </cell>
          <cell r="J283">
            <v>0</v>
          </cell>
          <cell r="K283">
            <v>0</v>
          </cell>
          <cell r="M283">
            <v>0</v>
          </cell>
          <cell r="P283">
            <v>7933</v>
          </cell>
          <cell r="V283" t="str">
            <v>Available</v>
          </cell>
        </row>
        <row r="284">
          <cell r="E284">
            <v>10020021</v>
          </cell>
          <cell r="H284">
            <v>302.59999999999997</v>
          </cell>
          <cell r="I284">
            <v>13089.640000000001</v>
          </cell>
          <cell r="J284">
            <v>0</v>
          </cell>
          <cell r="K284">
            <v>0</v>
          </cell>
          <cell r="M284">
            <v>0</v>
          </cell>
          <cell r="P284">
            <v>13090</v>
          </cell>
          <cell r="V284" t="str">
            <v>Available</v>
          </cell>
        </row>
        <row r="285">
          <cell r="E285">
            <v>10020021</v>
          </cell>
          <cell r="H285">
            <v>21.700000000000003</v>
          </cell>
          <cell r="I285">
            <v>987.06000000000006</v>
          </cell>
          <cell r="J285">
            <v>0</v>
          </cell>
          <cell r="K285">
            <v>0</v>
          </cell>
          <cell r="M285">
            <v>0</v>
          </cell>
          <cell r="P285">
            <v>987</v>
          </cell>
          <cell r="V285" t="str">
            <v>Available</v>
          </cell>
        </row>
        <row r="286">
          <cell r="E286">
            <v>10020021</v>
          </cell>
          <cell r="H286">
            <v>38.9</v>
          </cell>
          <cell r="I286">
            <v>1553.7399999999998</v>
          </cell>
          <cell r="J286">
            <v>0</v>
          </cell>
          <cell r="K286">
            <v>0</v>
          </cell>
          <cell r="M286">
            <v>0</v>
          </cell>
          <cell r="P286">
            <v>1554</v>
          </cell>
          <cell r="V286" t="str">
            <v>Not Available</v>
          </cell>
        </row>
        <row r="287">
          <cell r="E287">
            <v>10020021</v>
          </cell>
          <cell r="H287">
            <v>47.5</v>
          </cell>
          <cell r="I287">
            <v>1898.4</v>
          </cell>
          <cell r="J287">
            <v>0</v>
          </cell>
          <cell r="K287">
            <v>0</v>
          </cell>
          <cell r="M287">
            <v>0</v>
          </cell>
          <cell r="P287">
            <v>1898</v>
          </cell>
          <cell r="V287" t="str">
            <v>Not Available</v>
          </cell>
        </row>
        <row r="288">
          <cell r="E288">
            <v>10020021</v>
          </cell>
          <cell r="H288">
            <v>28.300000000000004</v>
          </cell>
          <cell r="I288">
            <v>1126.8399999999999</v>
          </cell>
          <cell r="J288">
            <v>0</v>
          </cell>
          <cell r="K288">
            <v>0</v>
          </cell>
          <cell r="M288">
            <v>0</v>
          </cell>
          <cell r="P288">
            <v>1127</v>
          </cell>
          <cell r="V288" t="str">
            <v>Not Available</v>
          </cell>
        </row>
        <row r="289">
          <cell r="E289">
            <v>10020021</v>
          </cell>
          <cell r="H289">
            <v>25.199999999999996</v>
          </cell>
          <cell r="I289">
            <v>1190.05</v>
          </cell>
          <cell r="J289">
            <v>0</v>
          </cell>
          <cell r="K289">
            <v>0</v>
          </cell>
          <cell r="M289">
            <v>0</v>
          </cell>
          <cell r="P289">
            <v>1190</v>
          </cell>
          <cell r="V289" t="str">
            <v>Not Available</v>
          </cell>
        </row>
        <row r="290">
          <cell r="E290">
            <v>10020021</v>
          </cell>
          <cell r="H290">
            <v>11</v>
          </cell>
          <cell r="I290">
            <v>440.33</v>
          </cell>
          <cell r="J290">
            <v>0</v>
          </cell>
          <cell r="K290">
            <v>0</v>
          </cell>
          <cell r="M290">
            <v>0</v>
          </cell>
          <cell r="P290">
            <v>440</v>
          </cell>
          <cell r="V290" t="str">
            <v>Not Available</v>
          </cell>
        </row>
        <row r="291">
          <cell r="E291">
            <v>10020021</v>
          </cell>
          <cell r="H291">
            <v>10.199999999999999</v>
          </cell>
          <cell r="I291">
            <v>408.31</v>
          </cell>
          <cell r="J291">
            <v>0</v>
          </cell>
          <cell r="K291">
            <v>0</v>
          </cell>
          <cell r="M291">
            <v>0</v>
          </cell>
          <cell r="P291">
            <v>408</v>
          </cell>
          <cell r="V291" t="str">
            <v>Not Available</v>
          </cell>
        </row>
        <row r="292">
          <cell r="E292">
            <v>10020021</v>
          </cell>
          <cell r="H292">
            <v>8.1999999999999993</v>
          </cell>
          <cell r="I292">
            <v>368.59</v>
          </cell>
          <cell r="J292">
            <v>0</v>
          </cell>
          <cell r="K292">
            <v>0</v>
          </cell>
          <cell r="M292">
            <v>0</v>
          </cell>
          <cell r="P292">
            <v>369</v>
          </cell>
          <cell r="V292" t="str">
            <v>Not Available</v>
          </cell>
        </row>
        <row r="293">
          <cell r="E293">
            <v>10020021</v>
          </cell>
          <cell r="H293">
            <v>25.5</v>
          </cell>
          <cell r="I293">
            <v>1259.5899999999999</v>
          </cell>
          <cell r="J293">
            <v>0</v>
          </cell>
          <cell r="K293">
            <v>0</v>
          </cell>
          <cell r="M293">
            <v>0</v>
          </cell>
          <cell r="P293">
            <v>1260</v>
          </cell>
          <cell r="V293" t="str">
            <v>Not Available</v>
          </cell>
        </row>
        <row r="294">
          <cell r="E294">
            <v>10020021</v>
          </cell>
          <cell r="H294">
            <v>4.3</v>
          </cell>
          <cell r="I294">
            <v>172.73</v>
          </cell>
          <cell r="J294">
            <v>0</v>
          </cell>
          <cell r="K294">
            <v>0</v>
          </cell>
          <cell r="M294">
            <v>0</v>
          </cell>
          <cell r="P294">
            <v>173</v>
          </cell>
          <cell r="V294" t="str">
            <v>Not Available</v>
          </cell>
        </row>
        <row r="295">
          <cell r="E295">
            <v>10020021</v>
          </cell>
          <cell r="H295">
            <v>9.1999999999999993</v>
          </cell>
          <cell r="I295">
            <v>397.72</v>
          </cell>
          <cell r="J295">
            <v>0</v>
          </cell>
          <cell r="K295">
            <v>0</v>
          </cell>
          <cell r="M295">
            <v>0</v>
          </cell>
          <cell r="P295">
            <v>398</v>
          </cell>
          <cell r="V295" t="str">
            <v>Not Available</v>
          </cell>
        </row>
        <row r="296">
          <cell r="E296">
            <v>10020021</v>
          </cell>
          <cell r="H296">
            <v>12.7</v>
          </cell>
          <cell r="I296">
            <v>640.68000000000006</v>
          </cell>
          <cell r="J296">
            <v>0</v>
          </cell>
          <cell r="K296">
            <v>0</v>
          </cell>
          <cell r="M296">
            <v>0</v>
          </cell>
          <cell r="P296">
            <v>641</v>
          </cell>
          <cell r="V296" t="str">
            <v>Not Available</v>
          </cell>
        </row>
        <row r="297">
          <cell r="E297">
            <v>10020021</v>
          </cell>
          <cell r="H297">
            <v>48.7</v>
          </cell>
          <cell r="I297">
            <v>2449.1799999999994</v>
          </cell>
          <cell r="J297">
            <v>0</v>
          </cell>
          <cell r="K297">
            <v>0</v>
          </cell>
          <cell r="M297">
            <v>0</v>
          </cell>
          <cell r="P297">
            <v>2449</v>
          </cell>
          <cell r="V297" t="str">
            <v>Not Available</v>
          </cell>
        </row>
        <row r="298">
          <cell r="E298">
            <v>10020023</v>
          </cell>
          <cell r="H298">
            <v>6.4</v>
          </cell>
          <cell r="I298">
            <v>247.25</v>
          </cell>
          <cell r="J298">
            <v>0</v>
          </cell>
          <cell r="K298">
            <v>247.25</v>
          </cell>
          <cell r="M298">
            <v>0</v>
          </cell>
          <cell r="P298">
            <v>0</v>
          </cell>
          <cell r="V298" t="str">
            <v>Not Available</v>
          </cell>
        </row>
        <row r="299">
          <cell r="E299">
            <v>10020023</v>
          </cell>
          <cell r="H299">
            <v>32.6</v>
          </cell>
          <cell r="I299">
            <v>1310.98</v>
          </cell>
          <cell r="J299">
            <v>0</v>
          </cell>
          <cell r="K299">
            <v>0</v>
          </cell>
          <cell r="M299">
            <v>0</v>
          </cell>
          <cell r="P299">
            <v>1311</v>
          </cell>
          <cell r="V299" t="str">
            <v>Available</v>
          </cell>
        </row>
        <row r="300">
          <cell r="E300">
            <v>10020023</v>
          </cell>
          <cell r="H300">
            <v>12.8</v>
          </cell>
          <cell r="I300">
            <v>476.76</v>
          </cell>
          <cell r="J300">
            <v>0</v>
          </cell>
          <cell r="K300">
            <v>0</v>
          </cell>
          <cell r="M300">
            <v>0</v>
          </cell>
          <cell r="P300">
            <v>477</v>
          </cell>
          <cell r="V300" t="str">
            <v>Available</v>
          </cell>
        </row>
        <row r="301">
          <cell r="E301">
            <v>10020023</v>
          </cell>
          <cell r="H301">
            <v>55.6</v>
          </cell>
          <cell r="I301">
            <v>2110.4899999999998</v>
          </cell>
          <cell r="J301">
            <v>0</v>
          </cell>
          <cell r="K301">
            <v>0</v>
          </cell>
          <cell r="M301">
            <v>0</v>
          </cell>
          <cell r="P301">
            <v>2110</v>
          </cell>
          <cell r="V301" t="str">
            <v>Available</v>
          </cell>
        </row>
        <row r="302">
          <cell r="E302">
            <v>10020023</v>
          </cell>
          <cell r="H302">
            <v>16.5</v>
          </cell>
          <cell r="I302">
            <v>652.38000000000011</v>
          </cell>
          <cell r="J302">
            <v>0</v>
          </cell>
          <cell r="K302">
            <v>0</v>
          </cell>
          <cell r="M302">
            <v>0</v>
          </cell>
          <cell r="P302">
            <v>652</v>
          </cell>
          <cell r="V302" t="str">
            <v>Available</v>
          </cell>
        </row>
        <row r="303">
          <cell r="E303">
            <v>10020023</v>
          </cell>
          <cell r="H303">
            <v>13.999999999999998</v>
          </cell>
          <cell r="I303">
            <v>535.91999999999996</v>
          </cell>
          <cell r="J303">
            <v>0</v>
          </cell>
          <cell r="K303">
            <v>0</v>
          </cell>
          <cell r="M303">
            <v>0</v>
          </cell>
          <cell r="P303">
            <v>536</v>
          </cell>
          <cell r="V303" t="str">
            <v>Available</v>
          </cell>
        </row>
        <row r="304">
          <cell r="E304">
            <v>10020023</v>
          </cell>
          <cell r="H304">
            <v>2</v>
          </cell>
          <cell r="I304">
            <v>77.72</v>
          </cell>
          <cell r="J304">
            <v>0</v>
          </cell>
          <cell r="K304">
            <v>0</v>
          </cell>
          <cell r="M304">
            <v>0</v>
          </cell>
          <cell r="P304">
            <v>78</v>
          </cell>
          <cell r="V304" t="str">
            <v>Available</v>
          </cell>
        </row>
        <row r="305">
          <cell r="E305">
            <v>10020023</v>
          </cell>
          <cell r="H305">
            <v>83.7</v>
          </cell>
          <cell r="I305">
            <v>2885.34</v>
          </cell>
          <cell r="J305">
            <v>0</v>
          </cell>
          <cell r="K305">
            <v>0</v>
          </cell>
          <cell r="M305">
            <v>0</v>
          </cell>
          <cell r="P305">
            <v>2885</v>
          </cell>
          <cell r="V305" t="str">
            <v>Available</v>
          </cell>
        </row>
        <row r="306">
          <cell r="E306">
            <v>10020023</v>
          </cell>
          <cell r="H306">
            <v>72.699999999999989</v>
          </cell>
          <cell r="I306">
            <v>2841.36</v>
          </cell>
          <cell r="J306">
            <v>0</v>
          </cell>
          <cell r="K306">
            <v>0</v>
          </cell>
          <cell r="M306">
            <v>0</v>
          </cell>
          <cell r="P306">
            <v>2841</v>
          </cell>
          <cell r="V306" t="str">
            <v>Available</v>
          </cell>
        </row>
        <row r="307">
          <cell r="E307">
            <v>10020023</v>
          </cell>
          <cell r="H307">
            <v>1.8</v>
          </cell>
          <cell r="I307">
            <v>71.8</v>
          </cell>
          <cell r="J307">
            <v>0</v>
          </cell>
          <cell r="K307">
            <v>0</v>
          </cell>
          <cell r="M307">
            <v>0</v>
          </cell>
          <cell r="P307">
            <v>72</v>
          </cell>
          <cell r="V307" t="str">
            <v>Available</v>
          </cell>
        </row>
        <row r="308">
          <cell r="E308">
            <v>10020023</v>
          </cell>
          <cell r="H308">
            <v>9.3000000000000007</v>
          </cell>
          <cell r="I308">
            <v>354.93</v>
          </cell>
          <cell r="J308">
            <v>0</v>
          </cell>
          <cell r="K308">
            <v>0</v>
          </cell>
          <cell r="M308">
            <v>0</v>
          </cell>
          <cell r="P308">
            <v>355</v>
          </cell>
          <cell r="V308" t="str">
            <v>Available</v>
          </cell>
        </row>
        <row r="309">
          <cell r="E309">
            <v>10020023</v>
          </cell>
          <cell r="H309">
            <v>6.8999999999999995</v>
          </cell>
          <cell r="I309">
            <v>286.36</v>
          </cell>
          <cell r="J309">
            <v>0</v>
          </cell>
          <cell r="K309">
            <v>0</v>
          </cell>
          <cell r="M309">
            <v>0</v>
          </cell>
          <cell r="P309">
            <v>286</v>
          </cell>
          <cell r="V309" t="str">
            <v>Available</v>
          </cell>
        </row>
        <row r="310">
          <cell r="E310">
            <v>10020023</v>
          </cell>
          <cell r="H310">
            <v>260.7</v>
          </cell>
          <cell r="I310">
            <v>10581.25</v>
          </cell>
          <cell r="J310">
            <v>0</v>
          </cell>
          <cell r="K310">
            <v>0</v>
          </cell>
          <cell r="M310">
            <v>0</v>
          </cell>
          <cell r="P310">
            <v>10581</v>
          </cell>
          <cell r="V310" t="str">
            <v>Available</v>
          </cell>
        </row>
        <row r="311">
          <cell r="E311">
            <v>10020023</v>
          </cell>
          <cell r="H311">
            <v>12.4</v>
          </cell>
          <cell r="I311">
            <v>446.25</v>
          </cell>
          <cell r="J311">
            <v>0</v>
          </cell>
          <cell r="K311">
            <v>0</v>
          </cell>
          <cell r="M311">
            <v>0</v>
          </cell>
          <cell r="P311">
            <v>446</v>
          </cell>
          <cell r="V311" t="str">
            <v>Available</v>
          </cell>
        </row>
        <row r="312">
          <cell r="E312">
            <v>10020023</v>
          </cell>
          <cell r="H312">
            <v>11.9</v>
          </cell>
          <cell r="I312">
            <v>477.39000000000004</v>
          </cell>
          <cell r="J312">
            <v>0</v>
          </cell>
          <cell r="K312">
            <v>0</v>
          </cell>
          <cell r="M312">
            <v>0</v>
          </cell>
          <cell r="P312">
            <v>477</v>
          </cell>
          <cell r="V312" t="str">
            <v>Available</v>
          </cell>
        </row>
        <row r="313">
          <cell r="E313">
            <v>10020023</v>
          </cell>
          <cell r="H313">
            <v>2</v>
          </cell>
          <cell r="I313">
            <v>77.36</v>
          </cell>
          <cell r="J313">
            <v>0</v>
          </cell>
          <cell r="K313">
            <v>0</v>
          </cell>
          <cell r="M313">
            <v>0</v>
          </cell>
          <cell r="P313">
            <v>77</v>
          </cell>
          <cell r="V313" t="str">
            <v>Available</v>
          </cell>
        </row>
        <row r="314">
          <cell r="E314">
            <v>10020023</v>
          </cell>
          <cell r="H314">
            <v>44.2</v>
          </cell>
          <cell r="I314">
            <v>2160.3300000000004</v>
          </cell>
          <cell r="J314">
            <v>0</v>
          </cell>
          <cell r="K314">
            <v>0</v>
          </cell>
          <cell r="M314">
            <v>0</v>
          </cell>
          <cell r="P314">
            <v>2160</v>
          </cell>
          <cell r="V314" t="str">
            <v>Available</v>
          </cell>
        </row>
        <row r="315">
          <cell r="E315">
            <v>10020023</v>
          </cell>
          <cell r="H315">
            <v>62.8</v>
          </cell>
          <cell r="I315">
            <v>2224.98</v>
          </cell>
          <cell r="J315">
            <v>0</v>
          </cell>
          <cell r="K315">
            <v>0</v>
          </cell>
          <cell r="M315">
            <v>0</v>
          </cell>
          <cell r="P315">
            <v>2225</v>
          </cell>
          <cell r="V315" t="str">
            <v>Available</v>
          </cell>
        </row>
        <row r="316">
          <cell r="E316">
            <v>10020023</v>
          </cell>
          <cell r="H316">
            <v>7.9</v>
          </cell>
          <cell r="I316">
            <v>359.83</v>
          </cell>
          <cell r="J316">
            <v>0</v>
          </cell>
          <cell r="K316">
            <v>0</v>
          </cell>
          <cell r="M316">
            <v>0</v>
          </cell>
          <cell r="P316">
            <v>360</v>
          </cell>
          <cell r="V316" t="str">
            <v>Available</v>
          </cell>
        </row>
        <row r="317">
          <cell r="E317">
            <v>10020023</v>
          </cell>
          <cell r="H317">
            <v>26.200000000000003</v>
          </cell>
          <cell r="I317">
            <v>1028.8100000000002</v>
          </cell>
          <cell r="J317">
            <v>0</v>
          </cell>
          <cell r="K317">
            <v>0</v>
          </cell>
          <cell r="M317">
            <v>0</v>
          </cell>
          <cell r="P317">
            <v>1029</v>
          </cell>
          <cell r="V317" t="str">
            <v>Available</v>
          </cell>
        </row>
        <row r="318">
          <cell r="E318">
            <v>10020023</v>
          </cell>
          <cell r="H318">
            <v>7</v>
          </cell>
          <cell r="I318">
            <v>282.66000000000003</v>
          </cell>
          <cell r="J318">
            <v>0</v>
          </cell>
          <cell r="K318">
            <v>0</v>
          </cell>
          <cell r="M318">
            <v>0</v>
          </cell>
          <cell r="P318">
            <v>283</v>
          </cell>
          <cell r="V318" t="str">
            <v>Available</v>
          </cell>
        </row>
        <row r="319">
          <cell r="E319">
            <v>10020024</v>
          </cell>
          <cell r="H319">
            <v>80.5</v>
          </cell>
          <cell r="I319">
            <v>3862.02</v>
          </cell>
          <cell r="J319">
            <v>0</v>
          </cell>
          <cell r="K319">
            <v>0</v>
          </cell>
          <cell r="M319">
            <v>0</v>
          </cell>
          <cell r="P319">
            <v>0</v>
          </cell>
          <cell r="V319" t="str">
            <v>Available</v>
          </cell>
        </row>
        <row r="320">
          <cell r="E320">
            <v>10020024</v>
          </cell>
          <cell r="H320">
            <v>49.86</v>
          </cell>
          <cell r="I320">
            <v>1995.8799999999997</v>
          </cell>
          <cell r="J320">
            <v>0</v>
          </cell>
          <cell r="K320">
            <v>0</v>
          </cell>
          <cell r="M320">
            <v>0</v>
          </cell>
          <cell r="P320">
            <v>1996</v>
          </cell>
          <cell r="V320" t="str">
            <v>Available</v>
          </cell>
        </row>
        <row r="321">
          <cell r="E321">
            <v>10020024</v>
          </cell>
          <cell r="H321">
            <v>66.050000000000011</v>
          </cell>
          <cell r="I321">
            <v>3850.71</v>
          </cell>
          <cell r="J321">
            <v>0</v>
          </cell>
          <cell r="K321">
            <v>0</v>
          </cell>
          <cell r="M321">
            <v>0</v>
          </cell>
          <cell r="P321">
            <v>3851</v>
          </cell>
          <cell r="V321" t="str">
            <v>Available</v>
          </cell>
        </row>
        <row r="322">
          <cell r="E322">
            <v>10020024</v>
          </cell>
          <cell r="H322">
            <v>28.689999999999998</v>
          </cell>
          <cell r="I322">
            <v>1148.48</v>
          </cell>
          <cell r="J322">
            <v>0</v>
          </cell>
          <cell r="K322">
            <v>0</v>
          </cell>
          <cell r="M322">
            <v>0</v>
          </cell>
          <cell r="P322">
            <v>1148</v>
          </cell>
          <cell r="V322" t="str">
            <v>Available</v>
          </cell>
        </row>
        <row r="323">
          <cell r="E323">
            <v>10020024</v>
          </cell>
          <cell r="H323">
            <v>11.52</v>
          </cell>
          <cell r="I323">
            <v>461.15</v>
          </cell>
          <cell r="J323">
            <v>0</v>
          </cell>
          <cell r="K323">
            <v>0</v>
          </cell>
          <cell r="M323">
            <v>0</v>
          </cell>
          <cell r="P323">
            <v>461</v>
          </cell>
          <cell r="V323" t="str">
            <v>Available</v>
          </cell>
        </row>
        <row r="324">
          <cell r="E324">
            <v>10020024</v>
          </cell>
          <cell r="H324">
            <v>74.239999999999995</v>
          </cell>
          <cell r="I324">
            <v>2971.84</v>
          </cell>
          <cell r="J324">
            <v>0</v>
          </cell>
          <cell r="K324">
            <v>0</v>
          </cell>
          <cell r="M324">
            <v>0</v>
          </cell>
          <cell r="P324">
            <v>2972</v>
          </cell>
          <cell r="V324" t="str">
            <v>Available</v>
          </cell>
        </row>
        <row r="325">
          <cell r="E325">
            <v>10020024</v>
          </cell>
          <cell r="H325">
            <v>4.5999999999999996</v>
          </cell>
          <cell r="I325">
            <v>184.14000000000001</v>
          </cell>
          <cell r="J325">
            <v>0</v>
          </cell>
          <cell r="K325">
            <v>0</v>
          </cell>
          <cell r="M325">
            <v>0</v>
          </cell>
          <cell r="P325">
            <v>184</v>
          </cell>
          <cell r="V325" t="str">
            <v>Available</v>
          </cell>
        </row>
        <row r="326">
          <cell r="E326">
            <v>10020024</v>
          </cell>
          <cell r="H326">
            <v>24.78</v>
          </cell>
          <cell r="I326">
            <v>991.94999999999993</v>
          </cell>
          <cell r="J326">
            <v>0</v>
          </cell>
          <cell r="K326">
            <v>0</v>
          </cell>
          <cell r="M326">
            <v>0</v>
          </cell>
          <cell r="P326">
            <v>992</v>
          </cell>
          <cell r="V326" t="str">
            <v>Available</v>
          </cell>
        </row>
        <row r="327">
          <cell r="E327">
            <v>10020024</v>
          </cell>
          <cell r="H327">
            <v>165.95</v>
          </cell>
          <cell r="I327">
            <v>6642.99</v>
          </cell>
          <cell r="J327">
            <v>0</v>
          </cell>
          <cell r="K327">
            <v>0</v>
          </cell>
          <cell r="M327">
            <v>0</v>
          </cell>
          <cell r="P327">
            <v>6643</v>
          </cell>
          <cell r="V327" t="str">
            <v>Available</v>
          </cell>
        </row>
        <row r="328">
          <cell r="E328">
            <v>10020024</v>
          </cell>
          <cell r="H328">
            <v>20.62</v>
          </cell>
          <cell r="I328">
            <v>825.42000000000007</v>
          </cell>
          <cell r="J328">
            <v>0</v>
          </cell>
          <cell r="K328">
            <v>0</v>
          </cell>
          <cell r="M328">
            <v>0</v>
          </cell>
          <cell r="P328">
            <v>825</v>
          </cell>
          <cell r="V328" t="str">
            <v>Available</v>
          </cell>
        </row>
        <row r="329">
          <cell r="E329">
            <v>10020024</v>
          </cell>
          <cell r="H329">
            <v>30.050000000000004</v>
          </cell>
          <cell r="I329">
            <v>1202.9100000000003</v>
          </cell>
          <cell r="J329">
            <v>0</v>
          </cell>
          <cell r="K329">
            <v>0</v>
          </cell>
          <cell r="M329">
            <v>0</v>
          </cell>
          <cell r="P329">
            <v>1203</v>
          </cell>
          <cell r="V329" t="str">
            <v>Available</v>
          </cell>
        </row>
        <row r="330">
          <cell r="E330">
            <v>10020024</v>
          </cell>
          <cell r="H330">
            <v>95.179999999999993</v>
          </cell>
          <cell r="I330">
            <v>4102.55</v>
          </cell>
          <cell r="J330">
            <v>0</v>
          </cell>
          <cell r="K330">
            <v>0</v>
          </cell>
          <cell r="M330">
            <v>0</v>
          </cell>
          <cell r="P330">
            <v>4103</v>
          </cell>
          <cell r="V330" t="str">
            <v>Available</v>
          </cell>
        </row>
        <row r="331">
          <cell r="E331">
            <v>10020024</v>
          </cell>
          <cell r="H331">
            <v>50.48</v>
          </cell>
          <cell r="I331">
            <v>2020.7300000000002</v>
          </cell>
          <cell r="J331">
            <v>0</v>
          </cell>
          <cell r="K331">
            <v>0</v>
          </cell>
          <cell r="M331">
            <v>0</v>
          </cell>
          <cell r="P331">
            <v>2021</v>
          </cell>
          <cell r="V331" t="str">
            <v>Available</v>
          </cell>
        </row>
        <row r="332">
          <cell r="E332">
            <v>10020024</v>
          </cell>
          <cell r="H332">
            <v>30.549999999999997</v>
          </cell>
          <cell r="I332">
            <v>1222.92</v>
          </cell>
          <cell r="J332">
            <v>0</v>
          </cell>
          <cell r="K332">
            <v>0</v>
          </cell>
          <cell r="M332">
            <v>0</v>
          </cell>
          <cell r="P332">
            <v>1223</v>
          </cell>
          <cell r="V332" t="str">
            <v>Available</v>
          </cell>
        </row>
        <row r="333">
          <cell r="E333">
            <v>10020024</v>
          </cell>
          <cell r="H333">
            <v>20.43</v>
          </cell>
          <cell r="I333">
            <v>817.81999999999994</v>
          </cell>
          <cell r="J333">
            <v>0</v>
          </cell>
          <cell r="K333">
            <v>0</v>
          </cell>
          <cell r="M333">
            <v>0</v>
          </cell>
          <cell r="P333">
            <v>818</v>
          </cell>
          <cell r="V333" t="str">
            <v>Available</v>
          </cell>
        </row>
        <row r="334">
          <cell r="E334">
            <v>10020024</v>
          </cell>
          <cell r="H334">
            <v>18.880000000000003</v>
          </cell>
          <cell r="I334">
            <v>1022.92</v>
          </cell>
          <cell r="J334">
            <v>0</v>
          </cell>
          <cell r="K334">
            <v>0</v>
          </cell>
          <cell r="M334">
            <v>0</v>
          </cell>
          <cell r="P334">
            <v>1023</v>
          </cell>
          <cell r="V334" t="str">
            <v>Available</v>
          </cell>
        </row>
        <row r="335">
          <cell r="E335">
            <v>10020024</v>
          </cell>
          <cell r="H335">
            <v>78.929999999999993</v>
          </cell>
          <cell r="I335">
            <v>3159.5599999999995</v>
          </cell>
          <cell r="J335">
            <v>0</v>
          </cell>
          <cell r="K335">
            <v>0</v>
          </cell>
          <cell r="M335">
            <v>0</v>
          </cell>
          <cell r="P335">
            <v>3160</v>
          </cell>
          <cell r="V335" t="str">
            <v>Available</v>
          </cell>
        </row>
        <row r="336">
          <cell r="E336">
            <v>10020024</v>
          </cell>
          <cell r="H336">
            <v>128.65</v>
          </cell>
          <cell r="I336">
            <v>5149.8599999999997</v>
          </cell>
          <cell r="J336">
            <v>0</v>
          </cell>
          <cell r="K336">
            <v>0</v>
          </cell>
          <cell r="M336">
            <v>0</v>
          </cell>
          <cell r="P336">
            <v>5150</v>
          </cell>
          <cell r="V336" t="str">
            <v>Available</v>
          </cell>
        </row>
        <row r="337">
          <cell r="E337">
            <v>10020024</v>
          </cell>
          <cell r="H337">
            <v>48.93</v>
          </cell>
          <cell r="I337">
            <v>1958.6699999999998</v>
          </cell>
          <cell r="J337">
            <v>0</v>
          </cell>
          <cell r="K337">
            <v>0</v>
          </cell>
          <cell r="M337">
            <v>0</v>
          </cell>
          <cell r="P337">
            <v>1959</v>
          </cell>
          <cell r="V337" t="str">
            <v>Available</v>
          </cell>
        </row>
        <row r="338">
          <cell r="E338">
            <v>10020024</v>
          </cell>
          <cell r="H338">
            <v>91.309999999999988</v>
          </cell>
          <cell r="I338">
            <v>3655.1299999999997</v>
          </cell>
          <cell r="J338">
            <v>0</v>
          </cell>
          <cell r="K338">
            <v>0</v>
          </cell>
          <cell r="M338">
            <v>0</v>
          </cell>
          <cell r="P338">
            <v>3655</v>
          </cell>
          <cell r="V338" t="str">
            <v>Available</v>
          </cell>
        </row>
        <row r="339">
          <cell r="E339">
            <v>10020024</v>
          </cell>
          <cell r="H339">
            <v>86.44</v>
          </cell>
          <cell r="I339">
            <v>3460.21</v>
          </cell>
          <cell r="J339">
            <v>0</v>
          </cell>
          <cell r="K339">
            <v>0</v>
          </cell>
          <cell r="M339">
            <v>0</v>
          </cell>
          <cell r="P339">
            <v>3460</v>
          </cell>
          <cell r="V339" t="str">
            <v>Available</v>
          </cell>
        </row>
        <row r="340">
          <cell r="E340">
            <v>10020024</v>
          </cell>
          <cell r="H340">
            <v>29.850000000000005</v>
          </cell>
          <cell r="I340">
            <v>1512.42</v>
          </cell>
          <cell r="J340">
            <v>0</v>
          </cell>
          <cell r="K340">
            <v>0</v>
          </cell>
          <cell r="M340">
            <v>0</v>
          </cell>
          <cell r="P340">
            <v>1512</v>
          </cell>
          <cell r="V340" t="str">
            <v>Available</v>
          </cell>
        </row>
        <row r="341">
          <cell r="E341">
            <v>10020024</v>
          </cell>
          <cell r="H341">
            <v>29.830000000000005</v>
          </cell>
          <cell r="I341">
            <v>1194.0900000000001</v>
          </cell>
          <cell r="J341">
            <v>0</v>
          </cell>
          <cell r="K341">
            <v>0</v>
          </cell>
          <cell r="M341">
            <v>0</v>
          </cell>
          <cell r="P341">
            <v>1194</v>
          </cell>
          <cell r="V341" t="str">
            <v>Available</v>
          </cell>
        </row>
        <row r="342">
          <cell r="E342">
            <v>10020024</v>
          </cell>
          <cell r="H342">
            <v>32.11</v>
          </cell>
          <cell r="I342">
            <v>1285.3699999999999</v>
          </cell>
          <cell r="J342">
            <v>0</v>
          </cell>
          <cell r="K342">
            <v>0</v>
          </cell>
          <cell r="M342">
            <v>0</v>
          </cell>
          <cell r="P342">
            <v>1285</v>
          </cell>
          <cell r="V342" t="str">
            <v>Available</v>
          </cell>
        </row>
        <row r="343">
          <cell r="E343">
            <v>10020024</v>
          </cell>
          <cell r="H343">
            <v>11.17</v>
          </cell>
          <cell r="I343">
            <v>447.15</v>
          </cell>
          <cell r="J343">
            <v>0</v>
          </cell>
          <cell r="K343">
            <v>0</v>
          </cell>
          <cell r="M343">
            <v>0</v>
          </cell>
          <cell r="P343">
            <v>447</v>
          </cell>
          <cell r="V343" t="str">
            <v>Available</v>
          </cell>
        </row>
        <row r="344">
          <cell r="E344">
            <v>10020024</v>
          </cell>
          <cell r="H344">
            <v>38.24</v>
          </cell>
          <cell r="I344">
            <v>1530.75</v>
          </cell>
          <cell r="J344">
            <v>0</v>
          </cell>
          <cell r="K344">
            <v>0</v>
          </cell>
          <cell r="M344">
            <v>0</v>
          </cell>
          <cell r="P344">
            <v>1531</v>
          </cell>
          <cell r="V344" t="str">
            <v>Available</v>
          </cell>
        </row>
        <row r="345">
          <cell r="E345">
            <v>10020024</v>
          </cell>
          <cell r="H345">
            <v>38.29</v>
          </cell>
          <cell r="I345">
            <v>1532.74</v>
          </cell>
          <cell r="J345">
            <v>0</v>
          </cell>
          <cell r="K345">
            <v>0</v>
          </cell>
          <cell r="M345">
            <v>0</v>
          </cell>
          <cell r="P345">
            <v>1533</v>
          </cell>
          <cell r="V345" t="str">
            <v>Available</v>
          </cell>
        </row>
        <row r="346">
          <cell r="E346">
            <v>10020024</v>
          </cell>
          <cell r="H346">
            <v>28.29</v>
          </cell>
          <cell r="I346">
            <v>1635.09</v>
          </cell>
          <cell r="J346">
            <v>0</v>
          </cell>
          <cell r="K346">
            <v>0</v>
          </cell>
          <cell r="M346">
            <v>0</v>
          </cell>
          <cell r="P346">
            <v>1635</v>
          </cell>
          <cell r="V346" t="str">
            <v>Available</v>
          </cell>
        </row>
        <row r="347">
          <cell r="E347">
            <v>10020024</v>
          </cell>
          <cell r="H347">
            <v>32.339999999999996</v>
          </cell>
          <cell r="I347">
            <v>1756.01</v>
          </cell>
          <cell r="J347">
            <v>0</v>
          </cell>
          <cell r="K347">
            <v>0</v>
          </cell>
          <cell r="M347">
            <v>0</v>
          </cell>
          <cell r="P347">
            <v>1756</v>
          </cell>
          <cell r="V347" t="str">
            <v>Available</v>
          </cell>
        </row>
        <row r="348">
          <cell r="E348">
            <v>10020024</v>
          </cell>
          <cell r="H348">
            <v>44.939999999999991</v>
          </cell>
          <cell r="I348">
            <v>1798.9499999999998</v>
          </cell>
          <cell r="J348">
            <v>0</v>
          </cell>
          <cell r="K348">
            <v>0</v>
          </cell>
          <cell r="M348">
            <v>0</v>
          </cell>
          <cell r="P348">
            <v>1799</v>
          </cell>
          <cell r="V348" t="str">
            <v>Available</v>
          </cell>
        </row>
        <row r="349">
          <cell r="E349">
            <v>10020024</v>
          </cell>
          <cell r="H349">
            <v>40.479999999999997</v>
          </cell>
          <cell r="I349">
            <v>2193.2199999999998</v>
          </cell>
          <cell r="J349">
            <v>0</v>
          </cell>
          <cell r="K349">
            <v>0</v>
          </cell>
          <cell r="M349">
            <v>0</v>
          </cell>
          <cell r="P349">
            <v>2193</v>
          </cell>
          <cell r="V349" t="str">
            <v>Available</v>
          </cell>
        </row>
        <row r="350">
          <cell r="E350">
            <v>10020024</v>
          </cell>
          <cell r="H350">
            <v>40</v>
          </cell>
          <cell r="I350">
            <v>1601.2</v>
          </cell>
          <cell r="J350">
            <v>0</v>
          </cell>
          <cell r="K350">
            <v>0</v>
          </cell>
          <cell r="M350">
            <v>0</v>
          </cell>
          <cell r="P350">
            <v>1601</v>
          </cell>
          <cell r="V350" t="str">
            <v>Available</v>
          </cell>
        </row>
        <row r="351">
          <cell r="E351">
            <v>10020024</v>
          </cell>
          <cell r="H351">
            <v>29.660000000000004</v>
          </cell>
          <cell r="I351">
            <v>1187.2599999999998</v>
          </cell>
          <cell r="J351">
            <v>0</v>
          </cell>
          <cell r="K351">
            <v>0</v>
          </cell>
          <cell r="M351">
            <v>0</v>
          </cell>
          <cell r="P351">
            <v>1187</v>
          </cell>
          <cell r="V351" t="str">
            <v>Available</v>
          </cell>
        </row>
        <row r="352">
          <cell r="E352">
            <v>10020024</v>
          </cell>
          <cell r="H352">
            <v>45.24</v>
          </cell>
          <cell r="I352">
            <v>2451.11</v>
          </cell>
          <cell r="J352">
            <v>0</v>
          </cell>
          <cell r="K352">
            <v>0</v>
          </cell>
          <cell r="M352">
            <v>0</v>
          </cell>
          <cell r="P352">
            <v>2451</v>
          </cell>
          <cell r="V352" t="str">
            <v>Available</v>
          </cell>
        </row>
        <row r="353">
          <cell r="E353">
            <v>10020024</v>
          </cell>
          <cell r="H353">
            <v>41.17</v>
          </cell>
          <cell r="I353">
            <v>1648.0200000000002</v>
          </cell>
          <cell r="J353">
            <v>0</v>
          </cell>
          <cell r="K353">
            <v>0</v>
          </cell>
          <cell r="M353">
            <v>0</v>
          </cell>
          <cell r="P353">
            <v>1648</v>
          </cell>
          <cell r="V353" t="str">
            <v>Available</v>
          </cell>
        </row>
        <row r="354">
          <cell r="E354">
            <v>10020024</v>
          </cell>
          <cell r="H354">
            <v>30.499999999999996</v>
          </cell>
          <cell r="I354">
            <v>1220.9100000000001</v>
          </cell>
          <cell r="J354">
            <v>0</v>
          </cell>
          <cell r="K354">
            <v>0</v>
          </cell>
          <cell r="M354">
            <v>0</v>
          </cell>
          <cell r="P354">
            <v>1221</v>
          </cell>
          <cell r="V354" t="str">
            <v>Available</v>
          </cell>
        </row>
        <row r="355">
          <cell r="E355">
            <v>10020024</v>
          </cell>
          <cell r="H355">
            <v>53.67</v>
          </cell>
          <cell r="I355">
            <v>2148.4100000000003</v>
          </cell>
          <cell r="J355">
            <v>0</v>
          </cell>
          <cell r="K355">
            <v>0</v>
          </cell>
          <cell r="M355">
            <v>0</v>
          </cell>
          <cell r="P355">
            <v>2148</v>
          </cell>
          <cell r="V355" t="str">
            <v>Available</v>
          </cell>
        </row>
        <row r="356">
          <cell r="E356">
            <v>10020024</v>
          </cell>
          <cell r="H356">
            <v>14.239999999999998</v>
          </cell>
          <cell r="I356">
            <v>570.02</v>
          </cell>
          <cell r="J356">
            <v>0</v>
          </cell>
          <cell r="K356">
            <v>0</v>
          </cell>
          <cell r="M356">
            <v>0</v>
          </cell>
          <cell r="P356">
            <v>570</v>
          </cell>
          <cell r="V356" t="str">
            <v>Available</v>
          </cell>
        </row>
        <row r="357">
          <cell r="E357">
            <v>10020024</v>
          </cell>
          <cell r="H357">
            <v>109.89</v>
          </cell>
          <cell r="I357">
            <v>4398.92</v>
          </cell>
          <cell r="J357">
            <v>0</v>
          </cell>
          <cell r="K357">
            <v>0</v>
          </cell>
          <cell r="M357">
            <v>0</v>
          </cell>
          <cell r="P357">
            <v>4399</v>
          </cell>
          <cell r="V357" t="str">
            <v>Available</v>
          </cell>
        </row>
        <row r="358">
          <cell r="E358">
            <v>10020024</v>
          </cell>
          <cell r="H358">
            <v>87.22999999999999</v>
          </cell>
          <cell r="I358">
            <v>3491.83</v>
          </cell>
          <cell r="J358">
            <v>0</v>
          </cell>
          <cell r="K358">
            <v>0</v>
          </cell>
          <cell r="M358">
            <v>0</v>
          </cell>
          <cell r="P358">
            <v>3492</v>
          </cell>
          <cell r="V358" t="str">
            <v>Available</v>
          </cell>
        </row>
        <row r="359">
          <cell r="E359">
            <v>10020024</v>
          </cell>
          <cell r="H359">
            <v>15.250000000000002</v>
          </cell>
          <cell r="I359">
            <v>610.45000000000005</v>
          </cell>
          <cell r="J359">
            <v>0</v>
          </cell>
          <cell r="K359">
            <v>0</v>
          </cell>
          <cell r="M359">
            <v>0</v>
          </cell>
          <cell r="P359">
            <v>610</v>
          </cell>
          <cell r="V359" t="str">
            <v>Available</v>
          </cell>
        </row>
        <row r="360">
          <cell r="E360">
            <v>10020024</v>
          </cell>
          <cell r="H360">
            <v>134.43</v>
          </cell>
          <cell r="I360">
            <v>5381.24</v>
          </cell>
          <cell r="J360">
            <v>0</v>
          </cell>
          <cell r="K360">
            <v>0</v>
          </cell>
          <cell r="M360">
            <v>0</v>
          </cell>
          <cell r="P360">
            <v>5381</v>
          </cell>
          <cell r="V360" t="str">
            <v>Available</v>
          </cell>
        </row>
        <row r="361">
          <cell r="E361">
            <v>10020024</v>
          </cell>
          <cell r="H361">
            <v>27.9</v>
          </cell>
          <cell r="I361">
            <v>1116.83</v>
          </cell>
          <cell r="J361">
            <v>0</v>
          </cell>
          <cell r="K361">
            <v>0</v>
          </cell>
          <cell r="M361">
            <v>0</v>
          </cell>
          <cell r="P361">
            <v>1117</v>
          </cell>
          <cell r="V361" t="str">
            <v>Available</v>
          </cell>
        </row>
        <row r="362">
          <cell r="E362">
            <v>10020024</v>
          </cell>
          <cell r="H362">
            <v>29.72</v>
          </cell>
          <cell r="I362">
            <v>1189.68</v>
          </cell>
          <cell r="J362">
            <v>0</v>
          </cell>
          <cell r="K362">
            <v>0</v>
          </cell>
          <cell r="M362">
            <v>0</v>
          </cell>
          <cell r="P362">
            <v>1190</v>
          </cell>
          <cell r="V362" t="str">
            <v>Available</v>
          </cell>
        </row>
        <row r="363">
          <cell r="E363">
            <v>10020024</v>
          </cell>
          <cell r="H363">
            <v>113.42999999999996</v>
          </cell>
          <cell r="I363">
            <v>4540.6000000000004</v>
          </cell>
          <cell r="J363">
            <v>0</v>
          </cell>
          <cell r="K363">
            <v>0</v>
          </cell>
          <cell r="M363">
            <v>0</v>
          </cell>
          <cell r="P363">
            <v>4541</v>
          </cell>
          <cell r="V363" t="str">
            <v>Available</v>
          </cell>
        </row>
        <row r="364">
          <cell r="E364">
            <v>10020024</v>
          </cell>
          <cell r="H364">
            <v>29.42</v>
          </cell>
          <cell r="I364">
            <v>1177.6799999999998</v>
          </cell>
          <cell r="J364">
            <v>0</v>
          </cell>
          <cell r="K364">
            <v>0</v>
          </cell>
          <cell r="M364">
            <v>0</v>
          </cell>
          <cell r="P364">
            <v>1178</v>
          </cell>
          <cell r="V364" t="str">
            <v>Available</v>
          </cell>
        </row>
        <row r="365">
          <cell r="E365">
            <v>10020024</v>
          </cell>
          <cell r="H365">
            <v>15.07</v>
          </cell>
          <cell r="I365">
            <v>603.2399999999999</v>
          </cell>
          <cell r="J365">
            <v>0</v>
          </cell>
          <cell r="K365">
            <v>0</v>
          </cell>
          <cell r="M365">
            <v>0</v>
          </cell>
          <cell r="P365">
            <v>603</v>
          </cell>
          <cell r="V365" t="str">
            <v>Available</v>
          </cell>
        </row>
        <row r="366">
          <cell r="E366">
            <v>10020024</v>
          </cell>
          <cell r="H366">
            <v>25.74</v>
          </cell>
          <cell r="I366">
            <v>1030.3800000000001</v>
          </cell>
          <cell r="J366">
            <v>0</v>
          </cell>
          <cell r="K366">
            <v>0</v>
          </cell>
          <cell r="M366">
            <v>0</v>
          </cell>
          <cell r="P366">
            <v>1030</v>
          </cell>
          <cell r="V366" t="str">
            <v>Available</v>
          </cell>
        </row>
        <row r="367">
          <cell r="E367">
            <v>10020024</v>
          </cell>
          <cell r="H367">
            <v>26.799999999999997</v>
          </cell>
          <cell r="I367">
            <v>1072.79</v>
          </cell>
          <cell r="J367">
            <v>0</v>
          </cell>
          <cell r="K367">
            <v>0</v>
          </cell>
          <cell r="M367">
            <v>0</v>
          </cell>
          <cell r="P367">
            <v>1073</v>
          </cell>
          <cell r="V367" t="str">
            <v>Available</v>
          </cell>
        </row>
        <row r="368">
          <cell r="E368">
            <v>10020024</v>
          </cell>
          <cell r="H368">
            <v>33.150000000000006</v>
          </cell>
          <cell r="I368">
            <v>1326.98</v>
          </cell>
          <cell r="J368">
            <v>0</v>
          </cell>
          <cell r="K368">
            <v>0</v>
          </cell>
          <cell r="M368">
            <v>0</v>
          </cell>
          <cell r="P368">
            <v>1327</v>
          </cell>
          <cell r="V368" t="str">
            <v>Available</v>
          </cell>
        </row>
        <row r="369">
          <cell r="E369">
            <v>10020024</v>
          </cell>
          <cell r="H369">
            <v>12.6</v>
          </cell>
          <cell r="I369">
            <v>682.65999999999985</v>
          </cell>
          <cell r="J369">
            <v>0</v>
          </cell>
          <cell r="K369">
            <v>0</v>
          </cell>
          <cell r="M369">
            <v>0</v>
          </cell>
          <cell r="P369">
            <v>683</v>
          </cell>
          <cell r="V369" t="str">
            <v>Available</v>
          </cell>
        </row>
        <row r="370">
          <cell r="E370">
            <v>10020024</v>
          </cell>
          <cell r="H370">
            <v>88.74</v>
          </cell>
          <cell r="I370">
            <v>4219.09</v>
          </cell>
          <cell r="J370">
            <v>0</v>
          </cell>
          <cell r="K370">
            <v>0</v>
          </cell>
          <cell r="M370">
            <v>0</v>
          </cell>
          <cell r="P370">
            <v>4219</v>
          </cell>
          <cell r="V370" t="str">
            <v>Available</v>
          </cell>
        </row>
        <row r="371">
          <cell r="E371">
            <v>10020024</v>
          </cell>
          <cell r="H371">
            <v>20.649999999999995</v>
          </cell>
          <cell r="I371">
            <v>1205.2999999999997</v>
          </cell>
          <cell r="J371">
            <v>0</v>
          </cell>
          <cell r="K371">
            <v>0</v>
          </cell>
          <cell r="M371">
            <v>0</v>
          </cell>
          <cell r="P371">
            <v>1205</v>
          </cell>
          <cell r="V371" t="str">
            <v>Available</v>
          </cell>
        </row>
        <row r="372">
          <cell r="E372">
            <v>10020024</v>
          </cell>
          <cell r="H372">
            <v>28.049999999999997</v>
          </cell>
          <cell r="I372">
            <v>1122.83</v>
          </cell>
          <cell r="J372">
            <v>0</v>
          </cell>
          <cell r="K372">
            <v>0</v>
          </cell>
          <cell r="M372">
            <v>0</v>
          </cell>
          <cell r="P372">
            <v>1123</v>
          </cell>
          <cell r="V372" t="str">
            <v>Available</v>
          </cell>
        </row>
        <row r="373">
          <cell r="E373">
            <v>10020024</v>
          </cell>
          <cell r="H373">
            <v>25.12</v>
          </cell>
          <cell r="I373">
            <v>1005.5600000000001</v>
          </cell>
          <cell r="J373">
            <v>0</v>
          </cell>
          <cell r="K373">
            <v>0</v>
          </cell>
          <cell r="M373">
            <v>0</v>
          </cell>
          <cell r="P373">
            <v>1006</v>
          </cell>
          <cell r="V373" t="str">
            <v>Available</v>
          </cell>
        </row>
        <row r="374">
          <cell r="E374">
            <v>10020024</v>
          </cell>
          <cell r="H374">
            <v>2.76</v>
          </cell>
          <cell r="I374">
            <v>110.47999999999999</v>
          </cell>
          <cell r="J374">
            <v>0</v>
          </cell>
          <cell r="K374">
            <v>0</v>
          </cell>
          <cell r="M374">
            <v>0</v>
          </cell>
          <cell r="P374">
            <v>110</v>
          </cell>
          <cell r="V374" t="str">
            <v>Available</v>
          </cell>
        </row>
        <row r="375">
          <cell r="E375">
            <v>10020024</v>
          </cell>
          <cell r="H375">
            <v>14.99</v>
          </cell>
          <cell r="I375">
            <v>600.06000000000006</v>
          </cell>
          <cell r="J375">
            <v>0</v>
          </cell>
          <cell r="K375">
            <v>0</v>
          </cell>
          <cell r="M375">
            <v>0</v>
          </cell>
          <cell r="P375">
            <v>600</v>
          </cell>
          <cell r="V375" t="str">
            <v>Available</v>
          </cell>
        </row>
        <row r="376">
          <cell r="E376">
            <v>10020024</v>
          </cell>
          <cell r="H376">
            <v>10.55</v>
          </cell>
          <cell r="I376">
            <v>422.31</v>
          </cell>
          <cell r="J376">
            <v>0</v>
          </cell>
          <cell r="K376">
            <v>0</v>
          </cell>
          <cell r="M376">
            <v>0</v>
          </cell>
          <cell r="P376">
            <v>422</v>
          </cell>
          <cell r="V376" t="str">
            <v>Available</v>
          </cell>
        </row>
        <row r="377">
          <cell r="E377">
            <v>10020024</v>
          </cell>
          <cell r="H377">
            <v>3.63</v>
          </cell>
          <cell r="I377">
            <v>196.68</v>
          </cell>
          <cell r="J377">
            <v>0</v>
          </cell>
          <cell r="K377">
            <v>0</v>
          </cell>
          <cell r="M377">
            <v>0</v>
          </cell>
          <cell r="P377">
            <v>197</v>
          </cell>
          <cell r="V377" t="str">
            <v>Available</v>
          </cell>
        </row>
        <row r="378">
          <cell r="E378">
            <v>10020024</v>
          </cell>
          <cell r="H378">
            <v>3.21</v>
          </cell>
          <cell r="I378">
            <v>128.5</v>
          </cell>
          <cell r="J378">
            <v>0</v>
          </cell>
          <cell r="K378">
            <v>0</v>
          </cell>
          <cell r="M378">
            <v>0</v>
          </cell>
          <cell r="P378">
            <v>129</v>
          </cell>
          <cell r="V378" t="str">
            <v>Available</v>
          </cell>
        </row>
        <row r="379">
          <cell r="E379">
            <v>10020024</v>
          </cell>
          <cell r="H379">
            <v>39.61999999999999</v>
          </cell>
          <cell r="I379">
            <v>1586.0000000000002</v>
          </cell>
          <cell r="J379">
            <v>0</v>
          </cell>
          <cell r="K379">
            <v>0</v>
          </cell>
          <cell r="M379">
            <v>0</v>
          </cell>
          <cell r="P379">
            <v>1586</v>
          </cell>
          <cell r="V379" t="str">
            <v>Available</v>
          </cell>
        </row>
        <row r="380">
          <cell r="E380">
            <v>10020024</v>
          </cell>
          <cell r="H380">
            <v>24.729999999999997</v>
          </cell>
          <cell r="I380">
            <v>1339.8699999999997</v>
          </cell>
          <cell r="J380">
            <v>0</v>
          </cell>
          <cell r="K380">
            <v>0</v>
          </cell>
          <cell r="M380">
            <v>0</v>
          </cell>
          <cell r="P380">
            <v>1340</v>
          </cell>
          <cell r="V380" t="str">
            <v>Available</v>
          </cell>
        </row>
        <row r="381">
          <cell r="E381">
            <v>10020024</v>
          </cell>
          <cell r="H381">
            <v>18.64</v>
          </cell>
          <cell r="I381">
            <v>746.16</v>
          </cell>
          <cell r="J381">
            <v>0</v>
          </cell>
          <cell r="K381">
            <v>0</v>
          </cell>
          <cell r="M381">
            <v>0</v>
          </cell>
          <cell r="P381">
            <v>746</v>
          </cell>
          <cell r="V381" t="str">
            <v>Available</v>
          </cell>
        </row>
        <row r="382">
          <cell r="E382">
            <v>10020025</v>
          </cell>
          <cell r="H382">
            <v>8.32</v>
          </cell>
          <cell r="I382">
            <v>349.26000000000005</v>
          </cell>
          <cell r="J382">
            <v>0</v>
          </cell>
          <cell r="K382">
            <v>349.26000000000005</v>
          </cell>
          <cell r="M382">
            <v>0</v>
          </cell>
          <cell r="P382">
            <v>0</v>
          </cell>
          <cell r="V382" t="str">
            <v>Not Available</v>
          </cell>
        </row>
        <row r="383">
          <cell r="E383">
            <v>10020025</v>
          </cell>
          <cell r="H383">
            <v>78.070000000000022</v>
          </cell>
          <cell r="I383">
            <v>3138.85</v>
          </cell>
          <cell r="J383">
            <v>0</v>
          </cell>
          <cell r="K383">
            <v>0</v>
          </cell>
          <cell r="M383">
            <v>0</v>
          </cell>
          <cell r="P383">
            <v>2440</v>
          </cell>
          <cell r="V383" t="str">
            <v>Available</v>
          </cell>
        </row>
        <row r="384">
          <cell r="E384">
            <v>10020025</v>
          </cell>
          <cell r="H384">
            <v>15.510000000000002</v>
          </cell>
          <cell r="I384">
            <v>666.75999999999988</v>
          </cell>
          <cell r="J384">
            <v>0</v>
          </cell>
          <cell r="K384">
            <v>0</v>
          </cell>
          <cell r="M384">
            <v>0</v>
          </cell>
          <cell r="P384">
            <v>667</v>
          </cell>
          <cell r="V384" t="str">
            <v>Available</v>
          </cell>
        </row>
        <row r="385">
          <cell r="E385">
            <v>10020025</v>
          </cell>
          <cell r="H385">
            <v>24.43</v>
          </cell>
          <cell r="I385">
            <v>1103.56</v>
          </cell>
          <cell r="J385">
            <v>0</v>
          </cell>
          <cell r="K385">
            <v>0</v>
          </cell>
          <cell r="M385">
            <v>0</v>
          </cell>
          <cell r="P385">
            <v>1104</v>
          </cell>
          <cell r="V385" t="str">
            <v>Available</v>
          </cell>
        </row>
        <row r="386">
          <cell r="E386">
            <v>10020025</v>
          </cell>
          <cell r="H386">
            <v>17.279999999999998</v>
          </cell>
          <cell r="I386">
            <v>699.49</v>
          </cell>
          <cell r="J386">
            <v>0</v>
          </cell>
          <cell r="K386">
            <v>0</v>
          </cell>
          <cell r="M386">
            <v>0</v>
          </cell>
          <cell r="P386">
            <v>699</v>
          </cell>
          <cell r="V386" t="str">
            <v>Available</v>
          </cell>
        </row>
        <row r="387">
          <cell r="E387">
            <v>10020025</v>
          </cell>
          <cell r="H387">
            <v>69.44</v>
          </cell>
          <cell r="I387">
            <v>2764.5000000000005</v>
          </cell>
          <cell r="J387">
            <v>0</v>
          </cell>
          <cell r="K387">
            <v>0</v>
          </cell>
          <cell r="M387">
            <v>0</v>
          </cell>
          <cell r="P387">
            <v>2765</v>
          </cell>
          <cell r="V387" t="str">
            <v>Available</v>
          </cell>
        </row>
        <row r="388">
          <cell r="E388">
            <v>10020025</v>
          </cell>
          <cell r="H388">
            <v>48.03</v>
          </cell>
          <cell r="I388">
            <v>2006.33</v>
          </cell>
          <cell r="J388">
            <v>0</v>
          </cell>
          <cell r="K388">
            <v>0</v>
          </cell>
          <cell r="M388">
            <v>0</v>
          </cell>
          <cell r="P388">
            <v>2006</v>
          </cell>
          <cell r="V388" t="str">
            <v>Available</v>
          </cell>
        </row>
        <row r="389">
          <cell r="E389">
            <v>10020025</v>
          </cell>
          <cell r="H389">
            <v>28.81</v>
          </cell>
          <cell r="I389">
            <v>1130.43</v>
          </cell>
          <cell r="J389">
            <v>0</v>
          </cell>
          <cell r="K389">
            <v>0</v>
          </cell>
          <cell r="M389">
            <v>0</v>
          </cell>
          <cell r="P389">
            <v>1130</v>
          </cell>
          <cell r="V389" t="str">
            <v>Available</v>
          </cell>
        </row>
        <row r="390">
          <cell r="E390">
            <v>10020025</v>
          </cell>
          <cell r="H390">
            <v>19.260000000000002</v>
          </cell>
          <cell r="I390">
            <v>796.21</v>
          </cell>
          <cell r="J390">
            <v>0</v>
          </cell>
          <cell r="K390">
            <v>0</v>
          </cell>
          <cell r="M390">
            <v>0</v>
          </cell>
          <cell r="P390">
            <v>796</v>
          </cell>
          <cell r="V390" t="str">
            <v>Available</v>
          </cell>
        </row>
        <row r="391">
          <cell r="E391">
            <v>10020025</v>
          </cell>
          <cell r="H391">
            <v>13.989999999999998</v>
          </cell>
          <cell r="I391">
            <v>635.8900000000001</v>
          </cell>
          <cell r="J391">
            <v>0</v>
          </cell>
          <cell r="K391">
            <v>0</v>
          </cell>
          <cell r="M391">
            <v>0</v>
          </cell>
          <cell r="P391">
            <v>636</v>
          </cell>
          <cell r="V391" t="str">
            <v>Available</v>
          </cell>
        </row>
        <row r="392">
          <cell r="E392">
            <v>10020025</v>
          </cell>
          <cell r="H392">
            <v>64.56</v>
          </cell>
          <cell r="I392">
            <v>3410.4799999999996</v>
          </cell>
          <cell r="J392">
            <v>0</v>
          </cell>
          <cell r="K392">
            <v>0</v>
          </cell>
          <cell r="M392">
            <v>0</v>
          </cell>
          <cell r="P392">
            <v>3410</v>
          </cell>
          <cell r="V392" t="str">
            <v>Available</v>
          </cell>
        </row>
        <row r="393">
          <cell r="E393">
            <v>10020025</v>
          </cell>
          <cell r="H393">
            <v>28.18</v>
          </cell>
          <cell r="I393">
            <v>1126.3999999999999</v>
          </cell>
          <cell r="J393">
            <v>0</v>
          </cell>
          <cell r="K393">
            <v>0</v>
          </cell>
          <cell r="M393">
            <v>0</v>
          </cell>
          <cell r="P393">
            <v>1126</v>
          </cell>
          <cell r="V393" t="str">
            <v>Available</v>
          </cell>
        </row>
        <row r="394">
          <cell r="E394">
            <v>10020025</v>
          </cell>
          <cell r="H394">
            <v>15.44</v>
          </cell>
          <cell r="I394">
            <v>620.94000000000005</v>
          </cell>
          <cell r="J394">
            <v>0</v>
          </cell>
          <cell r="K394">
            <v>0</v>
          </cell>
          <cell r="M394">
            <v>0</v>
          </cell>
          <cell r="P394">
            <v>621</v>
          </cell>
          <cell r="V394" t="str">
            <v>Available</v>
          </cell>
        </row>
        <row r="395">
          <cell r="E395">
            <v>10020025</v>
          </cell>
          <cell r="H395">
            <v>49.88</v>
          </cell>
          <cell r="I395">
            <v>2026.3999999999999</v>
          </cell>
          <cell r="J395">
            <v>0</v>
          </cell>
          <cell r="K395">
            <v>0</v>
          </cell>
          <cell r="M395">
            <v>0</v>
          </cell>
          <cell r="P395">
            <v>2026</v>
          </cell>
          <cell r="V395" t="str">
            <v>Available</v>
          </cell>
        </row>
        <row r="396">
          <cell r="E396">
            <v>10020025</v>
          </cell>
          <cell r="H396">
            <v>27.54</v>
          </cell>
          <cell r="I396">
            <v>1213.3399999999999</v>
          </cell>
          <cell r="J396">
            <v>0</v>
          </cell>
          <cell r="K396">
            <v>0</v>
          </cell>
          <cell r="M396">
            <v>0</v>
          </cell>
          <cell r="P396">
            <v>1213</v>
          </cell>
          <cell r="V396" t="str">
            <v>Available</v>
          </cell>
        </row>
        <row r="397">
          <cell r="E397">
            <v>10020025</v>
          </cell>
          <cell r="H397">
            <v>45.61</v>
          </cell>
          <cell r="I397">
            <v>1854.15</v>
          </cell>
          <cell r="J397">
            <v>0</v>
          </cell>
          <cell r="K397">
            <v>0</v>
          </cell>
          <cell r="M397">
            <v>0</v>
          </cell>
          <cell r="P397">
            <v>1854</v>
          </cell>
          <cell r="V397" t="str">
            <v>Available</v>
          </cell>
        </row>
        <row r="398">
          <cell r="E398">
            <v>10020025</v>
          </cell>
          <cell r="H398">
            <v>22.54</v>
          </cell>
          <cell r="I398">
            <v>846.26</v>
          </cell>
          <cell r="J398">
            <v>0</v>
          </cell>
          <cell r="K398">
            <v>0</v>
          </cell>
          <cell r="M398">
            <v>0</v>
          </cell>
          <cell r="P398">
            <v>846</v>
          </cell>
          <cell r="V398" t="str">
            <v>Available</v>
          </cell>
        </row>
        <row r="399">
          <cell r="E399">
            <v>10020026</v>
          </cell>
          <cell r="H399">
            <v>0.6</v>
          </cell>
          <cell r="I399">
            <v>24.23</v>
          </cell>
          <cell r="J399">
            <v>0</v>
          </cell>
          <cell r="K399">
            <v>24.23</v>
          </cell>
          <cell r="M399">
            <v>0</v>
          </cell>
          <cell r="P399">
            <v>0</v>
          </cell>
          <cell r="V399" t="str">
            <v>Not Available</v>
          </cell>
        </row>
        <row r="400">
          <cell r="E400">
            <v>10020026</v>
          </cell>
          <cell r="H400">
            <v>330</v>
          </cell>
          <cell r="I400">
            <v>13532.41</v>
          </cell>
          <cell r="J400">
            <v>0</v>
          </cell>
          <cell r="K400">
            <v>0</v>
          </cell>
          <cell r="M400">
            <v>0</v>
          </cell>
          <cell r="P400">
            <v>13052</v>
          </cell>
          <cell r="V400" t="str">
            <v>Available</v>
          </cell>
        </row>
        <row r="401">
          <cell r="E401">
            <v>10020026</v>
          </cell>
          <cell r="H401">
            <v>11.6</v>
          </cell>
          <cell r="I401">
            <v>455.71999999999997</v>
          </cell>
          <cell r="J401">
            <v>0</v>
          </cell>
          <cell r="K401">
            <v>0</v>
          </cell>
          <cell r="M401">
            <v>0</v>
          </cell>
          <cell r="P401">
            <v>456</v>
          </cell>
          <cell r="V401" t="str">
            <v>Available</v>
          </cell>
        </row>
        <row r="402">
          <cell r="E402">
            <v>10020026</v>
          </cell>
          <cell r="H402">
            <v>40.6</v>
          </cell>
          <cell r="I402">
            <v>1586</v>
          </cell>
          <cell r="J402">
            <v>0</v>
          </cell>
          <cell r="K402">
            <v>0</v>
          </cell>
          <cell r="M402">
            <v>0</v>
          </cell>
          <cell r="P402">
            <v>1586</v>
          </cell>
          <cell r="V402" t="str">
            <v>Available</v>
          </cell>
        </row>
        <row r="403">
          <cell r="E403">
            <v>10020027</v>
          </cell>
          <cell r="H403">
            <v>562.30000000000007</v>
          </cell>
          <cell r="I403">
            <v>24025.609999999997</v>
          </cell>
          <cell r="J403">
            <v>0</v>
          </cell>
          <cell r="K403">
            <v>0</v>
          </cell>
          <cell r="M403">
            <v>3835.3</v>
          </cell>
          <cell r="P403">
            <v>20186</v>
          </cell>
          <cell r="V403" t="str">
            <v>Available</v>
          </cell>
        </row>
        <row r="404">
          <cell r="E404">
            <v>10020029</v>
          </cell>
          <cell r="H404">
            <v>1.9099999999999997</v>
          </cell>
          <cell r="I404">
            <v>82.000000000000014</v>
          </cell>
          <cell r="J404">
            <v>0</v>
          </cell>
          <cell r="K404">
            <v>82.000000000000014</v>
          </cell>
          <cell r="M404">
            <v>0</v>
          </cell>
          <cell r="P404">
            <v>0</v>
          </cell>
          <cell r="V404" t="str">
            <v>Not Available</v>
          </cell>
        </row>
        <row r="405">
          <cell r="E405">
            <v>10020029</v>
          </cell>
          <cell r="H405">
            <v>25.869999999999997</v>
          </cell>
          <cell r="I405">
            <v>1197</v>
          </cell>
          <cell r="J405">
            <v>0</v>
          </cell>
          <cell r="K405">
            <v>0</v>
          </cell>
          <cell r="M405">
            <v>0</v>
          </cell>
          <cell r="P405">
            <v>372</v>
          </cell>
          <cell r="V405" t="str">
            <v>Available</v>
          </cell>
        </row>
        <row r="406">
          <cell r="E406">
            <v>10020029</v>
          </cell>
          <cell r="H406">
            <v>219.57999999999998</v>
          </cell>
          <cell r="I406">
            <v>9592.869999999999</v>
          </cell>
          <cell r="J406">
            <v>0</v>
          </cell>
          <cell r="K406">
            <v>0</v>
          </cell>
          <cell r="M406">
            <v>0</v>
          </cell>
          <cell r="P406">
            <v>9593</v>
          </cell>
          <cell r="V406" t="str">
            <v>Available</v>
          </cell>
        </row>
        <row r="407">
          <cell r="E407">
            <v>10020029</v>
          </cell>
          <cell r="H407">
            <v>12.42</v>
          </cell>
          <cell r="I407">
            <v>602.27</v>
          </cell>
          <cell r="J407">
            <v>602</v>
          </cell>
          <cell r="K407">
            <v>0</v>
          </cell>
          <cell r="M407">
            <v>0</v>
          </cell>
          <cell r="P407">
            <v>0</v>
          </cell>
          <cell r="V407" t="str">
            <v>Available</v>
          </cell>
        </row>
        <row r="408">
          <cell r="E408">
            <v>10020029</v>
          </cell>
          <cell r="H408">
            <v>29.419999999999998</v>
          </cell>
          <cell r="I408">
            <v>1367.85</v>
          </cell>
          <cell r="J408">
            <v>0</v>
          </cell>
          <cell r="K408">
            <v>0</v>
          </cell>
          <cell r="M408">
            <v>0</v>
          </cell>
          <cell r="P408">
            <v>1368</v>
          </cell>
          <cell r="V408" t="str">
            <v>Available</v>
          </cell>
        </row>
        <row r="409">
          <cell r="E409">
            <v>10020032</v>
          </cell>
          <cell r="H409">
            <v>13.79</v>
          </cell>
          <cell r="I409">
            <v>657.48</v>
          </cell>
          <cell r="J409">
            <v>0</v>
          </cell>
          <cell r="K409">
            <v>657.48</v>
          </cell>
          <cell r="M409">
            <v>0</v>
          </cell>
          <cell r="P409">
            <v>0</v>
          </cell>
          <cell r="V409" t="str">
            <v>Not Available</v>
          </cell>
        </row>
        <row r="410">
          <cell r="E410">
            <v>10020032</v>
          </cell>
          <cell r="H410">
            <v>168.85000000000002</v>
          </cell>
          <cell r="I410">
            <v>9647.4699999999993</v>
          </cell>
          <cell r="J410">
            <v>0</v>
          </cell>
          <cell r="K410">
            <v>0</v>
          </cell>
          <cell r="M410">
            <v>0</v>
          </cell>
          <cell r="P410">
            <v>8214</v>
          </cell>
          <cell r="V410" t="str">
            <v>Available</v>
          </cell>
        </row>
        <row r="411">
          <cell r="E411">
            <v>10020032</v>
          </cell>
          <cell r="H411">
            <v>12.780000000000001</v>
          </cell>
          <cell r="I411">
            <v>559.29</v>
          </cell>
          <cell r="J411">
            <v>0</v>
          </cell>
          <cell r="K411">
            <v>0</v>
          </cell>
          <cell r="M411">
            <v>0</v>
          </cell>
          <cell r="P411">
            <v>559</v>
          </cell>
          <cell r="V411" t="str">
            <v>Available</v>
          </cell>
        </row>
        <row r="412">
          <cell r="E412">
            <v>10020032</v>
          </cell>
          <cell r="H412">
            <v>24.32</v>
          </cell>
          <cell r="I412">
            <v>993.6400000000001</v>
          </cell>
          <cell r="J412">
            <v>0</v>
          </cell>
          <cell r="K412">
            <v>0</v>
          </cell>
          <cell r="M412">
            <v>0</v>
          </cell>
          <cell r="P412">
            <v>994</v>
          </cell>
          <cell r="V412" t="str">
            <v>Available</v>
          </cell>
        </row>
        <row r="413">
          <cell r="E413">
            <v>10020032</v>
          </cell>
          <cell r="H413">
            <v>66.990000000000009</v>
          </cell>
          <cell r="I413">
            <v>2697.3700000000003</v>
          </cell>
          <cell r="J413">
            <v>0</v>
          </cell>
          <cell r="K413">
            <v>0</v>
          </cell>
          <cell r="M413">
            <v>0</v>
          </cell>
          <cell r="P413">
            <v>2697</v>
          </cell>
          <cell r="V413" t="str">
            <v>Available</v>
          </cell>
        </row>
        <row r="414">
          <cell r="E414">
            <v>10020032</v>
          </cell>
          <cell r="H414">
            <v>52.37</v>
          </cell>
          <cell r="I414">
            <v>2046.1700000000003</v>
          </cell>
          <cell r="J414">
            <v>0</v>
          </cell>
          <cell r="K414">
            <v>0</v>
          </cell>
          <cell r="M414">
            <v>0</v>
          </cell>
          <cell r="P414">
            <v>2046</v>
          </cell>
          <cell r="V414" t="str">
            <v>Available</v>
          </cell>
        </row>
        <row r="415">
          <cell r="E415">
            <v>10020032</v>
          </cell>
          <cell r="H415">
            <v>12.530000000000001</v>
          </cell>
          <cell r="I415">
            <v>656.42000000000007</v>
          </cell>
          <cell r="J415">
            <v>0</v>
          </cell>
          <cell r="K415">
            <v>0</v>
          </cell>
          <cell r="M415">
            <v>0</v>
          </cell>
          <cell r="P415">
            <v>656</v>
          </cell>
          <cell r="V415" t="str">
            <v>Available</v>
          </cell>
        </row>
        <row r="416">
          <cell r="E416">
            <v>10020032</v>
          </cell>
          <cell r="H416">
            <v>14.290000000000001</v>
          </cell>
          <cell r="I416">
            <v>668.28</v>
          </cell>
          <cell r="J416">
            <v>0</v>
          </cell>
          <cell r="K416">
            <v>0</v>
          </cell>
          <cell r="M416">
            <v>0</v>
          </cell>
          <cell r="P416">
            <v>668</v>
          </cell>
          <cell r="V416" t="str">
            <v>Available</v>
          </cell>
        </row>
        <row r="417">
          <cell r="E417">
            <v>10020032</v>
          </cell>
          <cell r="H417">
            <v>31.130000000000003</v>
          </cell>
          <cell r="I417">
            <v>1204.9900000000002</v>
          </cell>
          <cell r="J417">
            <v>0</v>
          </cell>
          <cell r="K417">
            <v>0</v>
          </cell>
          <cell r="M417">
            <v>0</v>
          </cell>
          <cell r="P417">
            <v>1205</v>
          </cell>
          <cell r="V417" t="str">
            <v>Available</v>
          </cell>
        </row>
        <row r="418">
          <cell r="E418">
            <v>10020032</v>
          </cell>
          <cell r="H418">
            <v>39.369999999999997</v>
          </cell>
          <cell r="I418">
            <v>2085.4000000000005</v>
          </cell>
          <cell r="J418">
            <v>0</v>
          </cell>
          <cell r="K418">
            <v>0</v>
          </cell>
          <cell r="M418">
            <v>0</v>
          </cell>
          <cell r="P418">
            <v>2085</v>
          </cell>
          <cell r="V418" t="str">
            <v>Available</v>
          </cell>
        </row>
        <row r="419">
          <cell r="E419">
            <v>10020032</v>
          </cell>
          <cell r="H419">
            <v>12.56</v>
          </cell>
          <cell r="I419">
            <v>521.5200000000001</v>
          </cell>
          <cell r="J419">
            <v>0</v>
          </cell>
          <cell r="K419">
            <v>0</v>
          </cell>
          <cell r="M419">
            <v>0</v>
          </cell>
          <cell r="P419">
            <v>522</v>
          </cell>
          <cell r="V419" t="str">
            <v>Available</v>
          </cell>
        </row>
        <row r="420">
          <cell r="E420">
            <v>10020032</v>
          </cell>
          <cell r="H420">
            <v>28.55</v>
          </cell>
          <cell r="I420">
            <v>1148.9300000000003</v>
          </cell>
          <cell r="J420">
            <v>0</v>
          </cell>
          <cell r="K420">
            <v>0</v>
          </cell>
          <cell r="M420">
            <v>0</v>
          </cell>
          <cell r="P420">
            <v>1149</v>
          </cell>
          <cell r="V420" t="str">
            <v>Available</v>
          </cell>
        </row>
        <row r="421">
          <cell r="E421">
            <v>10020032</v>
          </cell>
          <cell r="H421">
            <v>16.610000000000003</v>
          </cell>
          <cell r="I421">
            <v>672.49</v>
          </cell>
          <cell r="J421">
            <v>0</v>
          </cell>
          <cell r="K421">
            <v>0</v>
          </cell>
          <cell r="M421">
            <v>0</v>
          </cell>
          <cell r="P421">
            <v>672</v>
          </cell>
          <cell r="V421" t="str">
            <v>Available</v>
          </cell>
        </row>
        <row r="422">
          <cell r="E422">
            <v>10020032</v>
          </cell>
          <cell r="H422">
            <v>43.04</v>
          </cell>
          <cell r="I422">
            <v>1692.49</v>
          </cell>
          <cell r="J422">
            <v>0</v>
          </cell>
          <cell r="K422">
            <v>0</v>
          </cell>
          <cell r="M422">
            <v>0</v>
          </cell>
          <cell r="P422">
            <v>1692</v>
          </cell>
          <cell r="V422" t="str">
            <v>Available</v>
          </cell>
        </row>
        <row r="423">
          <cell r="E423">
            <v>10020032</v>
          </cell>
          <cell r="H423">
            <v>35.199999999999996</v>
          </cell>
          <cell r="I423">
            <v>1567.8000000000002</v>
          </cell>
          <cell r="J423">
            <v>0</v>
          </cell>
          <cell r="K423">
            <v>0</v>
          </cell>
          <cell r="M423">
            <v>0</v>
          </cell>
          <cell r="P423">
            <v>1568</v>
          </cell>
          <cell r="V423" t="str">
            <v>Available</v>
          </cell>
        </row>
        <row r="424">
          <cell r="E424">
            <v>10020032</v>
          </cell>
          <cell r="H424">
            <v>303.04000000000002</v>
          </cell>
          <cell r="I424">
            <v>13423.429999999998</v>
          </cell>
          <cell r="J424">
            <v>0</v>
          </cell>
          <cell r="K424">
            <v>0</v>
          </cell>
          <cell r="M424">
            <v>0</v>
          </cell>
          <cell r="P424">
            <v>13423</v>
          </cell>
          <cell r="V424" t="str">
            <v>Available</v>
          </cell>
        </row>
        <row r="425">
          <cell r="E425">
            <v>10020032</v>
          </cell>
          <cell r="H425">
            <v>100.09</v>
          </cell>
          <cell r="I425">
            <v>4887.13</v>
          </cell>
          <cell r="J425">
            <v>0</v>
          </cell>
          <cell r="K425">
            <v>0</v>
          </cell>
          <cell r="M425">
            <v>0</v>
          </cell>
          <cell r="P425">
            <v>4887</v>
          </cell>
          <cell r="V425" t="str">
            <v>Available</v>
          </cell>
        </row>
        <row r="426">
          <cell r="E426">
            <v>10020032</v>
          </cell>
          <cell r="H426">
            <v>17.37</v>
          </cell>
          <cell r="I426">
            <v>729.73</v>
          </cell>
          <cell r="J426">
            <v>0</v>
          </cell>
          <cell r="K426">
            <v>0</v>
          </cell>
          <cell r="M426">
            <v>0</v>
          </cell>
          <cell r="P426">
            <v>730</v>
          </cell>
          <cell r="V426" t="str">
            <v>Available</v>
          </cell>
        </row>
        <row r="427">
          <cell r="E427">
            <v>10020032</v>
          </cell>
          <cell r="H427">
            <v>24.08</v>
          </cell>
          <cell r="I427">
            <v>1039.27</v>
          </cell>
          <cell r="J427">
            <v>0</v>
          </cell>
          <cell r="K427">
            <v>0</v>
          </cell>
          <cell r="M427">
            <v>0</v>
          </cell>
          <cell r="P427">
            <v>1039</v>
          </cell>
          <cell r="V427" t="str">
            <v>Available</v>
          </cell>
        </row>
        <row r="428">
          <cell r="E428">
            <v>10020032</v>
          </cell>
          <cell r="H428">
            <v>35.840000000000003</v>
          </cell>
          <cell r="I428">
            <v>1981.0099999999998</v>
          </cell>
          <cell r="J428">
            <v>0</v>
          </cell>
          <cell r="K428">
            <v>0</v>
          </cell>
          <cell r="M428">
            <v>0</v>
          </cell>
          <cell r="P428">
            <v>1981</v>
          </cell>
          <cell r="V428" t="str">
            <v>Available</v>
          </cell>
        </row>
        <row r="429">
          <cell r="E429">
            <v>10020032</v>
          </cell>
          <cell r="H429">
            <v>43.879999999999995</v>
          </cell>
          <cell r="I429">
            <v>1843.45</v>
          </cell>
          <cell r="J429">
            <v>0</v>
          </cell>
          <cell r="K429">
            <v>0</v>
          </cell>
          <cell r="M429">
            <v>0</v>
          </cell>
          <cell r="P429">
            <v>1843</v>
          </cell>
          <cell r="V429" t="str">
            <v>Available</v>
          </cell>
        </row>
        <row r="430">
          <cell r="E430">
            <v>10020032</v>
          </cell>
          <cell r="H430">
            <v>49.42</v>
          </cell>
          <cell r="I430">
            <v>1996.83</v>
          </cell>
          <cell r="J430">
            <v>0</v>
          </cell>
          <cell r="K430">
            <v>0</v>
          </cell>
          <cell r="M430">
            <v>0</v>
          </cell>
          <cell r="P430">
            <v>1997</v>
          </cell>
          <cell r="V430" t="str">
            <v>Available</v>
          </cell>
        </row>
        <row r="431">
          <cell r="E431">
            <v>10020032</v>
          </cell>
          <cell r="H431">
            <v>43.46</v>
          </cell>
          <cell r="I431">
            <v>1686.74</v>
          </cell>
          <cell r="J431">
            <v>0</v>
          </cell>
          <cell r="K431">
            <v>0</v>
          </cell>
          <cell r="M431">
            <v>0</v>
          </cell>
          <cell r="P431">
            <v>1687</v>
          </cell>
          <cell r="V431" t="str">
            <v>Available</v>
          </cell>
        </row>
        <row r="432">
          <cell r="E432">
            <v>10020034</v>
          </cell>
          <cell r="H432">
            <v>8.19</v>
          </cell>
          <cell r="I432">
            <v>330.45000000000005</v>
          </cell>
          <cell r="J432">
            <v>0</v>
          </cell>
          <cell r="K432">
            <v>330.45000000000005</v>
          </cell>
          <cell r="M432">
            <v>0</v>
          </cell>
          <cell r="P432">
            <v>0</v>
          </cell>
          <cell r="V432" t="str">
            <v>Not Available</v>
          </cell>
        </row>
        <row r="433">
          <cell r="E433">
            <v>10020034</v>
          </cell>
          <cell r="H433">
            <v>165.76</v>
          </cell>
          <cell r="I433">
            <v>6885.82</v>
          </cell>
          <cell r="J433">
            <v>0</v>
          </cell>
          <cell r="K433">
            <v>0</v>
          </cell>
          <cell r="M433">
            <v>3891</v>
          </cell>
          <cell r="P433">
            <v>2995</v>
          </cell>
          <cell r="V433" t="str">
            <v>Available</v>
          </cell>
        </row>
        <row r="434">
          <cell r="E434">
            <v>10020034</v>
          </cell>
          <cell r="H434">
            <v>12.2</v>
          </cell>
          <cell r="I434">
            <v>477.52</v>
          </cell>
          <cell r="J434">
            <v>0</v>
          </cell>
          <cell r="K434">
            <v>0</v>
          </cell>
          <cell r="M434">
            <v>0</v>
          </cell>
          <cell r="P434">
            <v>478</v>
          </cell>
          <cell r="V434" t="str">
            <v>Available</v>
          </cell>
        </row>
        <row r="435">
          <cell r="E435">
            <v>10020034</v>
          </cell>
          <cell r="H435">
            <v>13.67</v>
          </cell>
          <cell r="I435">
            <v>973.29</v>
          </cell>
          <cell r="J435">
            <v>0</v>
          </cell>
          <cell r="K435">
            <v>0</v>
          </cell>
          <cell r="M435">
            <v>0</v>
          </cell>
          <cell r="P435">
            <v>973</v>
          </cell>
          <cell r="V435" t="str">
            <v>Available</v>
          </cell>
        </row>
        <row r="436">
          <cell r="E436">
            <v>10020034</v>
          </cell>
          <cell r="H436">
            <v>31.67</v>
          </cell>
          <cell r="I436">
            <v>1269.68</v>
          </cell>
          <cell r="J436">
            <v>0</v>
          </cell>
          <cell r="K436">
            <v>0</v>
          </cell>
          <cell r="M436">
            <v>0</v>
          </cell>
          <cell r="P436">
            <v>1270</v>
          </cell>
          <cell r="V436" t="str">
            <v>Available</v>
          </cell>
        </row>
        <row r="437">
          <cell r="E437">
            <v>10020034</v>
          </cell>
          <cell r="H437">
            <v>103.87</v>
          </cell>
          <cell r="I437">
            <v>5299.48</v>
          </cell>
          <cell r="J437">
            <v>0</v>
          </cell>
          <cell r="K437">
            <v>0</v>
          </cell>
          <cell r="M437">
            <v>0</v>
          </cell>
          <cell r="P437">
            <v>5299</v>
          </cell>
          <cell r="V437" t="str">
            <v>Available</v>
          </cell>
        </row>
        <row r="438">
          <cell r="E438">
            <v>10020034</v>
          </cell>
          <cell r="H438">
            <v>5.05</v>
          </cell>
          <cell r="I438">
            <v>207.1</v>
          </cell>
          <cell r="J438">
            <v>0</v>
          </cell>
          <cell r="K438">
            <v>0</v>
          </cell>
          <cell r="M438">
            <v>0</v>
          </cell>
          <cell r="P438">
            <v>207</v>
          </cell>
          <cell r="V438" t="str">
            <v>Available</v>
          </cell>
        </row>
        <row r="439">
          <cell r="E439">
            <v>10020034</v>
          </cell>
          <cell r="H439">
            <v>15.85</v>
          </cell>
          <cell r="I439">
            <v>622.85</v>
          </cell>
          <cell r="J439">
            <v>0</v>
          </cell>
          <cell r="K439">
            <v>0</v>
          </cell>
          <cell r="M439">
            <v>0</v>
          </cell>
          <cell r="P439">
            <v>623</v>
          </cell>
          <cell r="V439" t="str">
            <v>Available</v>
          </cell>
        </row>
        <row r="440">
          <cell r="E440">
            <v>10020034</v>
          </cell>
          <cell r="H440">
            <v>12.87</v>
          </cell>
          <cell r="I440">
            <v>510.37</v>
          </cell>
          <cell r="J440">
            <v>0</v>
          </cell>
          <cell r="K440">
            <v>0</v>
          </cell>
          <cell r="M440">
            <v>0</v>
          </cell>
          <cell r="P440">
            <v>510</v>
          </cell>
          <cell r="V440" t="str">
            <v>Available</v>
          </cell>
        </row>
        <row r="441">
          <cell r="E441">
            <v>10020034</v>
          </cell>
          <cell r="H441">
            <v>7.27</v>
          </cell>
          <cell r="I441">
            <v>298.14</v>
          </cell>
          <cell r="J441">
            <v>0</v>
          </cell>
          <cell r="K441">
            <v>0</v>
          </cell>
          <cell r="M441">
            <v>0</v>
          </cell>
          <cell r="P441">
            <v>298</v>
          </cell>
          <cell r="V441" t="str">
            <v>Available</v>
          </cell>
        </row>
        <row r="442">
          <cell r="E442">
            <v>10020034</v>
          </cell>
          <cell r="H442">
            <v>2.08</v>
          </cell>
          <cell r="I442">
            <v>82.43</v>
          </cell>
          <cell r="J442">
            <v>0</v>
          </cell>
          <cell r="K442">
            <v>0</v>
          </cell>
          <cell r="M442">
            <v>0</v>
          </cell>
          <cell r="P442">
            <v>82</v>
          </cell>
          <cell r="V442" t="str">
            <v>Available</v>
          </cell>
        </row>
        <row r="443">
          <cell r="E443">
            <v>10020034</v>
          </cell>
          <cell r="H443">
            <v>6.32</v>
          </cell>
          <cell r="I443">
            <v>265.69</v>
          </cell>
          <cell r="J443">
            <v>0</v>
          </cell>
          <cell r="K443">
            <v>0</v>
          </cell>
          <cell r="M443">
            <v>0</v>
          </cell>
          <cell r="P443">
            <v>266</v>
          </cell>
          <cell r="V443" t="str">
            <v>Available</v>
          </cell>
        </row>
        <row r="444">
          <cell r="E444">
            <v>10020034</v>
          </cell>
          <cell r="H444">
            <v>16.919999999999998</v>
          </cell>
          <cell r="I444">
            <v>691.23</v>
          </cell>
          <cell r="J444">
            <v>0</v>
          </cell>
          <cell r="K444">
            <v>0</v>
          </cell>
          <cell r="M444">
            <v>0</v>
          </cell>
          <cell r="P444">
            <v>691</v>
          </cell>
          <cell r="V444" t="str">
            <v>Available</v>
          </cell>
        </row>
        <row r="445">
          <cell r="E445">
            <v>10020034</v>
          </cell>
          <cell r="H445">
            <v>5.35</v>
          </cell>
          <cell r="I445">
            <v>259.64</v>
          </cell>
          <cell r="J445">
            <v>0</v>
          </cell>
          <cell r="K445">
            <v>0</v>
          </cell>
          <cell r="M445">
            <v>0</v>
          </cell>
          <cell r="P445">
            <v>260</v>
          </cell>
          <cell r="V445" t="str">
            <v>Available</v>
          </cell>
        </row>
        <row r="446">
          <cell r="E446">
            <v>10020034</v>
          </cell>
          <cell r="H446">
            <v>33.160000000000004</v>
          </cell>
          <cell r="I446">
            <v>1776.58</v>
          </cell>
          <cell r="J446">
            <v>0</v>
          </cell>
          <cell r="K446">
            <v>0</v>
          </cell>
          <cell r="M446">
            <v>0</v>
          </cell>
          <cell r="P446">
            <v>1777</v>
          </cell>
          <cell r="V446" t="str">
            <v>Available</v>
          </cell>
        </row>
        <row r="447">
          <cell r="E447">
            <v>10020034</v>
          </cell>
          <cell r="H447">
            <v>47.25</v>
          </cell>
          <cell r="I447">
            <v>1930.4499999999998</v>
          </cell>
          <cell r="J447">
            <v>0</v>
          </cell>
          <cell r="K447">
            <v>0</v>
          </cell>
          <cell r="M447">
            <v>1930</v>
          </cell>
          <cell r="P447">
            <v>0</v>
          </cell>
          <cell r="V447" t="str">
            <v>Available</v>
          </cell>
        </row>
        <row r="448">
          <cell r="E448">
            <v>10020034</v>
          </cell>
          <cell r="H448">
            <v>8.74</v>
          </cell>
          <cell r="I448">
            <v>398.88</v>
          </cell>
          <cell r="J448">
            <v>0</v>
          </cell>
          <cell r="K448">
            <v>0</v>
          </cell>
          <cell r="M448">
            <v>0</v>
          </cell>
          <cell r="P448">
            <v>399</v>
          </cell>
          <cell r="V448" t="str">
            <v>Available</v>
          </cell>
        </row>
        <row r="449">
          <cell r="E449">
            <v>10020034</v>
          </cell>
          <cell r="H449">
            <v>33.799999999999997</v>
          </cell>
          <cell r="I449">
            <v>1376.06</v>
          </cell>
          <cell r="J449">
            <v>0</v>
          </cell>
          <cell r="K449">
            <v>0</v>
          </cell>
          <cell r="M449">
            <v>0</v>
          </cell>
          <cell r="P449">
            <v>1376</v>
          </cell>
          <cell r="V449" t="str">
            <v>Available</v>
          </cell>
        </row>
        <row r="450">
          <cell r="E450">
            <v>10020034</v>
          </cell>
          <cell r="H450">
            <v>31.51</v>
          </cell>
          <cell r="I450">
            <v>1240.94</v>
          </cell>
          <cell r="J450">
            <v>0</v>
          </cell>
          <cell r="K450">
            <v>0</v>
          </cell>
          <cell r="M450">
            <v>0</v>
          </cell>
          <cell r="P450">
            <v>1241</v>
          </cell>
          <cell r="V450" t="str">
            <v>Available</v>
          </cell>
        </row>
        <row r="451">
          <cell r="E451">
            <v>10020034</v>
          </cell>
          <cell r="H451">
            <v>53.84</v>
          </cell>
          <cell r="I451">
            <v>2603.83</v>
          </cell>
          <cell r="J451">
            <v>0</v>
          </cell>
          <cell r="K451">
            <v>0</v>
          </cell>
          <cell r="M451">
            <v>0</v>
          </cell>
          <cell r="P451">
            <v>2604</v>
          </cell>
          <cell r="V451" t="str">
            <v>Available</v>
          </cell>
        </row>
        <row r="452">
          <cell r="E452">
            <v>10020034</v>
          </cell>
          <cell r="H452">
            <v>5.6</v>
          </cell>
          <cell r="I452">
            <v>204.57</v>
          </cell>
          <cell r="J452">
            <v>0</v>
          </cell>
          <cell r="K452">
            <v>0</v>
          </cell>
          <cell r="M452">
            <v>0</v>
          </cell>
          <cell r="P452">
            <v>205</v>
          </cell>
          <cell r="V452" t="str">
            <v>Available</v>
          </cell>
        </row>
        <row r="453">
          <cell r="E453">
            <v>10020034</v>
          </cell>
          <cell r="H453">
            <v>2.2200000000000002</v>
          </cell>
          <cell r="I453">
            <v>93.53</v>
          </cell>
          <cell r="J453">
            <v>0</v>
          </cell>
          <cell r="K453">
            <v>0</v>
          </cell>
          <cell r="M453">
            <v>0</v>
          </cell>
          <cell r="P453">
            <v>94</v>
          </cell>
          <cell r="V453" t="str">
            <v>Available</v>
          </cell>
        </row>
        <row r="454">
          <cell r="E454">
            <v>10020034</v>
          </cell>
          <cell r="H454">
            <v>35.789999999999992</v>
          </cell>
          <cell r="I454">
            <v>1560.17</v>
          </cell>
          <cell r="J454">
            <v>0</v>
          </cell>
          <cell r="K454">
            <v>0</v>
          </cell>
          <cell r="M454">
            <v>315</v>
          </cell>
          <cell r="P454">
            <v>1245</v>
          </cell>
          <cell r="V454" t="str">
            <v>Available</v>
          </cell>
        </row>
        <row r="455">
          <cell r="E455">
            <v>10020034</v>
          </cell>
          <cell r="H455">
            <v>34.01</v>
          </cell>
          <cell r="I455">
            <v>1421.5899999999997</v>
          </cell>
          <cell r="J455">
            <v>0</v>
          </cell>
          <cell r="K455">
            <v>0</v>
          </cell>
          <cell r="M455">
            <v>0</v>
          </cell>
          <cell r="P455">
            <v>1422</v>
          </cell>
          <cell r="V455" t="str">
            <v>Available</v>
          </cell>
        </row>
        <row r="456">
          <cell r="E456">
            <v>10020034</v>
          </cell>
          <cell r="H456">
            <v>16.579999999999998</v>
          </cell>
          <cell r="I456">
            <v>643.68999999999994</v>
          </cell>
          <cell r="J456">
            <v>0</v>
          </cell>
          <cell r="K456">
            <v>0</v>
          </cell>
          <cell r="M456">
            <v>0</v>
          </cell>
          <cell r="P456">
            <v>644</v>
          </cell>
          <cell r="V456" t="str">
            <v>Available</v>
          </cell>
        </row>
        <row r="457">
          <cell r="E457">
            <v>10020035</v>
          </cell>
          <cell r="H457">
            <v>107</v>
          </cell>
          <cell r="I457">
            <v>4856.0399999999991</v>
          </cell>
          <cell r="J457">
            <v>0</v>
          </cell>
          <cell r="K457">
            <v>4856.0399999999991</v>
          </cell>
          <cell r="M457">
            <v>0</v>
          </cell>
          <cell r="P457">
            <v>0</v>
          </cell>
          <cell r="V457" t="str">
            <v>Not Available</v>
          </cell>
        </row>
        <row r="458">
          <cell r="E458">
            <v>10020035</v>
          </cell>
          <cell r="H458">
            <v>475</v>
          </cell>
          <cell r="I458">
            <v>20701.97</v>
          </cell>
          <cell r="J458">
            <v>0</v>
          </cell>
          <cell r="K458">
            <v>0</v>
          </cell>
          <cell r="M458">
            <v>0</v>
          </cell>
          <cell r="P458">
            <v>19918</v>
          </cell>
          <cell r="V458" t="str">
            <v>Available</v>
          </cell>
        </row>
        <row r="459">
          <cell r="E459">
            <v>10020035</v>
          </cell>
          <cell r="H459">
            <v>58.6</v>
          </cell>
          <cell r="I459">
            <v>2950.94</v>
          </cell>
          <cell r="J459">
            <v>0</v>
          </cell>
          <cell r="K459">
            <v>0</v>
          </cell>
          <cell r="M459">
            <v>0</v>
          </cell>
          <cell r="P459">
            <v>2951</v>
          </cell>
          <cell r="V459" t="str">
            <v>Available</v>
          </cell>
        </row>
        <row r="460">
          <cell r="E460">
            <v>10020035</v>
          </cell>
          <cell r="H460">
            <v>964.3</v>
          </cell>
          <cell r="I460">
            <v>43568.480000000003</v>
          </cell>
          <cell r="J460">
            <v>0</v>
          </cell>
          <cell r="K460">
            <v>0</v>
          </cell>
          <cell r="M460">
            <v>0</v>
          </cell>
          <cell r="P460">
            <v>43568</v>
          </cell>
          <cell r="V460" t="str">
            <v>Available</v>
          </cell>
        </row>
        <row r="461">
          <cell r="E461">
            <v>10020035</v>
          </cell>
          <cell r="H461">
            <v>12.4</v>
          </cell>
          <cell r="I461">
            <v>536.84</v>
          </cell>
          <cell r="J461">
            <v>0</v>
          </cell>
          <cell r="K461">
            <v>0</v>
          </cell>
          <cell r="M461">
            <v>0</v>
          </cell>
          <cell r="P461">
            <v>537</v>
          </cell>
          <cell r="V461" t="str">
            <v>Not Available</v>
          </cell>
        </row>
        <row r="462">
          <cell r="E462">
            <v>10020035</v>
          </cell>
          <cell r="H462">
            <v>2</v>
          </cell>
          <cell r="I462">
            <v>88.41</v>
          </cell>
          <cell r="J462">
            <v>0</v>
          </cell>
          <cell r="K462">
            <v>0</v>
          </cell>
          <cell r="M462">
            <v>0</v>
          </cell>
          <cell r="P462">
            <v>88</v>
          </cell>
          <cell r="V462" t="str">
            <v>Not Available</v>
          </cell>
        </row>
        <row r="463">
          <cell r="E463">
            <v>10020035</v>
          </cell>
          <cell r="H463">
            <v>585</v>
          </cell>
          <cell r="I463">
            <v>25124.2</v>
          </cell>
          <cell r="J463">
            <v>0</v>
          </cell>
          <cell r="K463">
            <v>0</v>
          </cell>
          <cell r="M463">
            <v>0</v>
          </cell>
          <cell r="P463">
            <v>25124</v>
          </cell>
          <cell r="V463" t="str">
            <v>Available</v>
          </cell>
        </row>
        <row r="464">
          <cell r="E464">
            <v>10020035</v>
          </cell>
          <cell r="H464">
            <v>10</v>
          </cell>
          <cell r="I464">
            <v>515.4</v>
          </cell>
          <cell r="J464">
            <v>0</v>
          </cell>
          <cell r="K464">
            <v>0</v>
          </cell>
          <cell r="M464">
            <v>0</v>
          </cell>
          <cell r="P464">
            <v>515</v>
          </cell>
          <cell r="V464" t="str">
            <v>Not Available</v>
          </cell>
        </row>
        <row r="465">
          <cell r="E465">
            <v>10020038</v>
          </cell>
          <cell r="H465">
            <v>4.93</v>
          </cell>
          <cell r="I465">
            <v>205.15</v>
          </cell>
          <cell r="J465">
            <v>0</v>
          </cell>
          <cell r="K465">
            <v>205.15</v>
          </cell>
          <cell r="M465">
            <v>0</v>
          </cell>
          <cell r="P465">
            <v>0</v>
          </cell>
          <cell r="V465" t="str">
            <v>Not Available</v>
          </cell>
        </row>
        <row r="466">
          <cell r="E466">
            <v>10020038</v>
          </cell>
          <cell r="H466">
            <v>75.509999999999991</v>
          </cell>
          <cell r="I466">
            <v>3234.83</v>
          </cell>
          <cell r="J466">
            <v>0</v>
          </cell>
          <cell r="K466">
            <v>0</v>
          </cell>
          <cell r="M466">
            <v>0</v>
          </cell>
          <cell r="P466">
            <v>3235</v>
          </cell>
          <cell r="V466" t="str">
            <v>Available</v>
          </cell>
        </row>
        <row r="467">
          <cell r="E467">
            <v>10020038</v>
          </cell>
          <cell r="H467">
            <v>260.81</v>
          </cell>
          <cell r="I467">
            <v>10094.480000000001</v>
          </cell>
          <cell r="J467">
            <v>0</v>
          </cell>
          <cell r="K467">
            <v>0</v>
          </cell>
          <cell r="M467">
            <v>0</v>
          </cell>
          <cell r="P467">
            <v>10094</v>
          </cell>
          <cell r="V467" t="str">
            <v>Available</v>
          </cell>
        </row>
        <row r="468">
          <cell r="E468">
            <v>10020038</v>
          </cell>
          <cell r="H468">
            <v>31.4</v>
          </cell>
          <cell r="I468">
            <v>1181.95</v>
          </cell>
          <cell r="J468">
            <v>0</v>
          </cell>
          <cell r="K468">
            <v>0</v>
          </cell>
          <cell r="M468">
            <v>0</v>
          </cell>
          <cell r="P468">
            <v>1182</v>
          </cell>
          <cell r="V468" t="str">
            <v>Available</v>
          </cell>
        </row>
        <row r="469">
          <cell r="E469">
            <v>10020038</v>
          </cell>
          <cell r="H469">
            <v>32.97</v>
          </cell>
          <cell r="I469">
            <v>1348.42</v>
          </cell>
          <cell r="J469">
            <v>0</v>
          </cell>
          <cell r="K469">
            <v>0</v>
          </cell>
          <cell r="M469">
            <v>0</v>
          </cell>
          <cell r="P469">
            <v>1348</v>
          </cell>
          <cell r="V469" t="str">
            <v>Available</v>
          </cell>
        </row>
        <row r="470">
          <cell r="E470">
            <v>10020038</v>
          </cell>
          <cell r="H470">
            <v>8.34</v>
          </cell>
          <cell r="I470">
            <v>366.98</v>
          </cell>
          <cell r="J470">
            <v>0</v>
          </cell>
          <cell r="K470">
            <v>0</v>
          </cell>
          <cell r="M470">
            <v>0</v>
          </cell>
          <cell r="P470">
            <v>367</v>
          </cell>
          <cell r="V470" t="str">
            <v>Available</v>
          </cell>
        </row>
        <row r="471">
          <cell r="E471">
            <v>10020038</v>
          </cell>
          <cell r="H471">
            <v>1.52</v>
          </cell>
          <cell r="I471">
            <v>65.709999999999994</v>
          </cell>
          <cell r="J471">
            <v>0</v>
          </cell>
          <cell r="K471">
            <v>0</v>
          </cell>
          <cell r="M471">
            <v>0</v>
          </cell>
          <cell r="P471">
            <v>66</v>
          </cell>
          <cell r="V471" t="str">
            <v>Available</v>
          </cell>
        </row>
        <row r="472">
          <cell r="E472">
            <v>10020038</v>
          </cell>
          <cell r="H472">
            <v>39.659999999999997</v>
          </cell>
          <cell r="I472">
            <v>1463.56</v>
          </cell>
          <cell r="J472">
            <v>0</v>
          </cell>
          <cell r="K472">
            <v>0</v>
          </cell>
          <cell r="M472">
            <v>0</v>
          </cell>
          <cell r="P472">
            <v>1464</v>
          </cell>
          <cell r="V472" t="str">
            <v>Available</v>
          </cell>
        </row>
        <row r="473">
          <cell r="E473">
            <v>10020038</v>
          </cell>
          <cell r="H473">
            <v>18.589999999999996</v>
          </cell>
          <cell r="I473">
            <v>757.07</v>
          </cell>
          <cell r="J473">
            <v>0</v>
          </cell>
          <cell r="K473">
            <v>0</v>
          </cell>
          <cell r="M473">
            <v>0</v>
          </cell>
          <cell r="P473">
            <v>757</v>
          </cell>
          <cell r="V473" t="str">
            <v>Available</v>
          </cell>
        </row>
        <row r="474">
          <cell r="E474">
            <v>10020038</v>
          </cell>
          <cell r="H474">
            <v>60.169999999999995</v>
          </cell>
          <cell r="I474">
            <v>2639.02</v>
          </cell>
          <cell r="J474">
            <v>0</v>
          </cell>
          <cell r="K474">
            <v>0</v>
          </cell>
          <cell r="M474">
            <v>0</v>
          </cell>
          <cell r="P474">
            <v>2639</v>
          </cell>
          <cell r="V474" t="str">
            <v>Available</v>
          </cell>
        </row>
        <row r="475">
          <cell r="E475">
            <v>10020038</v>
          </cell>
          <cell r="H475">
            <v>7.22</v>
          </cell>
          <cell r="I475">
            <v>294.74</v>
          </cell>
          <cell r="J475">
            <v>0</v>
          </cell>
          <cell r="K475">
            <v>0</v>
          </cell>
          <cell r="M475">
            <v>0</v>
          </cell>
          <cell r="P475">
            <v>295</v>
          </cell>
          <cell r="V475" t="str">
            <v>Available</v>
          </cell>
        </row>
        <row r="476">
          <cell r="E476">
            <v>10020041</v>
          </cell>
          <cell r="H476">
            <v>54.84</v>
          </cell>
          <cell r="I476">
            <v>2947.0499999999997</v>
          </cell>
          <cell r="J476">
            <v>0</v>
          </cell>
          <cell r="K476">
            <v>0</v>
          </cell>
          <cell r="M476">
            <v>0</v>
          </cell>
          <cell r="P476">
            <v>202</v>
          </cell>
          <cell r="V476" t="str">
            <v>Available</v>
          </cell>
        </row>
        <row r="477">
          <cell r="E477">
            <v>10020041</v>
          </cell>
          <cell r="H477">
            <v>23.46</v>
          </cell>
          <cell r="I477">
            <v>1006.18</v>
          </cell>
          <cell r="J477">
            <v>0</v>
          </cell>
          <cell r="K477">
            <v>0</v>
          </cell>
          <cell r="M477">
            <v>0</v>
          </cell>
          <cell r="P477">
            <v>1006</v>
          </cell>
          <cell r="V477" t="str">
            <v>Available</v>
          </cell>
        </row>
        <row r="478">
          <cell r="E478">
            <v>10020041</v>
          </cell>
          <cell r="H478">
            <v>12.530000000000001</v>
          </cell>
          <cell r="I478">
            <v>713.86</v>
          </cell>
          <cell r="J478">
            <v>0</v>
          </cell>
          <cell r="K478">
            <v>0</v>
          </cell>
          <cell r="M478">
            <v>0</v>
          </cell>
          <cell r="P478">
            <v>714</v>
          </cell>
          <cell r="V478" t="str">
            <v>Available</v>
          </cell>
        </row>
        <row r="479">
          <cell r="E479">
            <v>10020041</v>
          </cell>
          <cell r="H479">
            <v>25.16</v>
          </cell>
          <cell r="I479">
            <v>1274.82</v>
          </cell>
          <cell r="J479">
            <v>0</v>
          </cell>
          <cell r="K479">
            <v>0</v>
          </cell>
          <cell r="M479">
            <v>0</v>
          </cell>
          <cell r="P479">
            <v>1275</v>
          </cell>
          <cell r="V479" t="str">
            <v>Available</v>
          </cell>
        </row>
        <row r="480">
          <cell r="E480">
            <v>10020041</v>
          </cell>
          <cell r="H480">
            <v>62.000000000000007</v>
          </cell>
          <cell r="I480">
            <v>3611.17</v>
          </cell>
          <cell r="J480">
            <v>0</v>
          </cell>
          <cell r="K480">
            <v>0</v>
          </cell>
          <cell r="M480">
            <v>0</v>
          </cell>
          <cell r="P480">
            <v>3611</v>
          </cell>
          <cell r="V480" t="str">
            <v>Available</v>
          </cell>
        </row>
        <row r="481">
          <cell r="E481">
            <v>10020041</v>
          </cell>
          <cell r="H481">
            <v>13.759999999999998</v>
          </cell>
          <cell r="I481">
            <v>655.8</v>
          </cell>
          <cell r="J481">
            <v>0</v>
          </cell>
          <cell r="K481">
            <v>0</v>
          </cell>
          <cell r="M481">
            <v>0</v>
          </cell>
          <cell r="P481">
            <v>656</v>
          </cell>
          <cell r="V481" t="str">
            <v>Available</v>
          </cell>
        </row>
        <row r="482">
          <cell r="E482">
            <v>10020042</v>
          </cell>
          <cell r="H482">
            <v>521.29999999999995</v>
          </cell>
          <cell r="I482">
            <v>19680.599999999999</v>
          </cell>
          <cell r="J482">
            <v>0</v>
          </cell>
          <cell r="K482">
            <v>0</v>
          </cell>
          <cell r="M482">
            <v>0</v>
          </cell>
          <cell r="P482">
            <v>19681</v>
          </cell>
          <cell r="V482" t="str">
            <v>Available</v>
          </cell>
        </row>
        <row r="483">
          <cell r="E483">
            <v>10020043</v>
          </cell>
          <cell r="H483">
            <v>10.099999999999998</v>
          </cell>
          <cell r="I483">
            <v>433.33000000000004</v>
          </cell>
          <cell r="J483">
            <v>0</v>
          </cell>
          <cell r="K483">
            <v>433.33000000000004</v>
          </cell>
          <cell r="M483">
            <v>0</v>
          </cell>
          <cell r="P483">
            <v>0</v>
          </cell>
          <cell r="V483" t="str">
            <v>Not Available</v>
          </cell>
        </row>
        <row r="484">
          <cell r="E484">
            <v>10020043</v>
          </cell>
          <cell r="H484">
            <v>249.65</v>
          </cell>
          <cell r="I484">
            <v>11028.55</v>
          </cell>
          <cell r="J484">
            <v>0</v>
          </cell>
          <cell r="K484">
            <v>0</v>
          </cell>
          <cell r="M484">
            <v>0</v>
          </cell>
          <cell r="P484">
            <v>10733</v>
          </cell>
          <cell r="V484" t="str">
            <v>Available</v>
          </cell>
        </row>
        <row r="485">
          <cell r="E485">
            <v>10020043</v>
          </cell>
          <cell r="H485">
            <v>18.63</v>
          </cell>
          <cell r="I485">
            <v>1056.3</v>
          </cell>
          <cell r="J485">
            <v>0</v>
          </cell>
          <cell r="K485">
            <v>0</v>
          </cell>
          <cell r="M485">
            <v>0</v>
          </cell>
          <cell r="P485">
            <v>1056</v>
          </cell>
          <cell r="V485" t="str">
            <v>Available</v>
          </cell>
        </row>
        <row r="486">
          <cell r="E486">
            <v>10020043</v>
          </cell>
          <cell r="H486">
            <v>43.23</v>
          </cell>
          <cell r="I486">
            <v>1860.3300000000002</v>
          </cell>
          <cell r="J486">
            <v>0</v>
          </cell>
          <cell r="K486">
            <v>0</v>
          </cell>
          <cell r="M486">
            <v>0</v>
          </cell>
          <cell r="P486">
            <v>1860</v>
          </cell>
          <cell r="V486" t="str">
            <v>Available</v>
          </cell>
        </row>
        <row r="487">
          <cell r="E487">
            <v>10020043</v>
          </cell>
          <cell r="H487">
            <v>90.23</v>
          </cell>
          <cell r="I487">
            <v>3690.64</v>
          </cell>
          <cell r="J487">
            <v>0</v>
          </cell>
          <cell r="K487">
            <v>0</v>
          </cell>
          <cell r="M487">
            <v>0</v>
          </cell>
          <cell r="P487">
            <v>3691</v>
          </cell>
          <cell r="V487" t="str">
            <v>Available</v>
          </cell>
        </row>
        <row r="488">
          <cell r="E488">
            <v>10020043</v>
          </cell>
          <cell r="H488">
            <v>176.87</v>
          </cell>
          <cell r="I488">
            <v>7841.11</v>
          </cell>
          <cell r="J488">
            <v>0</v>
          </cell>
          <cell r="K488">
            <v>0</v>
          </cell>
          <cell r="M488">
            <v>0</v>
          </cell>
          <cell r="P488">
            <v>7841</v>
          </cell>
          <cell r="V488" t="str">
            <v>Available</v>
          </cell>
        </row>
        <row r="489">
          <cell r="E489">
            <v>10020043</v>
          </cell>
          <cell r="H489">
            <v>108.23</v>
          </cell>
          <cell r="I489">
            <v>4495.170000000001</v>
          </cell>
          <cell r="J489">
            <v>0</v>
          </cell>
          <cell r="K489">
            <v>0</v>
          </cell>
          <cell r="M489">
            <v>0</v>
          </cell>
          <cell r="P489">
            <v>4495</v>
          </cell>
          <cell r="V489" t="str">
            <v>Available</v>
          </cell>
        </row>
        <row r="490">
          <cell r="E490">
            <v>10020043</v>
          </cell>
          <cell r="H490">
            <v>170.16</v>
          </cell>
          <cell r="I490">
            <v>8397.8000000000011</v>
          </cell>
          <cell r="J490">
            <v>0</v>
          </cell>
          <cell r="K490">
            <v>0</v>
          </cell>
          <cell r="M490">
            <v>0</v>
          </cell>
          <cell r="P490">
            <v>8398</v>
          </cell>
          <cell r="V490" t="str">
            <v>Available</v>
          </cell>
        </row>
        <row r="491">
          <cell r="E491">
            <v>10020043</v>
          </cell>
          <cell r="H491">
            <v>15.479999999999999</v>
          </cell>
          <cell r="I491">
            <v>611.27</v>
          </cell>
          <cell r="J491">
            <v>0</v>
          </cell>
          <cell r="K491">
            <v>0</v>
          </cell>
          <cell r="M491">
            <v>0</v>
          </cell>
          <cell r="P491">
            <v>611</v>
          </cell>
          <cell r="V491" t="str">
            <v>Available</v>
          </cell>
        </row>
        <row r="492">
          <cell r="E492">
            <v>10020043</v>
          </cell>
          <cell r="H492">
            <v>24.229999999999997</v>
          </cell>
          <cell r="I492">
            <v>1038.47</v>
          </cell>
          <cell r="J492">
            <v>0</v>
          </cell>
          <cell r="K492">
            <v>0</v>
          </cell>
          <cell r="M492">
            <v>0</v>
          </cell>
          <cell r="P492">
            <v>1038</v>
          </cell>
          <cell r="V492" t="str">
            <v>Available</v>
          </cell>
        </row>
        <row r="493">
          <cell r="E493">
            <v>10020044</v>
          </cell>
          <cell r="H493">
            <v>10.97</v>
          </cell>
          <cell r="I493">
            <v>481.89</v>
          </cell>
          <cell r="J493">
            <v>0</v>
          </cell>
          <cell r="K493">
            <v>481.89</v>
          </cell>
          <cell r="M493">
            <v>0</v>
          </cell>
          <cell r="P493">
            <v>0</v>
          </cell>
          <cell r="V493" t="str">
            <v>Not Available</v>
          </cell>
        </row>
        <row r="494">
          <cell r="E494">
            <v>10020044</v>
          </cell>
          <cell r="H494">
            <v>43.36</v>
          </cell>
          <cell r="I494">
            <v>2169.11</v>
          </cell>
          <cell r="J494">
            <v>0</v>
          </cell>
          <cell r="K494">
            <v>0</v>
          </cell>
          <cell r="M494">
            <v>0</v>
          </cell>
          <cell r="P494">
            <v>2169</v>
          </cell>
          <cell r="V494" t="str">
            <v>Available</v>
          </cell>
        </row>
        <row r="495">
          <cell r="E495">
            <v>10020044</v>
          </cell>
          <cell r="H495">
            <v>3.93</v>
          </cell>
          <cell r="I495">
            <v>163.88</v>
          </cell>
          <cell r="J495">
            <v>0</v>
          </cell>
          <cell r="K495">
            <v>0</v>
          </cell>
          <cell r="M495">
            <v>0</v>
          </cell>
          <cell r="P495">
            <v>164</v>
          </cell>
          <cell r="V495" t="str">
            <v>Available</v>
          </cell>
        </row>
        <row r="496">
          <cell r="E496">
            <v>10020044</v>
          </cell>
          <cell r="H496">
            <v>47.39</v>
          </cell>
          <cell r="I496">
            <v>1859.4900000000002</v>
          </cell>
          <cell r="J496">
            <v>0</v>
          </cell>
          <cell r="K496">
            <v>0</v>
          </cell>
          <cell r="M496">
            <v>0</v>
          </cell>
          <cell r="P496">
            <v>1859</v>
          </cell>
          <cell r="V496" t="str">
            <v>Available</v>
          </cell>
        </row>
        <row r="497">
          <cell r="E497">
            <v>10020044</v>
          </cell>
          <cell r="H497">
            <v>68.560000000000016</v>
          </cell>
          <cell r="I497">
            <v>2991.4500000000003</v>
          </cell>
          <cell r="J497">
            <v>0</v>
          </cell>
          <cell r="K497">
            <v>0</v>
          </cell>
          <cell r="M497">
            <v>0</v>
          </cell>
          <cell r="P497">
            <v>2991</v>
          </cell>
          <cell r="V497" t="str">
            <v>Available</v>
          </cell>
        </row>
        <row r="498">
          <cell r="E498">
            <v>10020044</v>
          </cell>
          <cell r="H498">
            <v>17.309999999999999</v>
          </cell>
          <cell r="I498">
            <v>689.26</v>
          </cell>
          <cell r="J498">
            <v>0</v>
          </cell>
          <cell r="K498">
            <v>0</v>
          </cell>
          <cell r="M498">
            <v>0</v>
          </cell>
          <cell r="P498">
            <v>689</v>
          </cell>
          <cell r="V498" t="str">
            <v>Available</v>
          </cell>
        </row>
        <row r="499">
          <cell r="E499">
            <v>10020044</v>
          </cell>
          <cell r="H499">
            <v>56.750000000000007</v>
          </cell>
          <cell r="I499">
            <v>2267.3800000000006</v>
          </cell>
          <cell r="J499">
            <v>0</v>
          </cell>
          <cell r="K499">
            <v>0</v>
          </cell>
          <cell r="M499">
            <v>0</v>
          </cell>
          <cell r="P499">
            <v>2267</v>
          </cell>
          <cell r="V499" t="str">
            <v>Available</v>
          </cell>
        </row>
        <row r="500">
          <cell r="E500">
            <v>10020044</v>
          </cell>
          <cell r="H500">
            <v>77.699999999999989</v>
          </cell>
          <cell r="I500">
            <v>3081.13</v>
          </cell>
          <cell r="J500">
            <v>0</v>
          </cell>
          <cell r="K500">
            <v>0</v>
          </cell>
          <cell r="M500">
            <v>0</v>
          </cell>
          <cell r="P500">
            <v>3081</v>
          </cell>
          <cell r="V500" t="str">
            <v>Available</v>
          </cell>
        </row>
        <row r="501">
          <cell r="E501">
            <v>10020044</v>
          </cell>
          <cell r="H501">
            <v>250.95999999999998</v>
          </cell>
          <cell r="I501">
            <v>14064.890000000001</v>
          </cell>
          <cell r="J501">
            <v>0</v>
          </cell>
          <cell r="K501">
            <v>0</v>
          </cell>
          <cell r="M501">
            <v>0</v>
          </cell>
          <cell r="P501">
            <v>14065</v>
          </cell>
          <cell r="V501" t="str">
            <v>Available</v>
          </cell>
        </row>
        <row r="502">
          <cell r="E502">
            <v>10020044</v>
          </cell>
          <cell r="H502">
            <v>6.839999999999999</v>
          </cell>
          <cell r="I502">
            <v>446.44</v>
          </cell>
          <cell r="J502">
            <v>0</v>
          </cell>
          <cell r="K502">
            <v>0</v>
          </cell>
          <cell r="M502">
            <v>0</v>
          </cell>
          <cell r="P502">
            <v>446</v>
          </cell>
          <cell r="V502" t="str">
            <v>Available</v>
          </cell>
        </row>
        <row r="503">
          <cell r="E503">
            <v>10020044</v>
          </cell>
          <cell r="H503">
            <v>119.14999999999999</v>
          </cell>
          <cell r="I503">
            <v>6441.78</v>
          </cell>
          <cell r="J503">
            <v>0</v>
          </cell>
          <cell r="K503">
            <v>0</v>
          </cell>
          <cell r="M503">
            <v>0</v>
          </cell>
          <cell r="P503">
            <v>6442</v>
          </cell>
          <cell r="V503" t="str">
            <v>Available</v>
          </cell>
        </row>
        <row r="504">
          <cell r="E504">
            <v>10020044</v>
          </cell>
          <cell r="H504">
            <v>19.88</v>
          </cell>
          <cell r="I504">
            <v>779.35</v>
          </cell>
          <cell r="J504">
            <v>0</v>
          </cell>
          <cell r="K504">
            <v>0</v>
          </cell>
          <cell r="M504">
            <v>0</v>
          </cell>
          <cell r="P504">
            <v>779</v>
          </cell>
          <cell r="V504" t="str">
            <v>Available</v>
          </cell>
        </row>
        <row r="505">
          <cell r="E505">
            <v>10020044</v>
          </cell>
          <cell r="H505">
            <v>20.440000000000001</v>
          </cell>
          <cell r="I505">
            <v>804.4</v>
          </cell>
          <cell r="J505">
            <v>0</v>
          </cell>
          <cell r="K505">
            <v>0</v>
          </cell>
          <cell r="M505">
            <v>0</v>
          </cell>
          <cell r="P505">
            <v>804</v>
          </cell>
          <cell r="V505" t="str">
            <v>Available</v>
          </cell>
        </row>
        <row r="506">
          <cell r="E506">
            <v>10020044</v>
          </cell>
          <cell r="H506">
            <v>124.74</v>
          </cell>
          <cell r="I506">
            <v>5026.5200000000004</v>
          </cell>
          <cell r="J506">
            <v>0</v>
          </cell>
          <cell r="K506">
            <v>0</v>
          </cell>
          <cell r="M506">
            <v>0</v>
          </cell>
          <cell r="P506">
            <v>5027</v>
          </cell>
          <cell r="V506" t="str">
            <v>Available</v>
          </cell>
        </row>
        <row r="507">
          <cell r="E507">
            <v>10020044</v>
          </cell>
          <cell r="H507">
            <v>37.660000000000011</v>
          </cell>
          <cell r="I507">
            <v>1926.76</v>
          </cell>
          <cell r="J507">
            <v>0</v>
          </cell>
          <cell r="K507">
            <v>0</v>
          </cell>
          <cell r="M507">
            <v>0</v>
          </cell>
          <cell r="P507">
            <v>1927</v>
          </cell>
          <cell r="V507" t="str">
            <v>Available</v>
          </cell>
        </row>
        <row r="508">
          <cell r="E508">
            <v>10020044</v>
          </cell>
          <cell r="H508">
            <v>37.68</v>
          </cell>
          <cell r="I508">
            <v>1972.3100000000004</v>
          </cell>
          <cell r="J508">
            <v>0</v>
          </cell>
          <cell r="K508">
            <v>0</v>
          </cell>
          <cell r="M508">
            <v>0</v>
          </cell>
          <cell r="P508">
            <v>1972</v>
          </cell>
          <cell r="V508" t="str">
            <v>Available</v>
          </cell>
        </row>
        <row r="509">
          <cell r="E509">
            <v>10020044</v>
          </cell>
          <cell r="H509">
            <v>96.09999999999998</v>
          </cell>
          <cell r="I509">
            <v>3817.36</v>
          </cell>
          <cell r="J509">
            <v>0</v>
          </cell>
          <cell r="K509">
            <v>0</v>
          </cell>
          <cell r="M509">
            <v>0</v>
          </cell>
          <cell r="P509">
            <v>3817</v>
          </cell>
          <cell r="V509" t="str">
            <v>Available</v>
          </cell>
        </row>
        <row r="510">
          <cell r="E510">
            <v>10020044</v>
          </cell>
          <cell r="H510">
            <v>17.330000000000002</v>
          </cell>
          <cell r="I510">
            <v>701.6</v>
          </cell>
          <cell r="J510">
            <v>0</v>
          </cell>
          <cell r="K510">
            <v>0</v>
          </cell>
          <cell r="M510">
            <v>0</v>
          </cell>
          <cell r="P510">
            <v>702</v>
          </cell>
          <cell r="V510" t="str">
            <v>Available</v>
          </cell>
        </row>
        <row r="511">
          <cell r="E511">
            <v>10020044</v>
          </cell>
          <cell r="H511">
            <v>27.679999999999996</v>
          </cell>
          <cell r="I511">
            <v>1108.78</v>
          </cell>
          <cell r="J511">
            <v>0</v>
          </cell>
          <cell r="K511">
            <v>0</v>
          </cell>
          <cell r="M511">
            <v>0</v>
          </cell>
          <cell r="P511">
            <v>1109</v>
          </cell>
          <cell r="V511" t="str">
            <v>Available</v>
          </cell>
        </row>
        <row r="512">
          <cell r="E512">
            <v>10020044</v>
          </cell>
          <cell r="H512">
            <v>47.07</v>
          </cell>
          <cell r="I512">
            <v>1867.0199999999998</v>
          </cell>
          <cell r="J512">
            <v>0</v>
          </cell>
          <cell r="K512">
            <v>0</v>
          </cell>
          <cell r="M512">
            <v>0</v>
          </cell>
          <cell r="P512">
            <v>1867</v>
          </cell>
          <cell r="V512" t="str">
            <v>Available</v>
          </cell>
        </row>
        <row r="513">
          <cell r="E513">
            <v>10020044</v>
          </cell>
          <cell r="H513">
            <v>53.269999999999996</v>
          </cell>
          <cell r="I513">
            <v>2101.63</v>
          </cell>
          <cell r="J513">
            <v>0</v>
          </cell>
          <cell r="K513">
            <v>0</v>
          </cell>
          <cell r="M513">
            <v>0</v>
          </cell>
          <cell r="P513">
            <v>2102</v>
          </cell>
          <cell r="V513" t="str">
            <v>Available</v>
          </cell>
        </row>
        <row r="514">
          <cell r="E514">
            <v>10020044</v>
          </cell>
          <cell r="H514">
            <v>32.620000000000005</v>
          </cell>
          <cell r="I514">
            <v>1360.67</v>
          </cell>
          <cell r="J514">
            <v>0</v>
          </cell>
          <cell r="K514">
            <v>0</v>
          </cell>
          <cell r="M514">
            <v>0</v>
          </cell>
          <cell r="P514">
            <v>1361</v>
          </cell>
          <cell r="V514" t="str">
            <v>Available</v>
          </cell>
        </row>
        <row r="515">
          <cell r="E515">
            <v>10020044</v>
          </cell>
          <cell r="H515">
            <v>23.049999999999997</v>
          </cell>
          <cell r="I515">
            <v>922.78000000000009</v>
          </cell>
          <cell r="J515">
            <v>0</v>
          </cell>
          <cell r="K515">
            <v>0</v>
          </cell>
          <cell r="M515">
            <v>0</v>
          </cell>
          <cell r="P515">
            <v>923</v>
          </cell>
          <cell r="V515" t="str">
            <v>Available</v>
          </cell>
        </row>
        <row r="516">
          <cell r="E516">
            <v>10020050</v>
          </cell>
          <cell r="H516">
            <v>4.7799999999999994</v>
          </cell>
          <cell r="I516">
            <v>213.41999999999996</v>
          </cell>
          <cell r="J516">
            <v>0</v>
          </cell>
          <cell r="K516">
            <v>213.41999999999996</v>
          </cell>
          <cell r="M516">
            <v>0</v>
          </cell>
          <cell r="P516">
            <v>0</v>
          </cell>
          <cell r="V516" t="str">
            <v>Not Available</v>
          </cell>
        </row>
        <row r="517">
          <cell r="E517">
            <v>10020050</v>
          </cell>
          <cell r="H517">
            <v>36.270000000000003</v>
          </cell>
          <cell r="I517">
            <v>1492.51</v>
          </cell>
          <cell r="J517">
            <v>0</v>
          </cell>
          <cell r="K517">
            <v>0</v>
          </cell>
          <cell r="M517">
            <v>0</v>
          </cell>
          <cell r="P517">
            <v>1438</v>
          </cell>
          <cell r="V517" t="str">
            <v>Available</v>
          </cell>
        </row>
        <row r="518">
          <cell r="E518">
            <v>10020050</v>
          </cell>
          <cell r="H518">
            <v>108.93</v>
          </cell>
          <cell r="I518">
            <v>4128.1100000000006</v>
          </cell>
          <cell r="J518">
            <v>0</v>
          </cell>
          <cell r="K518">
            <v>0</v>
          </cell>
          <cell r="M518">
            <v>0</v>
          </cell>
          <cell r="P518">
            <v>4128</v>
          </cell>
          <cell r="V518" t="str">
            <v>Available</v>
          </cell>
        </row>
        <row r="519">
          <cell r="E519">
            <v>10020050</v>
          </cell>
          <cell r="H519">
            <v>63.87</v>
          </cell>
          <cell r="I519">
            <v>2509.67</v>
          </cell>
          <cell r="J519">
            <v>0</v>
          </cell>
          <cell r="K519">
            <v>0</v>
          </cell>
          <cell r="M519">
            <v>0</v>
          </cell>
          <cell r="P519">
            <v>2510</v>
          </cell>
          <cell r="V519" t="str">
            <v>Available</v>
          </cell>
        </row>
        <row r="520">
          <cell r="E520">
            <v>10020050</v>
          </cell>
          <cell r="H520">
            <v>5.82</v>
          </cell>
          <cell r="I520">
            <v>229.17000000000002</v>
          </cell>
          <cell r="J520">
            <v>0</v>
          </cell>
          <cell r="K520">
            <v>0</v>
          </cell>
          <cell r="M520">
            <v>0</v>
          </cell>
          <cell r="P520">
            <v>229</v>
          </cell>
          <cell r="V520" t="str">
            <v>Available</v>
          </cell>
        </row>
        <row r="521">
          <cell r="E521">
            <v>10020050</v>
          </cell>
          <cell r="H521">
            <v>12.969999999999999</v>
          </cell>
          <cell r="I521">
            <v>508.90999999999997</v>
          </cell>
          <cell r="J521">
            <v>0</v>
          </cell>
          <cell r="K521">
            <v>0</v>
          </cell>
          <cell r="M521">
            <v>0</v>
          </cell>
          <cell r="P521">
            <v>509</v>
          </cell>
          <cell r="V521" t="str">
            <v>Available</v>
          </cell>
        </row>
        <row r="522">
          <cell r="E522">
            <v>10020050</v>
          </cell>
          <cell r="H522">
            <v>231.54999999999998</v>
          </cell>
          <cell r="I522">
            <v>12489.829999999996</v>
          </cell>
          <cell r="J522">
            <v>0</v>
          </cell>
          <cell r="K522">
            <v>0</v>
          </cell>
          <cell r="M522">
            <v>0</v>
          </cell>
          <cell r="P522">
            <v>12490</v>
          </cell>
          <cell r="V522" t="str">
            <v>Available</v>
          </cell>
        </row>
        <row r="523">
          <cell r="E523">
            <v>10020050</v>
          </cell>
          <cell r="H523">
            <v>158.61999999999998</v>
          </cell>
          <cell r="I523">
            <v>6978.55</v>
          </cell>
          <cell r="J523">
            <v>0</v>
          </cell>
          <cell r="K523">
            <v>0</v>
          </cell>
          <cell r="M523">
            <v>0</v>
          </cell>
          <cell r="P523">
            <v>6979</v>
          </cell>
          <cell r="V523" t="str">
            <v>Available</v>
          </cell>
        </row>
        <row r="524">
          <cell r="E524">
            <v>10020050</v>
          </cell>
          <cell r="H524">
            <v>159.14000000000001</v>
          </cell>
          <cell r="I524">
            <v>9305.369999999999</v>
          </cell>
          <cell r="J524">
            <v>0</v>
          </cell>
          <cell r="K524">
            <v>0</v>
          </cell>
          <cell r="M524">
            <v>0</v>
          </cell>
          <cell r="P524">
            <v>9305</v>
          </cell>
          <cell r="V524" t="str">
            <v>Available</v>
          </cell>
        </row>
        <row r="525">
          <cell r="E525">
            <v>10020050</v>
          </cell>
          <cell r="H525">
            <v>102</v>
          </cell>
          <cell r="I525">
            <v>3862.9200000000005</v>
          </cell>
          <cell r="J525">
            <v>0</v>
          </cell>
          <cell r="K525">
            <v>0</v>
          </cell>
          <cell r="M525">
            <v>0</v>
          </cell>
          <cell r="P525">
            <v>3863</v>
          </cell>
          <cell r="V525" t="str">
            <v>Available</v>
          </cell>
        </row>
        <row r="526">
          <cell r="E526">
            <v>10020050</v>
          </cell>
          <cell r="H526">
            <v>133.38999999999999</v>
          </cell>
          <cell r="I526">
            <v>6179.69</v>
          </cell>
          <cell r="J526">
            <v>0</v>
          </cell>
          <cell r="K526">
            <v>0</v>
          </cell>
          <cell r="M526">
            <v>0</v>
          </cell>
          <cell r="P526">
            <v>6180</v>
          </cell>
          <cell r="V526" t="str">
            <v>Available</v>
          </cell>
        </row>
        <row r="527">
          <cell r="E527">
            <v>10020057</v>
          </cell>
          <cell r="H527">
            <v>37.550000000000004</v>
          </cell>
          <cell r="I527">
            <v>1853.6999999999998</v>
          </cell>
          <cell r="J527">
            <v>0</v>
          </cell>
          <cell r="K527">
            <v>1853.6999999999998</v>
          </cell>
          <cell r="M527">
            <v>0</v>
          </cell>
          <cell r="P527">
            <v>0</v>
          </cell>
          <cell r="V527" t="str">
            <v>Not Available</v>
          </cell>
        </row>
        <row r="528">
          <cell r="E528">
            <v>10020057</v>
          </cell>
          <cell r="H528">
            <v>856.24999999999989</v>
          </cell>
          <cell r="I528">
            <v>42793.73</v>
          </cell>
          <cell r="J528">
            <v>0</v>
          </cell>
          <cell r="K528">
            <v>0</v>
          </cell>
          <cell r="M528">
            <v>0</v>
          </cell>
          <cell r="P528">
            <v>40531</v>
          </cell>
          <cell r="V528" t="str">
            <v>Available</v>
          </cell>
        </row>
        <row r="529">
          <cell r="E529">
            <v>10020057</v>
          </cell>
          <cell r="H529">
            <v>13.100000000000001</v>
          </cell>
          <cell r="I529">
            <v>477.63</v>
          </cell>
          <cell r="J529">
            <v>0</v>
          </cell>
          <cell r="K529">
            <v>0</v>
          </cell>
          <cell r="M529">
            <v>0</v>
          </cell>
          <cell r="P529">
            <v>478</v>
          </cell>
          <cell r="V529" t="str">
            <v>Available</v>
          </cell>
        </row>
        <row r="530">
          <cell r="E530">
            <v>10020057</v>
          </cell>
          <cell r="H530">
            <v>35.609999999999992</v>
          </cell>
          <cell r="I530">
            <v>1379.0400000000002</v>
          </cell>
          <cell r="J530">
            <v>0</v>
          </cell>
          <cell r="K530">
            <v>0</v>
          </cell>
          <cell r="M530">
            <v>0</v>
          </cell>
          <cell r="P530">
            <v>1379</v>
          </cell>
          <cell r="V530" t="str">
            <v>Available</v>
          </cell>
        </row>
        <row r="531">
          <cell r="E531">
            <v>10020057</v>
          </cell>
          <cell r="H531">
            <v>120.63000000000001</v>
          </cell>
          <cell r="I531">
            <v>5785.76</v>
          </cell>
          <cell r="J531">
            <v>0</v>
          </cell>
          <cell r="K531">
            <v>0</v>
          </cell>
          <cell r="M531">
            <v>0</v>
          </cell>
          <cell r="P531">
            <v>5786</v>
          </cell>
          <cell r="V531" t="str">
            <v>Available</v>
          </cell>
        </row>
        <row r="532">
          <cell r="E532">
            <v>10020057</v>
          </cell>
          <cell r="H532">
            <v>58.7</v>
          </cell>
          <cell r="I532">
            <v>2736.0900000000006</v>
          </cell>
          <cell r="J532">
            <v>0</v>
          </cell>
          <cell r="K532">
            <v>0</v>
          </cell>
          <cell r="M532">
            <v>0</v>
          </cell>
          <cell r="P532">
            <v>2736</v>
          </cell>
          <cell r="V532" t="str">
            <v>Available</v>
          </cell>
        </row>
        <row r="533">
          <cell r="E533">
            <v>10020057</v>
          </cell>
          <cell r="H533">
            <v>20.919999999999998</v>
          </cell>
          <cell r="I533">
            <v>1512.54</v>
          </cell>
          <cell r="J533">
            <v>0</v>
          </cell>
          <cell r="K533">
            <v>0</v>
          </cell>
          <cell r="M533">
            <v>0</v>
          </cell>
          <cell r="P533">
            <v>1513</v>
          </cell>
          <cell r="V533" t="str">
            <v>Available</v>
          </cell>
        </row>
        <row r="534">
          <cell r="E534">
            <v>10020057</v>
          </cell>
          <cell r="H534">
            <v>13.19</v>
          </cell>
          <cell r="I534">
            <v>644.66000000000008</v>
          </cell>
          <cell r="J534">
            <v>0</v>
          </cell>
          <cell r="K534">
            <v>0</v>
          </cell>
          <cell r="M534">
            <v>0</v>
          </cell>
          <cell r="P534">
            <v>645</v>
          </cell>
          <cell r="V534" t="str">
            <v>Available</v>
          </cell>
        </row>
        <row r="535">
          <cell r="E535">
            <v>10020057</v>
          </cell>
          <cell r="H535">
            <v>664.58999999999992</v>
          </cell>
          <cell r="I535">
            <v>31502.729999999996</v>
          </cell>
          <cell r="J535">
            <v>0</v>
          </cell>
          <cell r="K535">
            <v>0</v>
          </cell>
          <cell r="M535">
            <v>0</v>
          </cell>
          <cell r="P535">
            <v>31503</v>
          </cell>
          <cell r="V535" t="str">
            <v>Available</v>
          </cell>
        </row>
        <row r="536">
          <cell r="E536">
            <v>10020057</v>
          </cell>
          <cell r="H536">
            <v>40.519999999999996</v>
          </cell>
          <cell r="I536">
            <v>2007.8600000000004</v>
          </cell>
          <cell r="J536">
            <v>0</v>
          </cell>
          <cell r="K536">
            <v>0</v>
          </cell>
          <cell r="M536">
            <v>0</v>
          </cell>
          <cell r="P536">
            <v>2008</v>
          </cell>
          <cell r="V536" t="str">
            <v>Available</v>
          </cell>
        </row>
        <row r="537">
          <cell r="E537">
            <v>10020057</v>
          </cell>
          <cell r="H537">
            <v>505.24</v>
          </cell>
          <cell r="I537">
            <v>22182.86</v>
          </cell>
          <cell r="J537">
            <v>0</v>
          </cell>
          <cell r="K537">
            <v>0</v>
          </cell>
          <cell r="M537">
            <v>0</v>
          </cell>
          <cell r="P537">
            <v>22183</v>
          </cell>
          <cell r="V537" t="str">
            <v>Available</v>
          </cell>
        </row>
        <row r="538">
          <cell r="E538">
            <v>10020057</v>
          </cell>
          <cell r="H538">
            <v>187.04999999999995</v>
          </cell>
          <cell r="I538">
            <v>8042.9000000000005</v>
          </cell>
          <cell r="J538">
            <v>0</v>
          </cell>
          <cell r="K538">
            <v>0</v>
          </cell>
          <cell r="M538">
            <v>0</v>
          </cell>
          <cell r="P538">
            <v>8043</v>
          </cell>
          <cell r="V538" t="str">
            <v>Not Available</v>
          </cell>
        </row>
        <row r="539">
          <cell r="E539">
            <v>10020058</v>
          </cell>
          <cell r="H539">
            <v>4.9600000000000009</v>
          </cell>
          <cell r="I539">
            <v>221.4</v>
          </cell>
          <cell r="J539">
            <v>0</v>
          </cell>
          <cell r="K539">
            <v>221.4</v>
          </cell>
          <cell r="M539">
            <v>0</v>
          </cell>
          <cell r="P539">
            <v>0</v>
          </cell>
          <cell r="V539" t="str">
            <v>Not Available</v>
          </cell>
        </row>
        <row r="540">
          <cell r="E540">
            <v>10020058</v>
          </cell>
          <cell r="H540">
            <v>128.57000000000002</v>
          </cell>
          <cell r="I540">
            <v>6260.3300000000008</v>
          </cell>
          <cell r="J540">
            <v>0</v>
          </cell>
          <cell r="K540">
            <v>0</v>
          </cell>
          <cell r="M540">
            <v>0</v>
          </cell>
          <cell r="P540">
            <v>6044</v>
          </cell>
          <cell r="V540" t="str">
            <v>Available</v>
          </cell>
        </row>
        <row r="541">
          <cell r="E541">
            <v>10020058</v>
          </cell>
          <cell r="H541">
            <v>142.18</v>
          </cell>
          <cell r="I541">
            <v>6274.45</v>
          </cell>
          <cell r="J541">
            <v>0</v>
          </cell>
          <cell r="K541">
            <v>0</v>
          </cell>
          <cell r="M541">
            <v>0</v>
          </cell>
          <cell r="P541">
            <v>6274</v>
          </cell>
          <cell r="V541" t="str">
            <v>Available</v>
          </cell>
        </row>
        <row r="542">
          <cell r="E542">
            <v>10020058</v>
          </cell>
          <cell r="H542">
            <v>46.15</v>
          </cell>
          <cell r="I542">
            <v>2041.77</v>
          </cell>
          <cell r="J542">
            <v>0</v>
          </cell>
          <cell r="K542">
            <v>0</v>
          </cell>
          <cell r="M542">
            <v>0</v>
          </cell>
          <cell r="P542">
            <v>2042</v>
          </cell>
          <cell r="V542" t="str">
            <v>Available</v>
          </cell>
        </row>
        <row r="543">
          <cell r="E543">
            <v>10020058</v>
          </cell>
          <cell r="H543">
            <v>62.14</v>
          </cell>
          <cell r="I543">
            <v>3196.84</v>
          </cell>
          <cell r="J543">
            <v>0</v>
          </cell>
          <cell r="K543">
            <v>0</v>
          </cell>
          <cell r="M543">
            <v>0</v>
          </cell>
          <cell r="P543">
            <v>3197</v>
          </cell>
          <cell r="V543" t="str">
            <v>Available</v>
          </cell>
        </row>
        <row r="544">
          <cell r="E544">
            <v>10020058</v>
          </cell>
          <cell r="H544">
            <v>56.02</v>
          </cell>
          <cell r="I544">
            <v>2173.54</v>
          </cell>
          <cell r="J544">
            <v>0</v>
          </cell>
          <cell r="K544">
            <v>0</v>
          </cell>
          <cell r="M544">
            <v>0</v>
          </cell>
          <cell r="P544">
            <v>2174</v>
          </cell>
          <cell r="V544" t="str">
            <v>Available</v>
          </cell>
        </row>
        <row r="545">
          <cell r="E545">
            <v>10020058</v>
          </cell>
          <cell r="H545">
            <v>45.75</v>
          </cell>
          <cell r="I545">
            <v>1864.0900000000001</v>
          </cell>
          <cell r="J545">
            <v>0</v>
          </cell>
          <cell r="K545">
            <v>0</v>
          </cell>
          <cell r="M545">
            <v>0</v>
          </cell>
          <cell r="P545">
            <v>1864</v>
          </cell>
          <cell r="V545" t="str">
            <v>Not Available</v>
          </cell>
        </row>
        <row r="546">
          <cell r="E546">
            <v>10020058</v>
          </cell>
          <cell r="H546">
            <v>123.24000000000001</v>
          </cell>
          <cell r="I546">
            <v>4958.17</v>
          </cell>
          <cell r="J546">
            <v>0</v>
          </cell>
          <cell r="K546">
            <v>0</v>
          </cell>
          <cell r="M546">
            <v>0</v>
          </cell>
          <cell r="P546">
            <v>4958</v>
          </cell>
          <cell r="V546" t="str">
            <v>Not Available</v>
          </cell>
        </row>
        <row r="547">
          <cell r="E547">
            <v>10020059</v>
          </cell>
          <cell r="H547">
            <v>10.119999999999999</v>
          </cell>
          <cell r="I547">
            <v>415.54000000000008</v>
          </cell>
          <cell r="J547">
            <v>0</v>
          </cell>
          <cell r="K547">
            <v>415.54000000000008</v>
          </cell>
          <cell r="M547">
            <v>0</v>
          </cell>
          <cell r="P547">
            <v>0</v>
          </cell>
          <cell r="V547" t="str">
            <v>Not Available</v>
          </cell>
        </row>
        <row r="548">
          <cell r="E548">
            <v>10020059</v>
          </cell>
          <cell r="H548">
            <v>135.84</v>
          </cell>
          <cell r="I548">
            <v>5696.24</v>
          </cell>
          <cell r="J548">
            <v>0</v>
          </cell>
          <cell r="K548">
            <v>0</v>
          </cell>
          <cell r="M548">
            <v>0</v>
          </cell>
          <cell r="P548">
            <v>5696</v>
          </cell>
          <cell r="V548" t="str">
            <v>Available</v>
          </cell>
        </row>
        <row r="549">
          <cell r="E549">
            <v>10020059</v>
          </cell>
          <cell r="H549">
            <v>355</v>
          </cell>
          <cell r="I549">
            <v>14932.23</v>
          </cell>
          <cell r="J549">
            <v>0</v>
          </cell>
          <cell r="K549">
            <v>0</v>
          </cell>
          <cell r="M549">
            <v>0</v>
          </cell>
          <cell r="P549">
            <v>14932</v>
          </cell>
          <cell r="V549" t="str">
            <v>Available</v>
          </cell>
        </row>
        <row r="550">
          <cell r="E550">
            <v>10020059</v>
          </cell>
          <cell r="H550">
            <v>34.379999999999995</v>
          </cell>
          <cell r="I550">
            <v>1388.0100000000002</v>
          </cell>
          <cell r="J550">
            <v>0</v>
          </cell>
          <cell r="K550">
            <v>0</v>
          </cell>
          <cell r="M550">
            <v>0</v>
          </cell>
          <cell r="P550">
            <v>1388</v>
          </cell>
          <cell r="V550" t="str">
            <v>Available</v>
          </cell>
        </row>
        <row r="551">
          <cell r="E551">
            <v>10020059</v>
          </cell>
          <cell r="H551">
            <v>22.66</v>
          </cell>
          <cell r="I551">
            <v>970.12</v>
          </cell>
          <cell r="J551">
            <v>0</v>
          </cell>
          <cell r="K551">
            <v>0</v>
          </cell>
          <cell r="M551">
            <v>0</v>
          </cell>
          <cell r="P551">
            <v>970</v>
          </cell>
          <cell r="V551" t="str">
            <v>Available</v>
          </cell>
        </row>
        <row r="552">
          <cell r="E552">
            <v>10020059</v>
          </cell>
          <cell r="H552">
            <v>5.16</v>
          </cell>
          <cell r="I552">
            <v>210.24</v>
          </cell>
          <cell r="J552">
            <v>0</v>
          </cell>
          <cell r="K552">
            <v>0</v>
          </cell>
          <cell r="M552">
            <v>0</v>
          </cell>
          <cell r="P552">
            <v>210</v>
          </cell>
          <cell r="V552" t="str">
            <v>Available</v>
          </cell>
        </row>
        <row r="553">
          <cell r="E553">
            <v>10020059</v>
          </cell>
          <cell r="H553">
            <v>43.319999999999993</v>
          </cell>
          <cell r="I553">
            <v>2396.3399999999997</v>
          </cell>
          <cell r="J553">
            <v>0</v>
          </cell>
          <cell r="K553">
            <v>0</v>
          </cell>
          <cell r="M553">
            <v>0</v>
          </cell>
          <cell r="P553">
            <v>2396</v>
          </cell>
          <cell r="V553" t="str">
            <v>Not Available</v>
          </cell>
        </row>
        <row r="554">
          <cell r="E554">
            <v>10020059</v>
          </cell>
          <cell r="H554">
            <v>55.68</v>
          </cell>
          <cell r="I554">
            <v>2410.63</v>
          </cell>
          <cell r="J554">
            <v>0</v>
          </cell>
          <cell r="K554">
            <v>0</v>
          </cell>
          <cell r="M554">
            <v>0</v>
          </cell>
          <cell r="P554">
            <v>2411</v>
          </cell>
          <cell r="V554" t="str">
            <v>Not Available</v>
          </cell>
        </row>
        <row r="555">
          <cell r="E555">
            <v>10020059</v>
          </cell>
          <cell r="H555">
            <v>27.32</v>
          </cell>
          <cell r="I555">
            <v>1176.4100000000001</v>
          </cell>
          <cell r="J555">
            <v>0</v>
          </cell>
          <cell r="K555">
            <v>0</v>
          </cell>
          <cell r="M555">
            <v>0</v>
          </cell>
          <cell r="P555">
            <v>1176</v>
          </cell>
          <cell r="V555" t="str">
            <v>Not Available</v>
          </cell>
        </row>
        <row r="556">
          <cell r="E556">
            <v>10020059</v>
          </cell>
          <cell r="H556">
            <v>13</v>
          </cell>
          <cell r="I556">
            <v>567.45000000000005</v>
          </cell>
          <cell r="J556">
            <v>0</v>
          </cell>
          <cell r="K556">
            <v>0</v>
          </cell>
          <cell r="M556">
            <v>0</v>
          </cell>
          <cell r="P556">
            <v>567</v>
          </cell>
          <cell r="V556" t="str">
            <v>Not Available</v>
          </cell>
        </row>
        <row r="557">
          <cell r="E557">
            <v>10020062</v>
          </cell>
          <cell r="H557">
            <v>3.2399999999999998</v>
          </cell>
          <cell r="I557">
            <v>137.02999999999997</v>
          </cell>
          <cell r="J557">
            <v>0</v>
          </cell>
          <cell r="K557">
            <v>137.02999999999997</v>
          </cell>
          <cell r="M557">
            <v>0</v>
          </cell>
          <cell r="P557">
            <v>0</v>
          </cell>
          <cell r="V557" t="str">
            <v>Not Available</v>
          </cell>
        </row>
        <row r="558">
          <cell r="E558">
            <v>10020062</v>
          </cell>
          <cell r="H558">
            <v>10.24</v>
          </cell>
          <cell r="I558">
            <v>453.24</v>
          </cell>
          <cell r="J558">
            <v>0</v>
          </cell>
          <cell r="K558">
            <v>0</v>
          </cell>
          <cell r="M558">
            <v>0</v>
          </cell>
          <cell r="P558">
            <v>0</v>
          </cell>
          <cell r="V558" t="str">
            <v>Available</v>
          </cell>
        </row>
        <row r="559">
          <cell r="E559">
            <v>10020062</v>
          </cell>
          <cell r="H559">
            <v>16.290000000000003</v>
          </cell>
          <cell r="I559">
            <v>1250.74</v>
          </cell>
          <cell r="J559">
            <v>0</v>
          </cell>
          <cell r="K559">
            <v>0</v>
          </cell>
          <cell r="M559">
            <v>0</v>
          </cell>
          <cell r="P559">
            <v>1251</v>
          </cell>
          <cell r="V559" t="str">
            <v>Available</v>
          </cell>
        </row>
        <row r="560">
          <cell r="E560">
            <v>10020062</v>
          </cell>
          <cell r="H560">
            <v>75.919999999999987</v>
          </cell>
          <cell r="I560">
            <v>2929.9300000000003</v>
          </cell>
          <cell r="J560">
            <v>0</v>
          </cell>
          <cell r="K560">
            <v>0</v>
          </cell>
          <cell r="M560">
            <v>0</v>
          </cell>
          <cell r="P560">
            <v>2930</v>
          </cell>
          <cell r="V560" t="str">
            <v>Available</v>
          </cell>
        </row>
        <row r="561">
          <cell r="E561">
            <v>10020062</v>
          </cell>
          <cell r="H561">
            <v>8.9</v>
          </cell>
          <cell r="I561">
            <v>361.59999999999997</v>
          </cell>
          <cell r="J561">
            <v>0</v>
          </cell>
          <cell r="K561">
            <v>0</v>
          </cell>
          <cell r="M561">
            <v>0</v>
          </cell>
          <cell r="P561">
            <v>362</v>
          </cell>
          <cell r="V561" t="str">
            <v>Available</v>
          </cell>
        </row>
        <row r="562">
          <cell r="E562">
            <v>10020062</v>
          </cell>
          <cell r="H562">
            <v>10.97</v>
          </cell>
          <cell r="I562">
            <v>403.95000000000005</v>
          </cell>
          <cell r="J562">
            <v>0</v>
          </cell>
          <cell r="K562">
            <v>0</v>
          </cell>
          <cell r="M562">
            <v>0</v>
          </cell>
          <cell r="P562">
            <v>404</v>
          </cell>
          <cell r="V562" t="str">
            <v>Available</v>
          </cell>
        </row>
        <row r="563">
          <cell r="E563">
            <v>10020062</v>
          </cell>
          <cell r="H563">
            <v>15.650000000000002</v>
          </cell>
          <cell r="I563">
            <v>510.85</v>
          </cell>
          <cell r="J563">
            <v>0</v>
          </cell>
          <cell r="K563">
            <v>0</v>
          </cell>
          <cell r="M563">
            <v>0</v>
          </cell>
          <cell r="P563">
            <v>511</v>
          </cell>
          <cell r="V563" t="str">
            <v>Available</v>
          </cell>
        </row>
        <row r="564">
          <cell r="E564">
            <v>10020062</v>
          </cell>
          <cell r="H564">
            <v>10.17</v>
          </cell>
          <cell r="I564">
            <v>456.45000000000005</v>
          </cell>
          <cell r="J564">
            <v>0</v>
          </cell>
          <cell r="K564">
            <v>0</v>
          </cell>
          <cell r="M564">
            <v>0</v>
          </cell>
          <cell r="P564">
            <v>456</v>
          </cell>
          <cell r="V564" t="str">
            <v>Available</v>
          </cell>
        </row>
        <row r="565">
          <cell r="E565">
            <v>10020062</v>
          </cell>
          <cell r="H565">
            <v>32.4</v>
          </cell>
          <cell r="I565">
            <v>1269.2399999999998</v>
          </cell>
          <cell r="J565">
            <v>0</v>
          </cell>
          <cell r="K565">
            <v>0</v>
          </cell>
          <cell r="M565">
            <v>0</v>
          </cell>
          <cell r="P565">
            <v>1269</v>
          </cell>
          <cell r="V565" t="str">
            <v>Available</v>
          </cell>
        </row>
        <row r="566">
          <cell r="E566">
            <v>10020062</v>
          </cell>
          <cell r="H566">
            <v>17.09</v>
          </cell>
          <cell r="I566">
            <v>783.24</v>
          </cell>
          <cell r="J566">
            <v>0</v>
          </cell>
          <cell r="K566">
            <v>0</v>
          </cell>
          <cell r="M566">
            <v>0</v>
          </cell>
          <cell r="P566">
            <v>783</v>
          </cell>
          <cell r="V566" t="str">
            <v>Available</v>
          </cell>
        </row>
        <row r="567">
          <cell r="E567">
            <v>10020062</v>
          </cell>
          <cell r="H567">
            <v>17.189999999999998</v>
          </cell>
          <cell r="I567">
            <v>617.15</v>
          </cell>
          <cell r="J567">
            <v>0</v>
          </cell>
          <cell r="K567">
            <v>0</v>
          </cell>
          <cell r="M567">
            <v>0</v>
          </cell>
          <cell r="P567">
            <v>617</v>
          </cell>
          <cell r="V567" t="str">
            <v>Available</v>
          </cell>
        </row>
        <row r="568">
          <cell r="E568">
            <v>10020062</v>
          </cell>
          <cell r="H568">
            <v>32.68</v>
          </cell>
          <cell r="I568">
            <v>1130.53</v>
          </cell>
          <cell r="J568">
            <v>0</v>
          </cell>
          <cell r="K568">
            <v>0</v>
          </cell>
          <cell r="M568">
            <v>0</v>
          </cell>
          <cell r="P568">
            <v>1131</v>
          </cell>
          <cell r="V568" t="str">
            <v>Available</v>
          </cell>
        </row>
        <row r="569">
          <cell r="E569">
            <v>10020063</v>
          </cell>
          <cell r="H569">
            <v>7.48</v>
          </cell>
          <cell r="I569">
            <v>317.31</v>
          </cell>
          <cell r="J569">
            <v>0</v>
          </cell>
          <cell r="K569">
            <v>317.31</v>
          </cell>
          <cell r="M569">
            <v>0</v>
          </cell>
          <cell r="P569">
            <v>0</v>
          </cell>
          <cell r="V569" t="str">
            <v>Not Available</v>
          </cell>
        </row>
        <row r="570">
          <cell r="E570">
            <v>10020063</v>
          </cell>
          <cell r="H570">
            <v>204.07000000000002</v>
          </cell>
          <cell r="I570">
            <v>10160.66</v>
          </cell>
          <cell r="J570">
            <v>0</v>
          </cell>
          <cell r="K570">
            <v>0</v>
          </cell>
          <cell r="M570">
            <v>0</v>
          </cell>
          <cell r="P570">
            <v>7621</v>
          </cell>
          <cell r="V570" t="str">
            <v>Available</v>
          </cell>
        </row>
        <row r="571">
          <cell r="E571">
            <v>10020063</v>
          </cell>
          <cell r="H571">
            <v>21.51</v>
          </cell>
          <cell r="I571">
            <v>935.70999999999992</v>
          </cell>
          <cell r="J571">
            <v>0</v>
          </cell>
          <cell r="K571">
            <v>0</v>
          </cell>
          <cell r="M571">
            <v>0</v>
          </cell>
          <cell r="P571">
            <v>936</v>
          </cell>
          <cell r="V571" t="str">
            <v>Available</v>
          </cell>
        </row>
        <row r="572">
          <cell r="E572">
            <v>10020063</v>
          </cell>
          <cell r="H572">
            <v>160.07000000000005</v>
          </cell>
          <cell r="I572">
            <v>9061.24</v>
          </cell>
          <cell r="J572">
            <v>0</v>
          </cell>
          <cell r="K572">
            <v>0</v>
          </cell>
          <cell r="M572">
            <v>0</v>
          </cell>
          <cell r="P572">
            <v>9061</v>
          </cell>
          <cell r="V572" t="str">
            <v>Available</v>
          </cell>
        </row>
        <row r="573">
          <cell r="E573">
            <v>10020063</v>
          </cell>
          <cell r="H573">
            <v>148.20000000000002</v>
          </cell>
          <cell r="I573">
            <v>7775.48</v>
          </cell>
          <cell r="J573">
            <v>0</v>
          </cell>
          <cell r="K573">
            <v>0</v>
          </cell>
          <cell r="M573">
            <v>0</v>
          </cell>
          <cell r="P573">
            <v>7775</v>
          </cell>
          <cell r="V573" t="str">
            <v>Available</v>
          </cell>
        </row>
        <row r="574">
          <cell r="E574">
            <v>10020063</v>
          </cell>
          <cell r="H574">
            <v>15.829999999999998</v>
          </cell>
          <cell r="I574">
            <v>675.24</v>
          </cell>
          <cell r="J574">
            <v>0</v>
          </cell>
          <cell r="K574">
            <v>0</v>
          </cell>
          <cell r="M574">
            <v>0</v>
          </cell>
          <cell r="P574">
            <v>675</v>
          </cell>
          <cell r="V574" t="str">
            <v>Available</v>
          </cell>
        </row>
        <row r="575">
          <cell r="E575">
            <v>10020063</v>
          </cell>
          <cell r="H575">
            <v>141.34</v>
          </cell>
          <cell r="I575">
            <v>6287.4</v>
          </cell>
          <cell r="J575">
            <v>0</v>
          </cell>
          <cell r="K575">
            <v>0</v>
          </cell>
          <cell r="M575">
            <v>0</v>
          </cell>
          <cell r="P575">
            <v>6287</v>
          </cell>
          <cell r="V575" t="str">
            <v>Not Available</v>
          </cell>
        </row>
        <row r="576">
          <cell r="E576">
            <v>10020063</v>
          </cell>
          <cell r="H576">
            <v>130.22000000000003</v>
          </cell>
          <cell r="I576">
            <v>5667.68</v>
          </cell>
          <cell r="J576">
            <v>0</v>
          </cell>
          <cell r="K576">
            <v>0</v>
          </cell>
          <cell r="M576">
            <v>0</v>
          </cell>
          <cell r="P576">
            <v>5668</v>
          </cell>
          <cell r="V576" t="str">
            <v>Not Available</v>
          </cell>
        </row>
        <row r="577">
          <cell r="E577">
            <v>10020063</v>
          </cell>
          <cell r="H577">
            <v>147.56</v>
          </cell>
          <cell r="I577">
            <v>6589.6900000000005</v>
          </cell>
          <cell r="J577">
            <v>0</v>
          </cell>
          <cell r="K577">
            <v>0</v>
          </cell>
          <cell r="M577">
            <v>0</v>
          </cell>
          <cell r="P577">
            <v>6590</v>
          </cell>
          <cell r="V577" t="str">
            <v>Not Available</v>
          </cell>
        </row>
        <row r="578">
          <cell r="E578">
            <v>10020063</v>
          </cell>
          <cell r="H578">
            <v>46.55</v>
          </cell>
          <cell r="I578">
            <v>2290.5000000000005</v>
          </cell>
          <cell r="J578">
            <v>0</v>
          </cell>
          <cell r="K578">
            <v>0</v>
          </cell>
          <cell r="M578">
            <v>0</v>
          </cell>
          <cell r="P578">
            <v>2291</v>
          </cell>
          <cell r="V578" t="str">
            <v>Available</v>
          </cell>
        </row>
        <row r="579">
          <cell r="E579">
            <v>10020063</v>
          </cell>
          <cell r="H579">
            <v>5.31</v>
          </cell>
          <cell r="I579">
            <v>314.02</v>
          </cell>
          <cell r="J579">
            <v>0</v>
          </cell>
          <cell r="K579">
            <v>0</v>
          </cell>
          <cell r="M579">
            <v>0</v>
          </cell>
          <cell r="P579">
            <v>314</v>
          </cell>
          <cell r="V579" t="str">
            <v>Available</v>
          </cell>
        </row>
        <row r="580">
          <cell r="E580">
            <v>10020068</v>
          </cell>
          <cell r="H580">
            <v>120.21000000000001</v>
          </cell>
          <cell r="I580">
            <v>6324.43</v>
          </cell>
          <cell r="J580">
            <v>0</v>
          </cell>
          <cell r="K580">
            <v>0</v>
          </cell>
          <cell r="M580">
            <v>0</v>
          </cell>
          <cell r="P580">
            <v>733</v>
          </cell>
          <cell r="V580" t="str">
            <v>Available</v>
          </cell>
        </row>
        <row r="581">
          <cell r="E581">
            <v>10020068</v>
          </cell>
          <cell r="H581">
            <v>22.099999999999998</v>
          </cell>
          <cell r="I581">
            <v>1385.4800000000002</v>
          </cell>
          <cell r="J581">
            <v>0</v>
          </cell>
          <cell r="K581">
            <v>0</v>
          </cell>
          <cell r="M581">
            <v>0</v>
          </cell>
          <cell r="P581">
            <v>1385</v>
          </cell>
          <cell r="V581" t="str">
            <v>Available</v>
          </cell>
        </row>
        <row r="582">
          <cell r="E582">
            <v>10020068</v>
          </cell>
          <cell r="H582">
            <v>68.290000000000006</v>
          </cell>
          <cell r="I582">
            <v>2597.0600000000009</v>
          </cell>
          <cell r="J582">
            <v>0</v>
          </cell>
          <cell r="K582">
            <v>0</v>
          </cell>
          <cell r="M582">
            <v>0</v>
          </cell>
          <cell r="P582">
            <v>2597</v>
          </cell>
          <cell r="V582" t="str">
            <v>Available</v>
          </cell>
        </row>
        <row r="583">
          <cell r="E583">
            <v>10020068</v>
          </cell>
          <cell r="H583">
            <v>85.77000000000001</v>
          </cell>
          <cell r="I583">
            <v>3658.5200000000004</v>
          </cell>
          <cell r="J583">
            <v>0</v>
          </cell>
          <cell r="K583">
            <v>0</v>
          </cell>
          <cell r="M583">
            <v>0</v>
          </cell>
          <cell r="P583">
            <v>3659</v>
          </cell>
          <cell r="V583" t="str">
            <v>Available</v>
          </cell>
        </row>
        <row r="584">
          <cell r="E584">
            <v>10020068</v>
          </cell>
          <cell r="H584">
            <v>8.57</v>
          </cell>
          <cell r="I584">
            <v>630.52</v>
          </cell>
          <cell r="J584">
            <v>0</v>
          </cell>
          <cell r="K584">
            <v>0</v>
          </cell>
          <cell r="M584">
            <v>0</v>
          </cell>
          <cell r="P584">
            <v>631</v>
          </cell>
          <cell r="V584" t="str">
            <v>Available</v>
          </cell>
        </row>
        <row r="585">
          <cell r="E585">
            <v>10020068</v>
          </cell>
          <cell r="H585">
            <v>42.730000000000004</v>
          </cell>
          <cell r="I585">
            <v>1923.5099999999998</v>
          </cell>
          <cell r="J585">
            <v>0</v>
          </cell>
          <cell r="K585">
            <v>0</v>
          </cell>
          <cell r="M585">
            <v>0</v>
          </cell>
          <cell r="P585">
            <v>1924</v>
          </cell>
          <cell r="V585" t="str">
            <v>Available</v>
          </cell>
        </row>
        <row r="586">
          <cell r="E586">
            <v>10020068</v>
          </cell>
          <cell r="H586">
            <v>122.14999999999999</v>
          </cell>
          <cell r="I586">
            <v>5306.2800000000007</v>
          </cell>
          <cell r="J586">
            <v>0</v>
          </cell>
          <cell r="K586">
            <v>0</v>
          </cell>
          <cell r="M586">
            <v>0</v>
          </cell>
          <cell r="P586">
            <v>5306</v>
          </cell>
          <cell r="V586" t="str">
            <v>Available</v>
          </cell>
        </row>
        <row r="587">
          <cell r="E587">
            <v>10020068</v>
          </cell>
          <cell r="H587">
            <v>64.150000000000006</v>
          </cell>
          <cell r="I587">
            <v>3548.66</v>
          </cell>
          <cell r="J587">
            <v>0</v>
          </cell>
          <cell r="K587">
            <v>0</v>
          </cell>
          <cell r="M587">
            <v>0</v>
          </cell>
          <cell r="P587">
            <v>3549</v>
          </cell>
          <cell r="V587" t="str">
            <v>Available</v>
          </cell>
        </row>
        <row r="588">
          <cell r="E588">
            <v>10020068</v>
          </cell>
          <cell r="H588">
            <v>48.100000000000009</v>
          </cell>
          <cell r="I588">
            <v>2210.46</v>
          </cell>
          <cell r="J588">
            <v>0</v>
          </cell>
          <cell r="K588">
            <v>0</v>
          </cell>
          <cell r="M588">
            <v>0</v>
          </cell>
          <cell r="P588">
            <v>2210</v>
          </cell>
          <cell r="V588" t="str">
            <v>Available</v>
          </cell>
        </row>
        <row r="589">
          <cell r="E589">
            <v>10020068</v>
          </cell>
          <cell r="H589">
            <v>81.97999999999999</v>
          </cell>
          <cell r="I589">
            <v>3683.3699999999994</v>
          </cell>
          <cell r="J589">
            <v>0</v>
          </cell>
          <cell r="K589">
            <v>0</v>
          </cell>
          <cell r="M589">
            <v>0</v>
          </cell>
          <cell r="P589">
            <v>3683</v>
          </cell>
          <cell r="V589" t="str">
            <v>Available</v>
          </cell>
        </row>
        <row r="590">
          <cell r="E590">
            <v>10020068</v>
          </cell>
          <cell r="H590">
            <v>25.340000000000003</v>
          </cell>
          <cell r="I590">
            <v>975.67000000000007</v>
          </cell>
          <cell r="J590">
            <v>0</v>
          </cell>
          <cell r="K590">
            <v>0</v>
          </cell>
          <cell r="M590">
            <v>0</v>
          </cell>
          <cell r="P590">
            <v>976</v>
          </cell>
          <cell r="V590" t="str">
            <v>Available</v>
          </cell>
        </row>
        <row r="591">
          <cell r="E591">
            <v>10020068</v>
          </cell>
          <cell r="H591">
            <v>75.55</v>
          </cell>
          <cell r="I591">
            <v>3020.13</v>
          </cell>
          <cell r="J591">
            <v>0</v>
          </cell>
          <cell r="K591">
            <v>0</v>
          </cell>
          <cell r="M591">
            <v>0</v>
          </cell>
          <cell r="P591">
            <v>3020</v>
          </cell>
          <cell r="V591" t="str">
            <v>Available</v>
          </cell>
        </row>
        <row r="592">
          <cell r="E592">
            <v>10020068</v>
          </cell>
          <cell r="H592">
            <v>26.48</v>
          </cell>
          <cell r="I592">
            <v>1211.7100000000003</v>
          </cell>
          <cell r="J592">
            <v>0</v>
          </cell>
          <cell r="K592">
            <v>0</v>
          </cell>
          <cell r="M592">
            <v>0</v>
          </cell>
          <cell r="P592">
            <v>1212</v>
          </cell>
          <cell r="V592" t="str">
            <v>Available</v>
          </cell>
        </row>
        <row r="593">
          <cell r="E593">
            <v>10020068</v>
          </cell>
          <cell r="H593">
            <v>20.8</v>
          </cell>
          <cell r="I593">
            <v>879.77</v>
          </cell>
          <cell r="J593">
            <v>0</v>
          </cell>
          <cell r="K593">
            <v>0</v>
          </cell>
          <cell r="M593">
            <v>0</v>
          </cell>
          <cell r="P593">
            <v>880</v>
          </cell>
          <cell r="V593" t="str">
            <v>Available</v>
          </cell>
        </row>
        <row r="594">
          <cell r="E594">
            <v>10020068</v>
          </cell>
          <cell r="H594">
            <v>14.510000000000002</v>
          </cell>
          <cell r="I594">
            <v>690.26</v>
          </cell>
          <cell r="J594">
            <v>0</v>
          </cell>
          <cell r="K594">
            <v>0</v>
          </cell>
          <cell r="M594">
            <v>0</v>
          </cell>
          <cell r="P594">
            <v>690</v>
          </cell>
          <cell r="V594" t="str">
            <v>Available</v>
          </cell>
        </row>
        <row r="595">
          <cell r="E595">
            <v>10020068</v>
          </cell>
          <cell r="H595">
            <v>9.3000000000000007</v>
          </cell>
          <cell r="I595">
            <v>347.72999999999996</v>
          </cell>
          <cell r="J595">
            <v>0</v>
          </cell>
          <cell r="K595">
            <v>0</v>
          </cell>
          <cell r="M595">
            <v>0</v>
          </cell>
          <cell r="P595">
            <v>348</v>
          </cell>
          <cell r="V595" t="str">
            <v>Available</v>
          </cell>
        </row>
        <row r="596">
          <cell r="E596">
            <v>10020068</v>
          </cell>
          <cell r="H596">
            <v>59.2</v>
          </cell>
          <cell r="I596">
            <v>2284.42</v>
          </cell>
          <cell r="J596">
            <v>0</v>
          </cell>
          <cell r="K596">
            <v>0</v>
          </cell>
          <cell r="M596">
            <v>0</v>
          </cell>
          <cell r="P596">
            <v>2284</v>
          </cell>
          <cell r="V596" t="str">
            <v>Available</v>
          </cell>
        </row>
        <row r="597">
          <cell r="E597">
            <v>10020068</v>
          </cell>
          <cell r="H597">
            <v>44.290000000000006</v>
          </cell>
          <cell r="I597">
            <v>1953.6399999999999</v>
          </cell>
          <cell r="J597">
            <v>0</v>
          </cell>
          <cell r="K597">
            <v>0</v>
          </cell>
          <cell r="M597">
            <v>0</v>
          </cell>
          <cell r="P597">
            <v>1954</v>
          </cell>
          <cell r="V597" t="str">
            <v>Available</v>
          </cell>
        </row>
        <row r="598">
          <cell r="E598">
            <v>10020068</v>
          </cell>
          <cell r="H598">
            <v>2.6</v>
          </cell>
          <cell r="I598">
            <v>119.99</v>
          </cell>
          <cell r="J598">
            <v>0</v>
          </cell>
          <cell r="K598">
            <v>0</v>
          </cell>
          <cell r="M598">
            <v>0</v>
          </cell>
          <cell r="P598">
            <v>120</v>
          </cell>
          <cell r="V598" t="str">
            <v>Available</v>
          </cell>
        </row>
        <row r="599">
          <cell r="E599">
            <v>10020068</v>
          </cell>
          <cell r="H599">
            <v>32.53</v>
          </cell>
          <cell r="I599">
            <v>1134.27</v>
          </cell>
          <cell r="J599">
            <v>0</v>
          </cell>
          <cell r="K599">
            <v>0</v>
          </cell>
          <cell r="M599">
            <v>0</v>
          </cell>
          <cell r="P599">
            <v>1134</v>
          </cell>
          <cell r="V599" t="str">
            <v>Available</v>
          </cell>
        </row>
        <row r="600">
          <cell r="E600">
            <v>10020068</v>
          </cell>
          <cell r="H600">
            <v>69</v>
          </cell>
          <cell r="I600">
            <v>3788.1600000000008</v>
          </cell>
          <cell r="J600">
            <v>0</v>
          </cell>
          <cell r="K600">
            <v>0</v>
          </cell>
          <cell r="M600">
            <v>0</v>
          </cell>
          <cell r="P600">
            <v>3788</v>
          </cell>
          <cell r="V600" t="str">
            <v>Available</v>
          </cell>
        </row>
        <row r="601">
          <cell r="E601">
            <v>10020068</v>
          </cell>
          <cell r="H601">
            <v>60.099999999999994</v>
          </cell>
          <cell r="I601">
            <v>2695.2000000000003</v>
          </cell>
          <cell r="J601">
            <v>0</v>
          </cell>
          <cell r="K601">
            <v>0</v>
          </cell>
          <cell r="M601">
            <v>0</v>
          </cell>
          <cell r="P601">
            <v>2695</v>
          </cell>
          <cell r="V601" t="str">
            <v>Available</v>
          </cell>
        </row>
        <row r="602">
          <cell r="E602">
            <v>10020068</v>
          </cell>
          <cell r="H602">
            <v>17.93</v>
          </cell>
          <cell r="I602">
            <v>792.77</v>
          </cell>
          <cell r="J602">
            <v>0</v>
          </cell>
          <cell r="K602">
            <v>0</v>
          </cell>
          <cell r="M602">
            <v>0</v>
          </cell>
          <cell r="P602">
            <v>793</v>
          </cell>
          <cell r="V602" t="str">
            <v>Available</v>
          </cell>
        </row>
        <row r="603">
          <cell r="E603">
            <v>10020068</v>
          </cell>
          <cell r="H603">
            <v>54.269999999999996</v>
          </cell>
          <cell r="I603">
            <v>2380.54</v>
          </cell>
          <cell r="J603">
            <v>0</v>
          </cell>
          <cell r="K603">
            <v>0</v>
          </cell>
          <cell r="M603">
            <v>0</v>
          </cell>
          <cell r="P603">
            <v>2381</v>
          </cell>
          <cell r="V603" t="str">
            <v>Available</v>
          </cell>
        </row>
        <row r="604">
          <cell r="E604">
            <v>10020068</v>
          </cell>
          <cell r="H604">
            <v>5.7399999999999993</v>
          </cell>
          <cell r="I604">
            <v>284.62</v>
          </cell>
          <cell r="J604">
            <v>0</v>
          </cell>
          <cell r="K604">
            <v>0</v>
          </cell>
          <cell r="M604">
            <v>0</v>
          </cell>
          <cell r="P604">
            <v>285</v>
          </cell>
          <cell r="V604" t="str">
            <v>Available</v>
          </cell>
        </row>
        <row r="605">
          <cell r="E605">
            <v>10020068</v>
          </cell>
          <cell r="H605">
            <v>21.959999999999994</v>
          </cell>
          <cell r="I605">
            <v>1174.8100000000002</v>
          </cell>
          <cell r="J605">
            <v>0</v>
          </cell>
          <cell r="K605">
            <v>0</v>
          </cell>
          <cell r="M605">
            <v>0</v>
          </cell>
          <cell r="P605">
            <v>1175</v>
          </cell>
          <cell r="V605" t="str">
            <v>Available</v>
          </cell>
        </row>
        <row r="606">
          <cell r="E606">
            <v>10020068</v>
          </cell>
          <cell r="H606">
            <v>11.43</v>
          </cell>
          <cell r="I606">
            <v>506.99</v>
          </cell>
          <cell r="J606">
            <v>0</v>
          </cell>
          <cell r="K606">
            <v>0</v>
          </cell>
          <cell r="M606">
            <v>0</v>
          </cell>
          <cell r="P606">
            <v>507</v>
          </cell>
          <cell r="V606" t="str">
            <v>Available</v>
          </cell>
        </row>
        <row r="607">
          <cell r="E607">
            <v>10020068</v>
          </cell>
          <cell r="H607">
            <v>23.02</v>
          </cell>
          <cell r="I607">
            <v>1027.0999999999999</v>
          </cell>
          <cell r="J607">
            <v>0</v>
          </cell>
          <cell r="K607">
            <v>0</v>
          </cell>
          <cell r="M607">
            <v>0</v>
          </cell>
          <cell r="P607">
            <v>1027</v>
          </cell>
          <cell r="V607" t="str">
            <v>Available</v>
          </cell>
        </row>
        <row r="608">
          <cell r="E608">
            <v>10020068</v>
          </cell>
          <cell r="H608">
            <v>22.7</v>
          </cell>
          <cell r="I608">
            <v>899.08</v>
          </cell>
          <cell r="J608">
            <v>0</v>
          </cell>
          <cell r="K608">
            <v>0</v>
          </cell>
          <cell r="M608">
            <v>0</v>
          </cell>
          <cell r="P608">
            <v>899</v>
          </cell>
          <cell r="V608" t="str">
            <v>Available</v>
          </cell>
        </row>
        <row r="609">
          <cell r="E609">
            <v>10020068</v>
          </cell>
          <cell r="H609">
            <v>2.02</v>
          </cell>
          <cell r="I609">
            <v>83.95</v>
          </cell>
          <cell r="J609">
            <v>0</v>
          </cell>
          <cell r="K609">
            <v>0</v>
          </cell>
          <cell r="M609">
            <v>0</v>
          </cell>
          <cell r="P609">
            <v>84</v>
          </cell>
          <cell r="V609" t="str">
            <v>Available</v>
          </cell>
        </row>
        <row r="610">
          <cell r="E610">
            <v>10020068</v>
          </cell>
          <cell r="H610">
            <v>69.86999999999999</v>
          </cell>
          <cell r="I610">
            <v>3011.1000000000004</v>
          </cell>
          <cell r="J610">
            <v>0</v>
          </cell>
          <cell r="K610">
            <v>0</v>
          </cell>
          <cell r="M610">
            <v>0</v>
          </cell>
          <cell r="P610">
            <v>3011</v>
          </cell>
          <cell r="V610" t="str">
            <v>Available</v>
          </cell>
        </row>
        <row r="611">
          <cell r="E611">
            <v>10020068</v>
          </cell>
          <cell r="H611">
            <v>9.65</v>
          </cell>
          <cell r="I611">
            <v>566.80999999999995</v>
          </cell>
          <cell r="J611">
            <v>0</v>
          </cell>
          <cell r="K611">
            <v>0</v>
          </cell>
          <cell r="M611">
            <v>0</v>
          </cell>
          <cell r="P611">
            <v>567</v>
          </cell>
          <cell r="V611" t="str">
            <v>Available</v>
          </cell>
        </row>
        <row r="612">
          <cell r="E612">
            <v>10020068</v>
          </cell>
          <cell r="H612">
            <v>64.349999999999994</v>
          </cell>
          <cell r="I612">
            <v>2473.73</v>
          </cell>
          <cell r="J612">
            <v>0</v>
          </cell>
          <cell r="K612">
            <v>0</v>
          </cell>
          <cell r="M612">
            <v>0</v>
          </cell>
          <cell r="P612">
            <v>2474</v>
          </cell>
          <cell r="V612" t="str">
            <v>Available</v>
          </cell>
        </row>
        <row r="613">
          <cell r="E613">
            <v>10020068</v>
          </cell>
          <cell r="H613">
            <v>15.739999999999998</v>
          </cell>
          <cell r="I613">
            <v>693.44999999999993</v>
          </cell>
          <cell r="J613">
            <v>0</v>
          </cell>
          <cell r="K613">
            <v>0</v>
          </cell>
          <cell r="M613">
            <v>0</v>
          </cell>
          <cell r="P613">
            <v>693</v>
          </cell>
          <cell r="V613" t="str">
            <v>Available</v>
          </cell>
        </row>
        <row r="614">
          <cell r="E614">
            <v>10020068</v>
          </cell>
          <cell r="H614">
            <v>35.270000000000003</v>
          </cell>
          <cell r="I614">
            <v>2217.15</v>
          </cell>
          <cell r="J614">
            <v>0</v>
          </cell>
          <cell r="K614">
            <v>0</v>
          </cell>
          <cell r="M614">
            <v>0</v>
          </cell>
          <cell r="P614">
            <v>2217</v>
          </cell>
          <cell r="V614" t="str">
            <v>Available</v>
          </cell>
        </row>
        <row r="615">
          <cell r="E615">
            <v>10020068</v>
          </cell>
          <cell r="H615">
            <v>24.22</v>
          </cell>
          <cell r="I615">
            <v>984.72</v>
          </cell>
          <cell r="J615">
            <v>0</v>
          </cell>
          <cell r="K615">
            <v>0</v>
          </cell>
          <cell r="M615">
            <v>0</v>
          </cell>
          <cell r="P615">
            <v>985</v>
          </cell>
          <cell r="V615" t="str">
            <v>Available</v>
          </cell>
        </row>
        <row r="616">
          <cell r="E616">
            <v>10020069</v>
          </cell>
          <cell r="H616">
            <v>0.33999999999999997</v>
          </cell>
          <cell r="I616">
            <v>13.09</v>
          </cell>
          <cell r="J616">
            <v>0</v>
          </cell>
          <cell r="K616">
            <v>13.09</v>
          </cell>
          <cell r="M616">
            <v>0</v>
          </cell>
          <cell r="P616">
            <v>0</v>
          </cell>
          <cell r="V616" t="str">
            <v>Not Available</v>
          </cell>
        </row>
        <row r="617">
          <cell r="E617">
            <v>10020069</v>
          </cell>
          <cell r="H617">
            <v>262.3</v>
          </cell>
          <cell r="I617">
            <v>12069.439999999999</v>
          </cell>
          <cell r="J617">
            <v>0</v>
          </cell>
          <cell r="K617">
            <v>0</v>
          </cell>
          <cell r="M617">
            <v>0</v>
          </cell>
          <cell r="P617">
            <v>11046</v>
          </cell>
          <cell r="V617" t="str">
            <v>Available</v>
          </cell>
        </row>
        <row r="618">
          <cell r="E618">
            <v>10020070</v>
          </cell>
          <cell r="H618">
            <v>29.7</v>
          </cell>
          <cell r="I618">
            <v>1074.8800000000001</v>
          </cell>
          <cell r="J618">
            <v>0</v>
          </cell>
          <cell r="K618">
            <v>0</v>
          </cell>
          <cell r="M618">
            <v>0</v>
          </cell>
          <cell r="P618">
            <v>0</v>
          </cell>
          <cell r="V618" t="str">
            <v>Available</v>
          </cell>
        </row>
        <row r="619">
          <cell r="E619">
            <v>10020070</v>
          </cell>
          <cell r="H619">
            <v>48.2</v>
          </cell>
          <cell r="I619">
            <v>1941.7500000000005</v>
          </cell>
          <cell r="J619">
            <v>0</v>
          </cell>
          <cell r="K619">
            <v>0</v>
          </cell>
          <cell r="M619">
            <v>0</v>
          </cell>
          <cell r="P619">
            <v>1942</v>
          </cell>
          <cell r="V619" t="str">
            <v>Available</v>
          </cell>
        </row>
        <row r="620">
          <cell r="E620">
            <v>10020070</v>
          </cell>
          <cell r="H620">
            <v>69.800000000000011</v>
          </cell>
          <cell r="I620">
            <v>2643.32</v>
          </cell>
          <cell r="J620">
            <v>0</v>
          </cell>
          <cell r="K620">
            <v>0</v>
          </cell>
          <cell r="M620">
            <v>0</v>
          </cell>
          <cell r="P620">
            <v>2643</v>
          </cell>
          <cell r="V620" t="str">
            <v>Available</v>
          </cell>
        </row>
        <row r="621">
          <cell r="E621">
            <v>10020070</v>
          </cell>
          <cell r="H621">
            <v>185.79999999999998</v>
          </cell>
          <cell r="I621">
            <v>6988.15</v>
          </cell>
          <cell r="J621">
            <v>0</v>
          </cell>
          <cell r="K621">
            <v>0</v>
          </cell>
          <cell r="M621">
            <v>0</v>
          </cell>
          <cell r="P621">
            <v>6988</v>
          </cell>
          <cell r="V621" t="str">
            <v>Available</v>
          </cell>
        </row>
        <row r="622">
          <cell r="E622">
            <v>10020070</v>
          </cell>
          <cell r="H622">
            <v>82.899999999999991</v>
          </cell>
          <cell r="I622">
            <v>4125.9199999999992</v>
          </cell>
          <cell r="J622">
            <v>0</v>
          </cell>
          <cell r="K622">
            <v>0</v>
          </cell>
          <cell r="M622">
            <v>0</v>
          </cell>
          <cell r="P622">
            <v>4126</v>
          </cell>
          <cell r="V622" t="str">
            <v>Available</v>
          </cell>
        </row>
        <row r="623">
          <cell r="E623">
            <v>10020070</v>
          </cell>
          <cell r="H623">
            <v>34</v>
          </cell>
          <cell r="I623">
            <v>1291.51</v>
          </cell>
          <cell r="J623">
            <v>0</v>
          </cell>
          <cell r="K623">
            <v>0</v>
          </cell>
          <cell r="M623">
            <v>0</v>
          </cell>
          <cell r="P623">
            <v>1292</v>
          </cell>
          <cell r="V623" t="str">
            <v>Available</v>
          </cell>
        </row>
        <row r="624">
          <cell r="E624">
            <v>10020070</v>
          </cell>
          <cell r="H624">
            <v>76.5</v>
          </cell>
          <cell r="I624">
            <v>2836.62</v>
          </cell>
          <cell r="J624">
            <v>0</v>
          </cell>
          <cell r="K624">
            <v>0</v>
          </cell>
          <cell r="M624">
            <v>0</v>
          </cell>
          <cell r="P624">
            <v>2837</v>
          </cell>
          <cell r="V624" t="str">
            <v>Available</v>
          </cell>
        </row>
        <row r="625">
          <cell r="E625">
            <v>10020070</v>
          </cell>
          <cell r="H625">
            <v>26.7</v>
          </cell>
          <cell r="I625">
            <v>995.85</v>
          </cell>
          <cell r="J625">
            <v>0</v>
          </cell>
          <cell r="K625">
            <v>0</v>
          </cell>
          <cell r="M625">
            <v>0</v>
          </cell>
          <cell r="P625">
            <v>996</v>
          </cell>
          <cell r="V625" t="str">
            <v>Available</v>
          </cell>
        </row>
        <row r="626">
          <cell r="E626">
            <v>10020070</v>
          </cell>
          <cell r="H626">
            <v>27.5</v>
          </cell>
          <cell r="I626">
            <v>1677.02</v>
          </cell>
          <cell r="J626">
            <v>0</v>
          </cell>
          <cell r="K626">
            <v>0</v>
          </cell>
          <cell r="M626">
            <v>0</v>
          </cell>
          <cell r="P626">
            <v>1677</v>
          </cell>
          <cell r="V626" t="str">
            <v>Available</v>
          </cell>
        </row>
        <row r="627">
          <cell r="E627">
            <v>10020070</v>
          </cell>
          <cell r="H627">
            <v>88.2</v>
          </cell>
          <cell r="I627">
            <v>6026.34</v>
          </cell>
          <cell r="J627">
            <v>0</v>
          </cell>
          <cell r="K627">
            <v>0</v>
          </cell>
          <cell r="M627">
            <v>0</v>
          </cell>
          <cell r="P627">
            <v>6026</v>
          </cell>
          <cell r="V627" t="str">
            <v>Available</v>
          </cell>
        </row>
        <row r="628">
          <cell r="E628">
            <v>10020075</v>
          </cell>
          <cell r="H628">
            <v>8.82</v>
          </cell>
          <cell r="I628">
            <v>430.84</v>
          </cell>
          <cell r="J628">
            <v>0</v>
          </cell>
          <cell r="K628">
            <v>0</v>
          </cell>
          <cell r="M628">
            <v>0</v>
          </cell>
          <cell r="P628">
            <v>0</v>
          </cell>
          <cell r="V628" t="str">
            <v>Available</v>
          </cell>
        </row>
        <row r="629">
          <cell r="E629">
            <v>10020075</v>
          </cell>
          <cell r="H629">
            <v>89.38000000000001</v>
          </cell>
          <cell r="I629">
            <v>4355.5199999999995</v>
          </cell>
          <cell r="J629">
            <v>0</v>
          </cell>
          <cell r="K629">
            <v>0</v>
          </cell>
          <cell r="M629">
            <v>0</v>
          </cell>
          <cell r="P629">
            <v>4356</v>
          </cell>
          <cell r="V629" t="str">
            <v>Available</v>
          </cell>
        </row>
        <row r="630">
          <cell r="E630">
            <v>10020075</v>
          </cell>
          <cell r="H630">
            <v>29.92</v>
          </cell>
          <cell r="I630">
            <v>1085.5800000000002</v>
          </cell>
          <cell r="J630">
            <v>0</v>
          </cell>
          <cell r="K630">
            <v>0</v>
          </cell>
          <cell r="M630">
            <v>0</v>
          </cell>
          <cell r="P630">
            <v>1086</v>
          </cell>
          <cell r="V630" t="str">
            <v>Available</v>
          </cell>
        </row>
        <row r="631">
          <cell r="E631">
            <v>10020075</v>
          </cell>
          <cell r="H631">
            <v>20.290000000000003</v>
          </cell>
          <cell r="I631">
            <v>847.43000000000006</v>
          </cell>
          <cell r="J631">
            <v>0</v>
          </cell>
          <cell r="K631">
            <v>0</v>
          </cell>
          <cell r="M631">
            <v>0</v>
          </cell>
          <cell r="P631">
            <v>847</v>
          </cell>
          <cell r="V631" t="str">
            <v>Available</v>
          </cell>
        </row>
        <row r="632">
          <cell r="E632">
            <v>10020075</v>
          </cell>
          <cell r="H632">
            <v>20.459999999999997</v>
          </cell>
          <cell r="I632">
            <v>916.58999999999992</v>
          </cell>
          <cell r="J632">
            <v>0</v>
          </cell>
          <cell r="K632">
            <v>0</v>
          </cell>
          <cell r="M632">
            <v>0</v>
          </cell>
          <cell r="P632">
            <v>917</v>
          </cell>
          <cell r="V632" t="str">
            <v>Available</v>
          </cell>
        </row>
        <row r="633">
          <cell r="E633">
            <v>10020075</v>
          </cell>
          <cell r="H633">
            <v>85.419999999999987</v>
          </cell>
          <cell r="I633">
            <v>4126.1299999999992</v>
          </cell>
          <cell r="J633">
            <v>0</v>
          </cell>
          <cell r="K633">
            <v>0</v>
          </cell>
          <cell r="M633">
            <v>0</v>
          </cell>
          <cell r="P633">
            <v>4126</v>
          </cell>
          <cell r="V633" t="str">
            <v>Available</v>
          </cell>
        </row>
        <row r="634">
          <cell r="E634">
            <v>10020075</v>
          </cell>
          <cell r="H634">
            <v>18.510000000000002</v>
          </cell>
          <cell r="I634">
            <v>1309.58</v>
          </cell>
          <cell r="J634">
            <v>0</v>
          </cell>
          <cell r="K634">
            <v>0</v>
          </cell>
          <cell r="M634">
            <v>0</v>
          </cell>
          <cell r="P634">
            <v>1310</v>
          </cell>
          <cell r="V634" t="str">
            <v>Available</v>
          </cell>
        </row>
        <row r="635">
          <cell r="E635">
            <v>10020077</v>
          </cell>
          <cell r="H635">
            <v>166.29999999999998</v>
          </cell>
          <cell r="I635">
            <v>8280.2099999999991</v>
          </cell>
          <cell r="J635">
            <v>0</v>
          </cell>
          <cell r="K635">
            <v>0</v>
          </cell>
          <cell r="M635">
            <v>0</v>
          </cell>
          <cell r="P635">
            <v>7780</v>
          </cell>
          <cell r="V635" t="str">
            <v>Available</v>
          </cell>
        </row>
        <row r="636">
          <cell r="E636">
            <v>10020078</v>
          </cell>
          <cell r="H636">
            <v>202.67</v>
          </cell>
          <cell r="I636">
            <v>8353.27</v>
          </cell>
          <cell r="J636">
            <v>0</v>
          </cell>
          <cell r="K636">
            <v>0</v>
          </cell>
          <cell r="M636">
            <v>0</v>
          </cell>
          <cell r="P636">
            <v>5682</v>
          </cell>
          <cell r="V636" t="str">
            <v>Available</v>
          </cell>
        </row>
        <row r="637">
          <cell r="E637">
            <v>10020078</v>
          </cell>
          <cell r="H637">
            <v>158.63</v>
          </cell>
          <cell r="I637">
            <v>9881.2100000000009</v>
          </cell>
          <cell r="J637">
            <v>0</v>
          </cell>
          <cell r="K637">
            <v>0</v>
          </cell>
          <cell r="M637">
            <v>0</v>
          </cell>
          <cell r="P637">
            <v>9881</v>
          </cell>
          <cell r="V637" t="str">
            <v>Available</v>
          </cell>
        </row>
        <row r="638">
          <cell r="E638">
            <v>10020078</v>
          </cell>
          <cell r="H638">
            <v>2.65</v>
          </cell>
          <cell r="I638">
            <v>117.87</v>
          </cell>
          <cell r="J638">
            <v>0</v>
          </cell>
          <cell r="K638">
            <v>0</v>
          </cell>
          <cell r="M638">
            <v>0</v>
          </cell>
          <cell r="P638">
            <v>118</v>
          </cell>
          <cell r="V638" t="str">
            <v>Not Available</v>
          </cell>
        </row>
        <row r="639">
          <cell r="E639">
            <v>10020078</v>
          </cell>
          <cell r="H639">
            <v>3.35</v>
          </cell>
          <cell r="I639">
            <v>153.19999999999999</v>
          </cell>
          <cell r="J639">
            <v>0</v>
          </cell>
          <cell r="K639">
            <v>0</v>
          </cell>
          <cell r="M639">
            <v>0</v>
          </cell>
          <cell r="P639">
            <v>153</v>
          </cell>
          <cell r="V639" t="str">
            <v>Not Available</v>
          </cell>
        </row>
        <row r="640">
          <cell r="E640">
            <v>10020083</v>
          </cell>
          <cell r="H640">
            <v>294.8</v>
          </cell>
          <cell r="I640">
            <v>12843.529999999999</v>
          </cell>
          <cell r="J640">
            <v>0</v>
          </cell>
          <cell r="K640">
            <v>0</v>
          </cell>
          <cell r="M640">
            <v>0</v>
          </cell>
          <cell r="P640">
            <v>12251</v>
          </cell>
          <cell r="V640" t="str">
            <v>Available</v>
          </cell>
        </row>
        <row r="641">
          <cell r="E641">
            <v>10020083</v>
          </cell>
          <cell r="H641">
            <v>3.1</v>
          </cell>
          <cell r="I641">
            <v>137.88999999999999</v>
          </cell>
          <cell r="J641">
            <v>0</v>
          </cell>
          <cell r="K641">
            <v>0</v>
          </cell>
          <cell r="M641">
            <v>0</v>
          </cell>
          <cell r="P641">
            <v>138</v>
          </cell>
          <cell r="V641" t="str">
            <v>Available</v>
          </cell>
        </row>
        <row r="642">
          <cell r="E642">
            <v>10020084</v>
          </cell>
          <cell r="H642">
            <v>36.790000000000006</v>
          </cell>
          <cell r="I642">
            <v>1276.74</v>
          </cell>
          <cell r="J642">
            <v>0</v>
          </cell>
          <cell r="K642">
            <v>0</v>
          </cell>
          <cell r="M642">
            <v>0</v>
          </cell>
          <cell r="P642">
            <v>1277</v>
          </cell>
          <cell r="V642" t="str">
            <v>Available</v>
          </cell>
        </row>
        <row r="643">
          <cell r="E643">
            <v>10020084</v>
          </cell>
          <cell r="H643">
            <v>90.699999999999989</v>
          </cell>
          <cell r="I643">
            <v>3695.3999999999996</v>
          </cell>
          <cell r="J643">
            <v>0</v>
          </cell>
          <cell r="K643">
            <v>0</v>
          </cell>
          <cell r="M643">
            <v>0</v>
          </cell>
          <cell r="P643">
            <v>3695</v>
          </cell>
          <cell r="V643" t="str">
            <v>Available</v>
          </cell>
        </row>
        <row r="644">
          <cell r="E644">
            <v>10020084</v>
          </cell>
          <cell r="H644">
            <v>3.99</v>
          </cell>
          <cell r="I644">
            <v>127.24</v>
          </cell>
          <cell r="J644">
            <v>0</v>
          </cell>
          <cell r="K644">
            <v>0</v>
          </cell>
          <cell r="M644">
            <v>0</v>
          </cell>
          <cell r="P644">
            <v>127</v>
          </cell>
          <cell r="V644" t="str">
            <v>Available</v>
          </cell>
        </row>
        <row r="645">
          <cell r="E645">
            <v>10020084</v>
          </cell>
          <cell r="H645">
            <v>18.5</v>
          </cell>
          <cell r="I645">
            <v>823.17000000000007</v>
          </cell>
          <cell r="J645">
            <v>0</v>
          </cell>
          <cell r="K645">
            <v>0</v>
          </cell>
          <cell r="M645">
            <v>0</v>
          </cell>
          <cell r="P645">
            <v>823</v>
          </cell>
          <cell r="V645" t="str">
            <v>Not Available</v>
          </cell>
        </row>
        <row r="646">
          <cell r="E646">
            <v>10020084</v>
          </cell>
          <cell r="H646">
            <v>4.7200000000000006</v>
          </cell>
          <cell r="I646">
            <v>161.76999999999998</v>
          </cell>
          <cell r="J646">
            <v>0</v>
          </cell>
          <cell r="K646">
            <v>0</v>
          </cell>
          <cell r="M646">
            <v>0</v>
          </cell>
          <cell r="P646">
            <v>162</v>
          </cell>
          <cell r="V646" t="str">
            <v>Not Available</v>
          </cell>
        </row>
        <row r="647">
          <cell r="E647">
            <v>10020084</v>
          </cell>
          <cell r="H647">
            <v>25.27</v>
          </cell>
          <cell r="I647">
            <v>875.3599999999999</v>
          </cell>
          <cell r="J647">
            <v>0</v>
          </cell>
          <cell r="K647">
            <v>0</v>
          </cell>
          <cell r="M647">
            <v>0</v>
          </cell>
          <cell r="P647">
            <v>875</v>
          </cell>
          <cell r="V647" t="str">
            <v>Not Available</v>
          </cell>
        </row>
        <row r="648">
          <cell r="E648">
            <v>10020084</v>
          </cell>
          <cell r="H648">
            <v>14.129999999999999</v>
          </cell>
          <cell r="I648">
            <v>623.17999999999995</v>
          </cell>
          <cell r="J648">
            <v>0</v>
          </cell>
          <cell r="K648">
            <v>0</v>
          </cell>
          <cell r="M648">
            <v>0</v>
          </cell>
          <cell r="P648">
            <v>623</v>
          </cell>
          <cell r="V648" t="str">
            <v>Not Available</v>
          </cell>
        </row>
        <row r="649">
          <cell r="E649">
            <v>10020084</v>
          </cell>
          <cell r="H649">
            <v>4.55</v>
          </cell>
          <cell r="I649">
            <v>157.57</v>
          </cell>
          <cell r="J649">
            <v>0</v>
          </cell>
          <cell r="K649">
            <v>0</v>
          </cell>
          <cell r="M649">
            <v>0</v>
          </cell>
          <cell r="P649">
            <v>158</v>
          </cell>
          <cell r="V649" t="str">
            <v>Not Available</v>
          </cell>
        </row>
        <row r="650">
          <cell r="E650">
            <v>10020084</v>
          </cell>
          <cell r="H650">
            <v>25.86</v>
          </cell>
          <cell r="I650">
            <v>1004.03</v>
          </cell>
          <cell r="J650">
            <v>0</v>
          </cell>
          <cell r="K650">
            <v>0</v>
          </cell>
          <cell r="M650">
            <v>0</v>
          </cell>
          <cell r="P650">
            <v>1004</v>
          </cell>
          <cell r="V650" t="str">
            <v>Not Available</v>
          </cell>
        </row>
        <row r="651">
          <cell r="E651">
            <v>10020084</v>
          </cell>
          <cell r="H651">
            <v>11.93</v>
          </cell>
          <cell r="I651">
            <v>522.74</v>
          </cell>
          <cell r="J651">
            <v>0</v>
          </cell>
          <cell r="K651">
            <v>0</v>
          </cell>
          <cell r="M651">
            <v>0</v>
          </cell>
          <cell r="P651">
            <v>523</v>
          </cell>
          <cell r="V651" t="str">
            <v>Not Available</v>
          </cell>
        </row>
        <row r="652">
          <cell r="E652">
            <v>10020084</v>
          </cell>
          <cell r="H652">
            <v>12.219999999999999</v>
          </cell>
          <cell r="I652">
            <v>570.12</v>
          </cell>
          <cell r="J652">
            <v>0</v>
          </cell>
          <cell r="K652">
            <v>0</v>
          </cell>
          <cell r="M652">
            <v>0</v>
          </cell>
          <cell r="P652">
            <v>570</v>
          </cell>
          <cell r="V652" t="str">
            <v>Not Available</v>
          </cell>
        </row>
        <row r="653">
          <cell r="E653">
            <v>10020084</v>
          </cell>
          <cell r="H653">
            <v>62.72</v>
          </cell>
          <cell r="I653">
            <v>2165.16</v>
          </cell>
          <cell r="J653">
            <v>0</v>
          </cell>
          <cell r="K653">
            <v>0</v>
          </cell>
          <cell r="M653">
            <v>0</v>
          </cell>
          <cell r="P653">
            <v>2165</v>
          </cell>
          <cell r="V653" t="str">
            <v>Not Available</v>
          </cell>
        </row>
        <row r="654">
          <cell r="E654">
            <v>10020084</v>
          </cell>
          <cell r="H654">
            <v>29.73</v>
          </cell>
          <cell r="I654">
            <v>1369.75</v>
          </cell>
          <cell r="J654">
            <v>0</v>
          </cell>
          <cell r="K654">
            <v>0</v>
          </cell>
          <cell r="M654">
            <v>0</v>
          </cell>
          <cell r="P654">
            <v>1370</v>
          </cell>
          <cell r="V654" t="str">
            <v>Not Available</v>
          </cell>
        </row>
        <row r="655">
          <cell r="E655">
            <v>10020084</v>
          </cell>
          <cell r="H655">
            <v>15.61</v>
          </cell>
          <cell r="I655">
            <v>626.3900000000001</v>
          </cell>
          <cell r="J655">
            <v>0</v>
          </cell>
          <cell r="K655">
            <v>0</v>
          </cell>
          <cell r="M655">
            <v>0</v>
          </cell>
          <cell r="P655">
            <v>626</v>
          </cell>
          <cell r="V655" t="str">
            <v>Not Available</v>
          </cell>
        </row>
        <row r="656">
          <cell r="E656">
            <v>10020084</v>
          </cell>
          <cell r="H656">
            <v>12.030000000000001</v>
          </cell>
          <cell r="I656">
            <v>456.21999999999997</v>
          </cell>
          <cell r="J656">
            <v>0</v>
          </cell>
          <cell r="K656">
            <v>0</v>
          </cell>
          <cell r="M656">
            <v>0</v>
          </cell>
          <cell r="P656">
            <v>456</v>
          </cell>
          <cell r="V656" t="str">
            <v>Not Available</v>
          </cell>
        </row>
        <row r="657">
          <cell r="E657">
            <v>10020084</v>
          </cell>
          <cell r="H657">
            <v>19.110000000000003</v>
          </cell>
          <cell r="I657">
            <v>830.08999999999992</v>
          </cell>
          <cell r="J657">
            <v>0</v>
          </cell>
          <cell r="K657">
            <v>0</v>
          </cell>
          <cell r="M657">
            <v>0</v>
          </cell>
          <cell r="P657">
            <v>830</v>
          </cell>
          <cell r="V657" t="str">
            <v>Not Available</v>
          </cell>
        </row>
        <row r="658">
          <cell r="E658">
            <v>10020084</v>
          </cell>
          <cell r="H658">
            <v>32.58</v>
          </cell>
          <cell r="I658">
            <v>1320.5400000000004</v>
          </cell>
          <cell r="J658">
            <v>0</v>
          </cell>
          <cell r="K658">
            <v>0</v>
          </cell>
          <cell r="M658">
            <v>0</v>
          </cell>
          <cell r="P658">
            <v>1321</v>
          </cell>
          <cell r="V658" t="str">
            <v>Not Available</v>
          </cell>
        </row>
        <row r="659">
          <cell r="E659">
            <v>10020084</v>
          </cell>
          <cell r="H659">
            <v>32.03</v>
          </cell>
          <cell r="I659">
            <v>1334.8500000000001</v>
          </cell>
          <cell r="J659">
            <v>0</v>
          </cell>
          <cell r="K659">
            <v>0</v>
          </cell>
          <cell r="M659">
            <v>0</v>
          </cell>
          <cell r="P659">
            <v>1335</v>
          </cell>
          <cell r="V659" t="str">
            <v>Not Available</v>
          </cell>
        </row>
        <row r="660">
          <cell r="E660">
            <v>10020084</v>
          </cell>
          <cell r="H660">
            <v>14.87</v>
          </cell>
          <cell r="I660">
            <v>460.76</v>
          </cell>
          <cell r="J660">
            <v>0</v>
          </cell>
          <cell r="K660">
            <v>0</v>
          </cell>
          <cell r="M660">
            <v>0</v>
          </cell>
          <cell r="P660">
            <v>461</v>
          </cell>
          <cell r="V660" t="str">
            <v>Not Available</v>
          </cell>
        </row>
        <row r="661">
          <cell r="E661">
            <v>10020084</v>
          </cell>
          <cell r="H661">
            <v>4.88</v>
          </cell>
          <cell r="I661">
            <v>165.24</v>
          </cell>
          <cell r="J661">
            <v>0</v>
          </cell>
          <cell r="K661">
            <v>0</v>
          </cell>
          <cell r="M661">
            <v>0</v>
          </cell>
          <cell r="P661">
            <v>165</v>
          </cell>
          <cell r="V661" t="str">
            <v>Not Available</v>
          </cell>
        </row>
        <row r="662">
          <cell r="E662">
            <v>10020084</v>
          </cell>
          <cell r="H662">
            <v>15.09</v>
          </cell>
          <cell r="I662">
            <v>582.59</v>
          </cell>
          <cell r="J662">
            <v>0</v>
          </cell>
          <cell r="K662">
            <v>0</v>
          </cell>
          <cell r="M662">
            <v>0</v>
          </cell>
          <cell r="P662">
            <v>583</v>
          </cell>
          <cell r="V662" t="str">
            <v>Not Available</v>
          </cell>
        </row>
        <row r="663">
          <cell r="E663">
            <v>10020084</v>
          </cell>
          <cell r="H663">
            <v>2.58</v>
          </cell>
          <cell r="I663">
            <v>145.38</v>
          </cell>
          <cell r="J663">
            <v>0</v>
          </cell>
          <cell r="K663">
            <v>0</v>
          </cell>
          <cell r="M663">
            <v>0</v>
          </cell>
          <cell r="P663">
            <v>145</v>
          </cell>
          <cell r="V663" t="str">
            <v>Not Available</v>
          </cell>
        </row>
        <row r="664">
          <cell r="E664">
            <v>10020084</v>
          </cell>
          <cell r="H664">
            <v>18.53</v>
          </cell>
          <cell r="I664">
            <v>749.83</v>
          </cell>
          <cell r="J664">
            <v>0</v>
          </cell>
          <cell r="K664">
            <v>0</v>
          </cell>
          <cell r="M664">
            <v>0</v>
          </cell>
          <cell r="P664">
            <v>750</v>
          </cell>
          <cell r="V664" t="str">
            <v>Not Available</v>
          </cell>
        </row>
        <row r="665">
          <cell r="E665">
            <v>10020084</v>
          </cell>
          <cell r="H665">
            <v>18.36</v>
          </cell>
          <cell r="I665">
            <v>806.44</v>
          </cell>
          <cell r="J665">
            <v>0</v>
          </cell>
          <cell r="K665">
            <v>0</v>
          </cell>
          <cell r="M665">
            <v>0</v>
          </cell>
          <cell r="P665">
            <v>806</v>
          </cell>
          <cell r="V665" t="str">
            <v>Not Available</v>
          </cell>
        </row>
        <row r="666">
          <cell r="E666">
            <v>10020084</v>
          </cell>
          <cell r="H666">
            <v>18.240000000000002</v>
          </cell>
          <cell r="I666">
            <v>618.77</v>
          </cell>
          <cell r="J666">
            <v>0</v>
          </cell>
          <cell r="K666">
            <v>0</v>
          </cell>
          <cell r="M666">
            <v>0</v>
          </cell>
          <cell r="P666">
            <v>619</v>
          </cell>
          <cell r="V666" t="str">
            <v>Not Available</v>
          </cell>
        </row>
        <row r="667">
          <cell r="E667">
            <v>10020087</v>
          </cell>
          <cell r="H667">
            <v>708.47999999999979</v>
          </cell>
          <cell r="I667">
            <v>29681.749999999996</v>
          </cell>
          <cell r="J667">
            <v>0</v>
          </cell>
          <cell r="K667">
            <v>0</v>
          </cell>
          <cell r="M667">
            <v>0</v>
          </cell>
          <cell r="P667">
            <v>29556</v>
          </cell>
          <cell r="V667" t="str">
            <v>Available</v>
          </cell>
        </row>
        <row r="668">
          <cell r="E668">
            <v>10020087</v>
          </cell>
          <cell r="H668">
            <v>6.3800000000000008</v>
          </cell>
          <cell r="I668">
            <v>210.63</v>
          </cell>
          <cell r="J668">
            <v>0</v>
          </cell>
          <cell r="K668">
            <v>0</v>
          </cell>
          <cell r="M668">
            <v>0</v>
          </cell>
          <cell r="P668">
            <v>211</v>
          </cell>
          <cell r="V668" t="str">
            <v>Available</v>
          </cell>
        </row>
        <row r="669">
          <cell r="E669">
            <v>10020087</v>
          </cell>
          <cell r="H669">
            <v>3.3</v>
          </cell>
          <cell r="I669">
            <v>132.56</v>
          </cell>
          <cell r="J669">
            <v>0</v>
          </cell>
          <cell r="K669">
            <v>0</v>
          </cell>
          <cell r="M669">
            <v>0</v>
          </cell>
          <cell r="P669">
            <v>133</v>
          </cell>
          <cell r="V669" t="str">
            <v>Available</v>
          </cell>
        </row>
        <row r="670">
          <cell r="E670">
            <v>10020088</v>
          </cell>
          <cell r="H670">
            <v>298.20999999999998</v>
          </cell>
          <cell r="I670">
            <v>12165.74</v>
          </cell>
          <cell r="J670">
            <v>0</v>
          </cell>
          <cell r="K670">
            <v>0</v>
          </cell>
          <cell r="M670">
            <v>0</v>
          </cell>
          <cell r="P670">
            <v>11444</v>
          </cell>
          <cell r="V670" t="str">
            <v>Available</v>
          </cell>
        </row>
        <row r="671">
          <cell r="E671">
            <v>10020088</v>
          </cell>
          <cell r="H671">
            <v>4.08</v>
          </cell>
          <cell r="I671">
            <v>174.48000000000002</v>
          </cell>
          <cell r="J671">
            <v>0</v>
          </cell>
          <cell r="K671">
            <v>0</v>
          </cell>
          <cell r="M671">
            <v>0</v>
          </cell>
          <cell r="P671">
            <v>174</v>
          </cell>
          <cell r="V671" t="str">
            <v>Available</v>
          </cell>
        </row>
        <row r="672">
          <cell r="E672">
            <v>10030003</v>
          </cell>
          <cell r="H672">
            <v>25</v>
          </cell>
          <cell r="I672">
            <v>1789</v>
          </cell>
          <cell r="J672">
            <v>0</v>
          </cell>
          <cell r="K672">
            <v>1789</v>
          </cell>
          <cell r="M672">
            <v>0</v>
          </cell>
          <cell r="P672">
            <v>0</v>
          </cell>
          <cell r="V672" t="str">
            <v>Not Available</v>
          </cell>
        </row>
        <row r="673">
          <cell r="E673">
            <v>10030003</v>
          </cell>
          <cell r="H673">
            <v>13.799999999999999</v>
          </cell>
          <cell r="I673">
            <v>581.21999999999991</v>
          </cell>
          <cell r="J673">
            <v>0</v>
          </cell>
          <cell r="K673">
            <v>0</v>
          </cell>
          <cell r="M673">
            <v>0</v>
          </cell>
          <cell r="P673">
            <v>581</v>
          </cell>
          <cell r="V673" t="str">
            <v>Available</v>
          </cell>
        </row>
        <row r="674">
          <cell r="E674">
            <v>10030003</v>
          </cell>
          <cell r="H674">
            <v>46.4</v>
          </cell>
          <cell r="I674">
            <v>1801.2699999999998</v>
          </cell>
          <cell r="J674">
            <v>0</v>
          </cell>
          <cell r="K674">
            <v>0</v>
          </cell>
          <cell r="M674">
            <v>0</v>
          </cell>
          <cell r="P674">
            <v>1801</v>
          </cell>
          <cell r="V674" t="str">
            <v>Available</v>
          </cell>
        </row>
        <row r="675">
          <cell r="E675">
            <v>10030003</v>
          </cell>
          <cell r="H675">
            <v>52.400000000000006</v>
          </cell>
          <cell r="I675">
            <v>4039.5899999999997</v>
          </cell>
          <cell r="J675">
            <v>0</v>
          </cell>
          <cell r="K675">
            <v>0</v>
          </cell>
          <cell r="M675">
            <v>0</v>
          </cell>
          <cell r="P675">
            <v>4040</v>
          </cell>
          <cell r="V675" t="str">
            <v>Available</v>
          </cell>
        </row>
        <row r="676">
          <cell r="E676">
            <v>10030003</v>
          </cell>
          <cell r="H676">
            <v>7.8</v>
          </cell>
          <cell r="I676">
            <v>322.77</v>
          </cell>
          <cell r="J676">
            <v>0</v>
          </cell>
          <cell r="K676">
            <v>0</v>
          </cell>
          <cell r="M676">
            <v>0</v>
          </cell>
          <cell r="P676">
            <v>323</v>
          </cell>
          <cell r="V676" t="str">
            <v>Available</v>
          </cell>
        </row>
        <row r="677">
          <cell r="E677">
            <v>10030003</v>
          </cell>
          <cell r="H677">
            <v>86.6</v>
          </cell>
          <cell r="I677">
            <v>5739.43</v>
          </cell>
          <cell r="J677">
            <v>0</v>
          </cell>
          <cell r="K677">
            <v>0</v>
          </cell>
          <cell r="M677">
            <v>0</v>
          </cell>
          <cell r="P677">
            <v>5739</v>
          </cell>
          <cell r="V677" t="str">
            <v>Available</v>
          </cell>
        </row>
        <row r="678">
          <cell r="E678">
            <v>10030003</v>
          </cell>
          <cell r="H678">
            <v>3.1</v>
          </cell>
          <cell r="I678">
            <v>115.1</v>
          </cell>
          <cell r="J678">
            <v>0</v>
          </cell>
          <cell r="K678">
            <v>0</v>
          </cell>
          <cell r="M678">
            <v>0</v>
          </cell>
          <cell r="P678">
            <v>115</v>
          </cell>
          <cell r="V678" t="str">
            <v>Available</v>
          </cell>
        </row>
        <row r="679">
          <cell r="E679">
            <v>10030003</v>
          </cell>
          <cell r="H679">
            <v>15.5</v>
          </cell>
          <cell r="I679">
            <v>662.57999999999993</v>
          </cell>
          <cell r="J679">
            <v>0</v>
          </cell>
          <cell r="K679">
            <v>0</v>
          </cell>
          <cell r="M679">
            <v>0</v>
          </cell>
          <cell r="P679">
            <v>663</v>
          </cell>
          <cell r="V679" t="str">
            <v>Available</v>
          </cell>
        </row>
        <row r="680">
          <cell r="E680">
            <v>10030003</v>
          </cell>
          <cell r="H680">
            <v>24.8</v>
          </cell>
          <cell r="I680">
            <v>1070.7199999999998</v>
          </cell>
          <cell r="J680">
            <v>0</v>
          </cell>
          <cell r="K680">
            <v>0</v>
          </cell>
          <cell r="M680">
            <v>0</v>
          </cell>
          <cell r="P680">
            <v>1071</v>
          </cell>
          <cell r="V680" t="str">
            <v>Available</v>
          </cell>
        </row>
        <row r="681">
          <cell r="E681">
            <v>10030003</v>
          </cell>
          <cell r="H681">
            <v>52.999999999999993</v>
          </cell>
          <cell r="I681">
            <v>3662.6299999999997</v>
          </cell>
          <cell r="J681">
            <v>0</v>
          </cell>
          <cell r="K681">
            <v>0</v>
          </cell>
          <cell r="M681">
            <v>0</v>
          </cell>
          <cell r="P681">
            <v>3663</v>
          </cell>
          <cell r="V681" t="str">
            <v>Available</v>
          </cell>
        </row>
        <row r="682">
          <cell r="E682">
            <v>10030003</v>
          </cell>
          <cell r="H682">
            <v>22.3</v>
          </cell>
          <cell r="I682">
            <v>841.53</v>
          </cell>
          <cell r="J682">
            <v>0</v>
          </cell>
          <cell r="K682">
            <v>0</v>
          </cell>
          <cell r="M682">
            <v>0</v>
          </cell>
          <cell r="P682">
            <v>842</v>
          </cell>
          <cell r="V682" t="str">
            <v>Available</v>
          </cell>
        </row>
        <row r="683">
          <cell r="E683">
            <v>10030003</v>
          </cell>
          <cell r="H683">
            <v>28</v>
          </cell>
          <cell r="I683">
            <v>1077.6000000000001</v>
          </cell>
          <cell r="J683">
            <v>0</v>
          </cell>
          <cell r="K683">
            <v>0</v>
          </cell>
          <cell r="M683">
            <v>0</v>
          </cell>
          <cell r="P683">
            <v>1078</v>
          </cell>
          <cell r="V683" t="str">
            <v>Available</v>
          </cell>
        </row>
        <row r="684">
          <cell r="E684">
            <v>10030003</v>
          </cell>
          <cell r="H684">
            <v>5.6</v>
          </cell>
          <cell r="I684">
            <v>431.99</v>
          </cell>
          <cell r="J684">
            <v>0</v>
          </cell>
          <cell r="K684">
            <v>0</v>
          </cell>
          <cell r="M684">
            <v>0</v>
          </cell>
          <cell r="P684">
            <v>432</v>
          </cell>
          <cell r="V684" t="str">
            <v>Available</v>
          </cell>
        </row>
        <row r="685">
          <cell r="E685">
            <v>10030003</v>
          </cell>
          <cell r="H685">
            <v>38.299999999999997</v>
          </cell>
          <cell r="I685">
            <v>1509.78</v>
          </cell>
          <cell r="J685">
            <v>0</v>
          </cell>
          <cell r="K685">
            <v>0</v>
          </cell>
          <cell r="M685">
            <v>0</v>
          </cell>
          <cell r="P685">
            <v>1510</v>
          </cell>
          <cell r="V685" t="str">
            <v>Available</v>
          </cell>
        </row>
        <row r="686">
          <cell r="E686">
            <v>10030003</v>
          </cell>
          <cell r="H686">
            <v>36.6</v>
          </cell>
          <cell r="I686">
            <v>1297.33</v>
          </cell>
          <cell r="J686">
            <v>0</v>
          </cell>
          <cell r="K686">
            <v>0</v>
          </cell>
          <cell r="M686">
            <v>0</v>
          </cell>
          <cell r="P686">
            <v>1297</v>
          </cell>
          <cell r="V686" t="str">
            <v>Available</v>
          </cell>
        </row>
        <row r="687">
          <cell r="E687">
            <v>10030003</v>
          </cell>
          <cell r="H687">
            <v>28</v>
          </cell>
          <cell r="I687">
            <v>1057.97</v>
          </cell>
          <cell r="J687">
            <v>0</v>
          </cell>
          <cell r="K687">
            <v>0</v>
          </cell>
          <cell r="M687">
            <v>0</v>
          </cell>
          <cell r="P687">
            <v>1058</v>
          </cell>
          <cell r="V687" t="str">
            <v>Available</v>
          </cell>
        </row>
        <row r="688">
          <cell r="E688">
            <v>10030003</v>
          </cell>
          <cell r="H688">
            <v>15.7</v>
          </cell>
          <cell r="I688">
            <v>1042.46</v>
          </cell>
          <cell r="J688">
            <v>0</v>
          </cell>
          <cell r="K688">
            <v>0</v>
          </cell>
          <cell r="M688">
            <v>0</v>
          </cell>
          <cell r="P688">
            <v>1042</v>
          </cell>
          <cell r="V688" t="str">
            <v>Available</v>
          </cell>
        </row>
        <row r="689">
          <cell r="E689">
            <v>10030003</v>
          </cell>
          <cell r="H689">
            <v>55.5</v>
          </cell>
          <cell r="I689">
            <v>2237.7499999999995</v>
          </cell>
          <cell r="J689">
            <v>0</v>
          </cell>
          <cell r="K689">
            <v>0</v>
          </cell>
          <cell r="M689">
            <v>0</v>
          </cell>
          <cell r="P689">
            <v>2238</v>
          </cell>
          <cell r="V689" t="str">
            <v>Available</v>
          </cell>
        </row>
        <row r="690">
          <cell r="E690">
            <v>10030003</v>
          </cell>
          <cell r="H690">
            <v>4.5</v>
          </cell>
          <cell r="I690">
            <v>179.67000000000002</v>
          </cell>
          <cell r="J690">
            <v>0</v>
          </cell>
          <cell r="K690">
            <v>0</v>
          </cell>
          <cell r="M690">
            <v>0</v>
          </cell>
          <cell r="P690">
            <v>180</v>
          </cell>
          <cell r="V690" t="str">
            <v>Available</v>
          </cell>
        </row>
        <row r="691">
          <cell r="E691">
            <v>10030003</v>
          </cell>
          <cell r="H691">
            <v>30.700000000000003</v>
          </cell>
          <cell r="I691">
            <v>1183.18</v>
          </cell>
          <cell r="J691">
            <v>0</v>
          </cell>
          <cell r="K691">
            <v>0</v>
          </cell>
          <cell r="M691">
            <v>0</v>
          </cell>
          <cell r="P691">
            <v>1183</v>
          </cell>
          <cell r="V691" t="str">
            <v>Available</v>
          </cell>
        </row>
        <row r="692">
          <cell r="E692">
            <v>10030003</v>
          </cell>
          <cell r="H692">
            <v>13.2</v>
          </cell>
          <cell r="I692">
            <v>566.20000000000005</v>
          </cell>
          <cell r="J692">
            <v>0</v>
          </cell>
          <cell r="K692">
            <v>0</v>
          </cell>
          <cell r="M692">
            <v>0</v>
          </cell>
          <cell r="P692">
            <v>566</v>
          </cell>
          <cell r="V692" t="str">
            <v>Available</v>
          </cell>
        </row>
        <row r="693">
          <cell r="E693">
            <v>10030003</v>
          </cell>
          <cell r="H693">
            <v>43</v>
          </cell>
          <cell r="I693">
            <v>1454.1799999999998</v>
          </cell>
          <cell r="J693">
            <v>0</v>
          </cell>
          <cell r="K693">
            <v>0</v>
          </cell>
          <cell r="M693">
            <v>0</v>
          </cell>
          <cell r="P693">
            <v>1454</v>
          </cell>
          <cell r="V693" t="str">
            <v>Available</v>
          </cell>
        </row>
        <row r="694">
          <cell r="E694">
            <v>10030003</v>
          </cell>
          <cell r="H694">
            <v>40.9</v>
          </cell>
          <cell r="I694">
            <v>1769.4699999999998</v>
          </cell>
          <cell r="J694">
            <v>0</v>
          </cell>
          <cell r="K694">
            <v>0</v>
          </cell>
          <cell r="M694">
            <v>0</v>
          </cell>
          <cell r="P694">
            <v>1769</v>
          </cell>
          <cell r="V694" t="str">
            <v>Available</v>
          </cell>
        </row>
        <row r="695">
          <cell r="E695">
            <v>10030003</v>
          </cell>
          <cell r="H695">
            <v>51.2</v>
          </cell>
          <cell r="I695">
            <v>2246.31</v>
          </cell>
          <cell r="J695">
            <v>0</v>
          </cell>
          <cell r="K695">
            <v>0</v>
          </cell>
          <cell r="M695">
            <v>0</v>
          </cell>
          <cell r="P695">
            <v>2246</v>
          </cell>
          <cell r="V695" t="str">
            <v>Available</v>
          </cell>
        </row>
        <row r="696">
          <cell r="E696">
            <v>10030003</v>
          </cell>
          <cell r="H696">
            <v>33.400000000000006</v>
          </cell>
          <cell r="I696">
            <v>1153.82</v>
          </cell>
          <cell r="J696">
            <v>0</v>
          </cell>
          <cell r="K696">
            <v>0</v>
          </cell>
          <cell r="M696">
            <v>0</v>
          </cell>
          <cell r="P696">
            <v>1154</v>
          </cell>
          <cell r="V696" t="str">
            <v>Available</v>
          </cell>
        </row>
        <row r="697">
          <cell r="E697">
            <v>10030003</v>
          </cell>
          <cell r="H697">
            <v>54.7</v>
          </cell>
          <cell r="I697">
            <v>2120.0699999999997</v>
          </cell>
          <cell r="J697">
            <v>0</v>
          </cell>
          <cell r="K697">
            <v>0</v>
          </cell>
          <cell r="M697">
            <v>0</v>
          </cell>
          <cell r="P697">
            <v>2120</v>
          </cell>
          <cell r="V697" t="str">
            <v>Available</v>
          </cell>
        </row>
        <row r="698">
          <cell r="E698">
            <v>10030003</v>
          </cell>
          <cell r="H698">
            <v>21.599999999999998</v>
          </cell>
          <cell r="I698">
            <v>1307.47</v>
          </cell>
          <cell r="J698">
            <v>0</v>
          </cell>
          <cell r="K698">
            <v>0</v>
          </cell>
          <cell r="M698">
            <v>0</v>
          </cell>
          <cell r="P698">
            <v>1307</v>
          </cell>
          <cell r="V698" t="str">
            <v>Available</v>
          </cell>
        </row>
        <row r="699">
          <cell r="E699">
            <v>10030003</v>
          </cell>
          <cell r="H699">
            <v>24.1</v>
          </cell>
          <cell r="I699">
            <v>1244.57</v>
          </cell>
          <cell r="J699">
            <v>0</v>
          </cell>
          <cell r="K699">
            <v>0</v>
          </cell>
          <cell r="M699">
            <v>0</v>
          </cell>
          <cell r="P699">
            <v>1245</v>
          </cell>
          <cell r="V699" t="str">
            <v>Available</v>
          </cell>
        </row>
        <row r="700">
          <cell r="E700">
            <v>10030003</v>
          </cell>
          <cell r="H700">
            <v>11</v>
          </cell>
          <cell r="I700">
            <v>469.87</v>
          </cell>
          <cell r="J700">
            <v>0</v>
          </cell>
          <cell r="K700">
            <v>0</v>
          </cell>
          <cell r="M700">
            <v>0</v>
          </cell>
          <cell r="P700">
            <v>470</v>
          </cell>
          <cell r="V700" t="str">
            <v>Available</v>
          </cell>
        </row>
        <row r="701">
          <cell r="E701">
            <v>10030003</v>
          </cell>
          <cell r="H701">
            <v>9.9</v>
          </cell>
          <cell r="I701">
            <v>553.13</v>
          </cell>
          <cell r="J701">
            <v>0</v>
          </cell>
          <cell r="K701">
            <v>0</v>
          </cell>
          <cell r="M701">
            <v>0</v>
          </cell>
          <cell r="P701">
            <v>553</v>
          </cell>
          <cell r="V701" t="str">
            <v>Available</v>
          </cell>
        </row>
        <row r="702">
          <cell r="E702">
            <v>10030003</v>
          </cell>
          <cell r="H702">
            <v>23.3</v>
          </cell>
          <cell r="I702">
            <v>978.23</v>
          </cell>
          <cell r="J702">
            <v>0</v>
          </cell>
          <cell r="K702">
            <v>0</v>
          </cell>
          <cell r="M702">
            <v>0</v>
          </cell>
          <cell r="P702">
            <v>978</v>
          </cell>
          <cell r="V702" t="str">
            <v>Available</v>
          </cell>
        </row>
        <row r="703">
          <cell r="E703">
            <v>10030003</v>
          </cell>
          <cell r="H703">
            <v>16.400000000000002</v>
          </cell>
          <cell r="I703">
            <v>648.21</v>
          </cell>
          <cell r="J703">
            <v>0</v>
          </cell>
          <cell r="K703">
            <v>0</v>
          </cell>
          <cell r="M703">
            <v>0</v>
          </cell>
          <cell r="P703">
            <v>648</v>
          </cell>
          <cell r="V703" t="str">
            <v>Available</v>
          </cell>
        </row>
        <row r="704">
          <cell r="E704">
            <v>10030003</v>
          </cell>
          <cell r="H704">
            <v>6.2</v>
          </cell>
          <cell r="I704">
            <v>288.91999999999996</v>
          </cell>
          <cell r="J704">
            <v>0</v>
          </cell>
          <cell r="K704">
            <v>0</v>
          </cell>
          <cell r="M704">
            <v>0</v>
          </cell>
          <cell r="P704">
            <v>289</v>
          </cell>
          <cell r="V704" t="str">
            <v>Available</v>
          </cell>
        </row>
        <row r="705">
          <cell r="E705">
            <v>10030003</v>
          </cell>
          <cell r="H705">
            <v>5.3000000000000007</v>
          </cell>
          <cell r="I705">
            <v>177.7</v>
          </cell>
          <cell r="J705">
            <v>0</v>
          </cell>
          <cell r="K705">
            <v>0</v>
          </cell>
          <cell r="M705">
            <v>0</v>
          </cell>
          <cell r="P705">
            <v>178</v>
          </cell>
          <cell r="V705" t="str">
            <v>Available</v>
          </cell>
        </row>
        <row r="706">
          <cell r="E706">
            <v>10030003</v>
          </cell>
          <cell r="H706">
            <v>24.6</v>
          </cell>
          <cell r="I706">
            <v>1202.21</v>
          </cell>
          <cell r="J706">
            <v>0</v>
          </cell>
          <cell r="K706">
            <v>0</v>
          </cell>
          <cell r="M706">
            <v>0</v>
          </cell>
          <cell r="P706">
            <v>1202</v>
          </cell>
          <cell r="V706" t="str">
            <v>Available</v>
          </cell>
        </row>
        <row r="707">
          <cell r="E707">
            <v>10030003</v>
          </cell>
          <cell r="H707">
            <v>17.2</v>
          </cell>
          <cell r="I707">
            <v>598.25</v>
          </cell>
          <cell r="J707">
            <v>0</v>
          </cell>
          <cell r="K707">
            <v>0</v>
          </cell>
          <cell r="M707">
            <v>0</v>
          </cell>
          <cell r="P707">
            <v>598</v>
          </cell>
          <cell r="V707" t="str">
            <v>Available</v>
          </cell>
        </row>
        <row r="708">
          <cell r="E708">
            <v>10030003</v>
          </cell>
          <cell r="H708">
            <v>24.1</v>
          </cell>
          <cell r="I708">
            <v>1418.65</v>
          </cell>
          <cell r="J708">
            <v>0</v>
          </cell>
          <cell r="K708">
            <v>0</v>
          </cell>
          <cell r="M708">
            <v>0</v>
          </cell>
          <cell r="P708">
            <v>1419</v>
          </cell>
          <cell r="V708" t="str">
            <v>Available</v>
          </cell>
        </row>
        <row r="709">
          <cell r="E709">
            <v>10030003</v>
          </cell>
          <cell r="H709">
            <v>5</v>
          </cell>
          <cell r="I709">
            <v>207.79</v>
          </cell>
          <cell r="J709">
            <v>0</v>
          </cell>
          <cell r="K709">
            <v>0</v>
          </cell>
          <cell r="M709">
            <v>0</v>
          </cell>
          <cell r="P709">
            <v>208</v>
          </cell>
          <cell r="V709" t="str">
            <v>Available</v>
          </cell>
        </row>
        <row r="710">
          <cell r="E710">
            <v>10030003</v>
          </cell>
          <cell r="H710">
            <v>7.1</v>
          </cell>
          <cell r="I710">
            <v>234.11</v>
          </cell>
          <cell r="J710">
            <v>0</v>
          </cell>
          <cell r="K710">
            <v>0</v>
          </cell>
          <cell r="M710">
            <v>0</v>
          </cell>
          <cell r="P710">
            <v>234</v>
          </cell>
          <cell r="V710" t="str">
            <v>Available</v>
          </cell>
        </row>
        <row r="711">
          <cell r="E711">
            <v>10030003</v>
          </cell>
          <cell r="H711">
            <v>22.9</v>
          </cell>
          <cell r="I711">
            <v>1344.26</v>
          </cell>
          <cell r="J711">
            <v>0</v>
          </cell>
          <cell r="K711">
            <v>0</v>
          </cell>
          <cell r="M711">
            <v>0</v>
          </cell>
          <cell r="P711">
            <v>1344</v>
          </cell>
          <cell r="V711" t="str">
            <v>Available</v>
          </cell>
        </row>
        <row r="712">
          <cell r="E712">
            <v>10030003</v>
          </cell>
          <cell r="H712">
            <v>21.599999999999998</v>
          </cell>
          <cell r="I712">
            <v>1043.3800000000001</v>
          </cell>
          <cell r="J712">
            <v>0</v>
          </cell>
          <cell r="K712">
            <v>0</v>
          </cell>
          <cell r="M712">
            <v>0</v>
          </cell>
          <cell r="P712">
            <v>1043</v>
          </cell>
          <cell r="V712" t="str">
            <v>Available</v>
          </cell>
        </row>
        <row r="713">
          <cell r="E713">
            <v>10030003</v>
          </cell>
          <cell r="H713">
            <v>8.6</v>
          </cell>
          <cell r="I713">
            <v>371.63</v>
          </cell>
          <cell r="J713">
            <v>0</v>
          </cell>
          <cell r="K713">
            <v>0</v>
          </cell>
          <cell r="M713">
            <v>0</v>
          </cell>
          <cell r="P713">
            <v>372</v>
          </cell>
          <cell r="V713" t="str">
            <v>Available</v>
          </cell>
        </row>
        <row r="714">
          <cell r="E714">
            <v>10030003</v>
          </cell>
          <cell r="H714">
            <v>28.1</v>
          </cell>
          <cell r="I714">
            <v>2294.35</v>
          </cell>
          <cell r="J714">
            <v>0</v>
          </cell>
          <cell r="K714">
            <v>0</v>
          </cell>
          <cell r="M714">
            <v>0</v>
          </cell>
          <cell r="P714">
            <v>2294</v>
          </cell>
          <cell r="V714" t="str">
            <v>Available</v>
          </cell>
        </row>
        <row r="715">
          <cell r="E715">
            <v>10030003</v>
          </cell>
          <cell r="H715">
            <v>28.3</v>
          </cell>
          <cell r="I715">
            <v>1944.0200000000002</v>
          </cell>
          <cell r="J715">
            <v>0</v>
          </cell>
          <cell r="K715">
            <v>0</v>
          </cell>
          <cell r="M715">
            <v>0</v>
          </cell>
          <cell r="P715">
            <v>1944</v>
          </cell>
          <cell r="V715" t="str">
            <v>Available</v>
          </cell>
        </row>
        <row r="716">
          <cell r="E716">
            <v>10030003</v>
          </cell>
          <cell r="H716">
            <v>1.8</v>
          </cell>
          <cell r="I716">
            <v>106.02</v>
          </cell>
          <cell r="J716">
            <v>0</v>
          </cell>
          <cell r="K716">
            <v>0</v>
          </cell>
          <cell r="M716">
            <v>0</v>
          </cell>
          <cell r="P716">
            <v>106</v>
          </cell>
          <cell r="V716" t="str">
            <v>Available</v>
          </cell>
        </row>
        <row r="717">
          <cell r="E717">
            <v>10030003</v>
          </cell>
          <cell r="H717">
            <v>10.8</v>
          </cell>
          <cell r="I717">
            <v>455.19</v>
          </cell>
          <cell r="J717">
            <v>0</v>
          </cell>
          <cell r="K717">
            <v>0</v>
          </cell>
          <cell r="M717">
            <v>0</v>
          </cell>
          <cell r="P717">
            <v>455</v>
          </cell>
          <cell r="V717" t="str">
            <v>Available</v>
          </cell>
        </row>
        <row r="718">
          <cell r="E718">
            <v>10030003</v>
          </cell>
          <cell r="H718">
            <v>99</v>
          </cell>
          <cell r="I718">
            <v>5675.87</v>
          </cell>
          <cell r="J718">
            <v>0</v>
          </cell>
          <cell r="K718">
            <v>0</v>
          </cell>
          <cell r="M718">
            <v>0</v>
          </cell>
          <cell r="P718">
            <v>5676</v>
          </cell>
          <cell r="V718" t="str">
            <v>Available</v>
          </cell>
        </row>
        <row r="719">
          <cell r="E719">
            <v>10030003</v>
          </cell>
          <cell r="H719">
            <v>13.2</v>
          </cell>
          <cell r="I719">
            <v>575.32000000000005</v>
          </cell>
          <cell r="J719">
            <v>0</v>
          </cell>
          <cell r="K719">
            <v>0</v>
          </cell>
          <cell r="M719">
            <v>0</v>
          </cell>
          <cell r="P719">
            <v>575</v>
          </cell>
          <cell r="V719" t="str">
            <v>Available</v>
          </cell>
        </row>
        <row r="720">
          <cell r="E720">
            <v>10030003</v>
          </cell>
          <cell r="H720">
            <v>76.100000000000009</v>
          </cell>
          <cell r="I720">
            <v>2992.92</v>
          </cell>
          <cell r="J720">
            <v>0</v>
          </cell>
          <cell r="K720">
            <v>0</v>
          </cell>
          <cell r="M720">
            <v>0</v>
          </cell>
          <cell r="P720">
            <v>2993</v>
          </cell>
          <cell r="V720" t="str">
            <v>Available</v>
          </cell>
        </row>
        <row r="721">
          <cell r="E721">
            <v>10030003</v>
          </cell>
          <cell r="H721">
            <v>10.600000000000001</v>
          </cell>
          <cell r="I721">
            <v>631.1400000000001</v>
          </cell>
          <cell r="J721">
            <v>0</v>
          </cell>
          <cell r="K721">
            <v>0</v>
          </cell>
          <cell r="M721">
            <v>0</v>
          </cell>
          <cell r="P721">
            <v>631</v>
          </cell>
          <cell r="V721" t="str">
            <v>Available</v>
          </cell>
        </row>
        <row r="722">
          <cell r="E722">
            <v>10030003</v>
          </cell>
          <cell r="H722">
            <v>15.100000000000001</v>
          </cell>
          <cell r="I722">
            <v>1046.4100000000001</v>
          </cell>
          <cell r="J722">
            <v>0</v>
          </cell>
          <cell r="K722">
            <v>0</v>
          </cell>
          <cell r="M722">
            <v>0</v>
          </cell>
          <cell r="P722">
            <v>1046</v>
          </cell>
          <cell r="V722" t="str">
            <v>Available</v>
          </cell>
        </row>
        <row r="723">
          <cell r="E723">
            <v>10030003</v>
          </cell>
          <cell r="H723">
            <v>18</v>
          </cell>
          <cell r="I723">
            <v>708.58999999999992</v>
          </cell>
          <cell r="J723">
            <v>0</v>
          </cell>
          <cell r="K723">
            <v>0</v>
          </cell>
          <cell r="M723">
            <v>0</v>
          </cell>
          <cell r="P723">
            <v>709</v>
          </cell>
          <cell r="V723" t="str">
            <v>Available</v>
          </cell>
        </row>
        <row r="724">
          <cell r="E724">
            <v>10030003</v>
          </cell>
          <cell r="H724">
            <v>21.5</v>
          </cell>
          <cell r="I724">
            <v>808.35</v>
          </cell>
          <cell r="J724">
            <v>0</v>
          </cell>
          <cell r="K724">
            <v>0</v>
          </cell>
          <cell r="M724">
            <v>0</v>
          </cell>
          <cell r="P724">
            <v>808</v>
          </cell>
          <cell r="V724" t="str">
            <v>Available</v>
          </cell>
        </row>
        <row r="725">
          <cell r="E725">
            <v>10030003</v>
          </cell>
          <cell r="H725">
            <v>21.1</v>
          </cell>
          <cell r="I725">
            <v>1055.69</v>
          </cell>
          <cell r="J725">
            <v>0</v>
          </cell>
          <cell r="K725">
            <v>0</v>
          </cell>
          <cell r="M725">
            <v>0</v>
          </cell>
          <cell r="P725">
            <v>1056</v>
          </cell>
          <cell r="V725" t="str">
            <v>Available</v>
          </cell>
        </row>
        <row r="726">
          <cell r="E726">
            <v>10030003</v>
          </cell>
          <cell r="H726">
            <v>12.8</v>
          </cell>
          <cell r="I726">
            <v>432.56</v>
          </cell>
          <cell r="J726">
            <v>0</v>
          </cell>
          <cell r="K726">
            <v>0</v>
          </cell>
          <cell r="M726">
            <v>0</v>
          </cell>
          <cell r="P726">
            <v>433</v>
          </cell>
          <cell r="V726" t="str">
            <v>Available</v>
          </cell>
        </row>
        <row r="727">
          <cell r="E727">
            <v>10030003</v>
          </cell>
          <cell r="H727">
            <v>10.3</v>
          </cell>
          <cell r="I727">
            <v>332.5</v>
          </cell>
          <cell r="J727">
            <v>0</v>
          </cell>
          <cell r="K727">
            <v>0</v>
          </cell>
          <cell r="M727">
            <v>0</v>
          </cell>
          <cell r="P727">
            <v>333</v>
          </cell>
          <cell r="V727" t="str">
            <v>Available</v>
          </cell>
        </row>
        <row r="728">
          <cell r="E728">
            <v>10030003</v>
          </cell>
          <cell r="H728">
            <v>19.5</v>
          </cell>
          <cell r="I728">
            <v>897.56000000000006</v>
          </cell>
          <cell r="J728">
            <v>0</v>
          </cell>
          <cell r="K728">
            <v>0</v>
          </cell>
          <cell r="M728">
            <v>0</v>
          </cell>
          <cell r="P728">
            <v>898</v>
          </cell>
          <cell r="V728" t="str">
            <v>Available</v>
          </cell>
        </row>
        <row r="729">
          <cell r="E729">
            <v>10030003</v>
          </cell>
          <cell r="H729">
            <v>13.6</v>
          </cell>
          <cell r="I729">
            <v>527.63</v>
          </cell>
          <cell r="J729">
            <v>0</v>
          </cell>
          <cell r="K729">
            <v>0</v>
          </cell>
          <cell r="M729">
            <v>0</v>
          </cell>
          <cell r="P729">
            <v>528</v>
          </cell>
          <cell r="V729" t="str">
            <v>Available</v>
          </cell>
        </row>
        <row r="730">
          <cell r="E730">
            <v>10030003</v>
          </cell>
          <cell r="H730">
            <v>18.3</v>
          </cell>
          <cell r="I730">
            <v>749.70000000000016</v>
          </cell>
          <cell r="J730">
            <v>0</v>
          </cell>
          <cell r="K730">
            <v>0</v>
          </cell>
          <cell r="M730">
            <v>0</v>
          </cell>
          <cell r="P730">
            <v>750</v>
          </cell>
          <cell r="V730" t="str">
            <v>Available</v>
          </cell>
        </row>
        <row r="731">
          <cell r="E731">
            <v>10030003</v>
          </cell>
          <cell r="H731">
            <v>14.8</v>
          </cell>
          <cell r="I731">
            <v>505.78000000000003</v>
          </cell>
          <cell r="J731">
            <v>0</v>
          </cell>
          <cell r="K731">
            <v>0</v>
          </cell>
          <cell r="M731">
            <v>0</v>
          </cell>
          <cell r="P731">
            <v>506</v>
          </cell>
          <cell r="V731" t="str">
            <v>Available</v>
          </cell>
        </row>
        <row r="732">
          <cell r="E732">
            <v>10030003</v>
          </cell>
          <cell r="H732">
            <v>43.1</v>
          </cell>
          <cell r="I732">
            <v>1723.1500000000003</v>
          </cell>
          <cell r="J732">
            <v>0</v>
          </cell>
          <cell r="K732">
            <v>0</v>
          </cell>
          <cell r="M732">
            <v>0</v>
          </cell>
          <cell r="P732">
            <v>1723</v>
          </cell>
          <cell r="V732" t="str">
            <v>Available</v>
          </cell>
        </row>
        <row r="733">
          <cell r="E733">
            <v>10030003</v>
          </cell>
          <cell r="H733">
            <v>9.8000000000000007</v>
          </cell>
          <cell r="I733">
            <v>353.95</v>
          </cell>
          <cell r="J733">
            <v>0</v>
          </cell>
          <cell r="K733">
            <v>0</v>
          </cell>
          <cell r="M733">
            <v>0</v>
          </cell>
          <cell r="P733">
            <v>354</v>
          </cell>
          <cell r="V733" t="str">
            <v>Available</v>
          </cell>
        </row>
        <row r="734">
          <cell r="E734">
            <v>10030003</v>
          </cell>
          <cell r="H734">
            <v>3.9</v>
          </cell>
          <cell r="I734">
            <v>162.16</v>
          </cell>
          <cell r="J734">
            <v>0</v>
          </cell>
          <cell r="K734">
            <v>0</v>
          </cell>
          <cell r="M734">
            <v>0</v>
          </cell>
          <cell r="P734">
            <v>162</v>
          </cell>
          <cell r="V734" t="str">
            <v>Available</v>
          </cell>
        </row>
        <row r="735">
          <cell r="E735">
            <v>10030003</v>
          </cell>
          <cell r="H735">
            <v>18</v>
          </cell>
          <cell r="I735">
            <v>609.74</v>
          </cell>
          <cell r="J735">
            <v>0</v>
          </cell>
          <cell r="K735">
            <v>0</v>
          </cell>
          <cell r="M735">
            <v>0</v>
          </cell>
          <cell r="P735">
            <v>610</v>
          </cell>
          <cell r="V735" t="str">
            <v>Available</v>
          </cell>
        </row>
        <row r="736">
          <cell r="E736">
            <v>10030003</v>
          </cell>
          <cell r="H736">
            <v>58.199999999999996</v>
          </cell>
          <cell r="I736">
            <v>2165.58</v>
          </cell>
          <cell r="J736">
            <v>0</v>
          </cell>
          <cell r="K736">
            <v>0</v>
          </cell>
          <cell r="M736">
            <v>0</v>
          </cell>
          <cell r="P736">
            <v>2166</v>
          </cell>
          <cell r="V736" t="str">
            <v>Available</v>
          </cell>
        </row>
        <row r="737">
          <cell r="E737">
            <v>10030003</v>
          </cell>
          <cell r="H737">
            <v>31.2</v>
          </cell>
          <cell r="I737">
            <v>1286.0800000000002</v>
          </cell>
          <cell r="J737">
            <v>0</v>
          </cell>
          <cell r="K737">
            <v>0</v>
          </cell>
          <cell r="M737">
            <v>0</v>
          </cell>
          <cell r="P737">
            <v>1286</v>
          </cell>
          <cell r="V737" t="str">
            <v>Available</v>
          </cell>
        </row>
        <row r="738">
          <cell r="E738">
            <v>10030003</v>
          </cell>
          <cell r="H738">
            <v>5.4</v>
          </cell>
          <cell r="I738">
            <v>184.3</v>
          </cell>
          <cell r="J738">
            <v>0</v>
          </cell>
          <cell r="K738">
            <v>0</v>
          </cell>
          <cell r="M738">
            <v>0</v>
          </cell>
          <cell r="P738">
            <v>184</v>
          </cell>
          <cell r="V738" t="str">
            <v>Available</v>
          </cell>
        </row>
        <row r="739">
          <cell r="E739">
            <v>10030010</v>
          </cell>
          <cell r="H739">
            <v>7</v>
          </cell>
          <cell r="I739">
            <v>320.91000000000003</v>
          </cell>
          <cell r="J739">
            <v>0</v>
          </cell>
          <cell r="K739">
            <v>320.91000000000003</v>
          </cell>
          <cell r="M739">
            <v>0</v>
          </cell>
          <cell r="P739">
            <v>0</v>
          </cell>
          <cell r="V739" t="str">
            <v>Not Available</v>
          </cell>
        </row>
        <row r="740">
          <cell r="E740">
            <v>10030010</v>
          </cell>
          <cell r="H740">
            <v>153.4</v>
          </cell>
          <cell r="I740">
            <v>6936.82</v>
          </cell>
          <cell r="J740">
            <v>0</v>
          </cell>
          <cell r="K740">
            <v>0</v>
          </cell>
          <cell r="M740">
            <v>0</v>
          </cell>
          <cell r="P740">
            <v>4587</v>
          </cell>
          <cell r="V740" t="str">
            <v>Available</v>
          </cell>
        </row>
        <row r="741">
          <cell r="E741">
            <v>10030011</v>
          </cell>
          <cell r="H741">
            <v>6.9</v>
          </cell>
          <cell r="I741">
            <v>303.51000000000005</v>
          </cell>
          <cell r="J741">
            <v>0</v>
          </cell>
          <cell r="K741">
            <v>303.51000000000005</v>
          </cell>
          <cell r="M741">
            <v>0</v>
          </cell>
          <cell r="P741">
            <v>0</v>
          </cell>
          <cell r="V741" t="str">
            <v>Not Available</v>
          </cell>
        </row>
        <row r="742">
          <cell r="E742">
            <v>10030011</v>
          </cell>
          <cell r="H742">
            <v>80</v>
          </cell>
          <cell r="I742">
            <v>3522.5299999999997</v>
          </cell>
          <cell r="J742">
            <v>0</v>
          </cell>
          <cell r="K742">
            <v>0</v>
          </cell>
          <cell r="M742">
            <v>0</v>
          </cell>
          <cell r="P742">
            <v>3494</v>
          </cell>
          <cell r="V742" t="str">
            <v>Available</v>
          </cell>
        </row>
        <row r="743">
          <cell r="E743">
            <v>10030011</v>
          </cell>
          <cell r="H743">
            <v>77</v>
          </cell>
          <cell r="I743">
            <v>3387.61</v>
          </cell>
          <cell r="J743">
            <v>0</v>
          </cell>
          <cell r="K743">
            <v>0</v>
          </cell>
          <cell r="M743">
            <v>0</v>
          </cell>
          <cell r="P743">
            <v>3388</v>
          </cell>
          <cell r="V743" t="str">
            <v>Available</v>
          </cell>
        </row>
        <row r="744">
          <cell r="E744">
            <v>10030011</v>
          </cell>
          <cell r="H744">
            <v>78</v>
          </cell>
          <cell r="I744">
            <v>3432.0899999999997</v>
          </cell>
          <cell r="J744">
            <v>0</v>
          </cell>
          <cell r="K744">
            <v>0</v>
          </cell>
          <cell r="M744">
            <v>0</v>
          </cell>
          <cell r="P744">
            <v>3432</v>
          </cell>
          <cell r="V744" t="str">
            <v>Available</v>
          </cell>
        </row>
        <row r="745">
          <cell r="E745">
            <v>10030011</v>
          </cell>
          <cell r="H745">
            <v>78</v>
          </cell>
          <cell r="I745">
            <v>3432.0899999999997</v>
          </cell>
          <cell r="J745">
            <v>0</v>
          </cell>
          <cell r="K745">
            <v>0</v>
          </cell>
          <cell r="M745">
            <v>0</v>
          </cell>
          <cell r="P745">
            <v>3432</v>
          </cell>
          <cell r="V745" t="str">
            <v>Available</v>
          </cell>
        </row>
        <row r="746">
          <cell r="E746">
            <v>10030011</v>
          </cell>
          <cell r="H746">
            <v>89.100000000000009</v>
          </cell>
          <cell r="I746">
            <v>3840.5400000000004</v>
          </cell>
          <cell r="J746">
            <v>0</v>
          </cell>
          <cell r="K746">
            <v>0</v>
          </cell>
          <cell r="M746">
            <v>0</v>
          </cell>
          <cell r="P746">
            <v>3841</v>
          </cell>
          <cell r="V746" t="str">
            <v>Available</v>
          </cell>
        </row>
        <row r="747">
          <cell r="E747">
            <v>10030011</v>
          </cell>
          <cell r="H747">
            <v>91.2</v>
          </cell>
          <cell r="I747">
            <v>3943.46</v>
          </cell>
          <cell r="J747">
            <v>0</v>
          </cell>
          <cell r="K747">
            <v>0</v>
          </cell>
          <cell r="M747">
            <v>0</v>
          </cell>
          <cell r="P747">
            <v>3943</v>
          </cell>
          <cell r="V747" t="str">
            <v>Available</v>
          </cell>
        </row>
        <row r="748">
          <cell r="E748">
            <v>10030011</v>
          </cell>
          <cell r="H748">
            <v>82</v>
          </cell>
          <cell r="I748">
            <v>3609.19</v>
          </cell>
          <cell r="J748">
            <v>0</v>
          </cell>
          <cell r="K748">
            <v>0</v>
          </cell>
          <cell r="M748">
            <v>0</v>
          </cell>
          <cell r="P748">
            <v>3609</v>
          </cell>
          <cell r="V748" t="str">
            <v>Available</v>
          </cell>
        </row>
        <row r="749">
          <cell r="E749">
            <v>10030011</v>
          </cell>
          <cell r="H749">
            <v>90</v>
          </cell>
          <cell r="I749">
            <v>3962.83</v>
          </cell>
          <cell r="J749">
            <v>0</v>
          </cell>
          <cell r="K749">
            <v>0</v>
          </cell>
          <cell r="M749">
            <v>0</v>
          </cell>
          <cell r="P749">
            <v>3963</v>
          </cell>
          <cell r="V749" t="str">
            <v>Available</v>
          </cell>
        </row>
        <row r="750">
          <cell r="E750">
            <v>10030011</v>
          </cell>
          <cell r="H750">
            <v>92</v>
          </cell>
          <cell r="I750">
            <v>4047.9</v>
          </cell>
          <cell r="J750">
            <v>0</v>
          </cell>
          <cell r="K750">
            <v>0</v>
          </cell>
          <cell r="M750">
            <v>0</v>
          </cell>
          <cell r="P750">
            <v>4048</v>
          </cell>
          <cell r="V750" t="str">
            <v>Available</v>
          </cell>
        </row>
        <row r="751">
          <cell r="E751">
            <v>10030011</v>
          </cell>
          <cell r="H751">
            <v>62</v>
          </cell>
          <cell r="I751">
            <v>2678.86</v>
          </cell>
          <cell r="J751">
            <v>0</v>
          </cell>
          <cell r="K751">
            <v>0</v>
          </cell>
          <cell r="M751">
            <v>0</v>
          </cell>
          <cell r="P751">
            <v>2679</v>
          </cell>
          <cell r="V751" t="str">
            <v>Available</v>
          </cell>
        </row>
        <row r="752">
          <cell r="E752">
            <v>10030011</v>
          </cell>
          <cell r="H752">
            <v>78</v>
          </cell>
          <cell r="I752">
            <v>3418.22</v>
          </cell>
          <cell r="J752">
            <v>0</v>
          </cell>
          <cell r="K752">
            <v>0</v>
          </cell>
          <cell r="M752">
            <v>0</v>
          </cell>
          <cell r="P752">
            <v>3418</v>
          </cell>
          <cell r="V752" t="str">
            <v>Available</v>
          </cell>
        </row>
        <row r="753">
          <cell r="E753">
            <v>10030011</v>
          </cell>
          <cell r="H753">
            <v>90</v>
          </cell>
          <cell r="I753">
            <v>3959.4900000000002</v>
          </cell>
          <cell r="J753">
            <v>0</v>
          </cell>
          <cell r="K753">
            <v>0</v>
          </cell>
          <cell r="M753">
            <v>0</v>
          </cell>
          <cell r="P753">
            <v>3959</v>
          </cell>
          <cell r="V753" t="str">
            <v>Available</v>
          </cell>
        </row>
        <row r="754">
          <cell r="E754">
            <v>10030011</v>
          </cell>
          <cell r="H754">
            <v>60</v>
          </cell>
          <cell r="I754">
            <v>2592.4</v>
          </cell>
          <cell r="J754">
            <v>0</v>
          </cell>
          <cell r="K754">
            <v>0</v>
          </cell>
          <cell r="M754">
            <v>0</v>
          </cell>
          <cell r="P754">
            <v>2592</v>
          </cell>
          <cell r="V754" t="str">
            <v>Available</v>
          </cell>
        </row>
        <row r="755">
          <cell r="E755">
            <v>10030011</v>
          </cell>
          <cell r="H755">
            <v>25</v>
          </cell>
          <cell r="I755">
            <v>1055.52</v>
          </cell>
          <cell r="J755">
            <v>0</v>
          </cell>
          <cell r="K755">
            <v>0</v>
          </cell>
          <cell r="M755">
            <v>0</v>
          </cell>
          <cell r="P755">
            <v>1056</v>
          </cell>
          <cell r="V755" t="str">
            <v>Available</v>
          </cell>
        </row>
        <row r="756">
          <cell r="E756">
            <v>10030011</v>
          </cell>
          <cell r="H756">
            <v>71</v>
          </cell>
          <cell r="I756">
            <v>3096.84</v>
          </cell>
          <cell r="J756">
            <v>0</v>
          </cell>
          <cell r="K756">
            <v>0</v>
          </cell>
          <cell r="M756">
            <v>0</v>
          </cell>
          <cell r="P756">
            <v>3097</v>
          </cell>
          <cell r="V756" t="str">
            <v>Available</v>
          </cell>
        </row>
        <row r="757">
          <cell r="E757">
            <v>10030011</v>
          </cell>
          <cell r="H757">
            <v>83</v>
          </cell>
          <cell r="I757">
            <v>3647.71</v>
          </cell>
          <cell r="J757">
            <v>0</v>
          </cell>
          <cell r="K757">
            <v>0</v>
          </cell>
          <cell r="M757">
            <v>0</v>
          </cell>
          <cell r="P757">
            <v>3648</v>
          </cell>
          <cell r="V757" t="str">
            <v>Available</v>
          </cell>
        </row>
        <row r="758">
          <cell r="E758">
            <v>10030011</v>
          </cell>
          <cell r="H758">
            <v>42</v>
          </cell>
          <cell r="I758">
            <v>1789.08</v>
          </cell>
          <cell r="J758">
            <v>0</v>
          </cell>
          <cell r="K758">
            <v>0</v>
          </cell>
          <cell r="M758">
            <v>0</v>
          </cell>
          <cell r="P758">
            <v>1789</v>
          </cell>
          <cell r="V758" t="str">
            <v>Available</v>
          </cell>
        </row>
        <row r="759">
          <cell r="E759">
            <v>10030011</v>
          </cell>
          <cell r="H759">
            <v>42</v>
          </cell>
          <cell r="I759">
            <v>1789.08</v>
          </cell>
          <cell r="J759">
            <v>0</v>
          </cell>
          <cell r="K759">
            <v>0</v>
          </cell>
          <cell r="M759">
            <v>0</v>
          </cell>
          <cell r="P759">
            <v>1789</v>
          </cell>
          <cell r="V759" t="str">
            <v>Available</v>
          </cell>
        </row>
        <row r="760">
          <cell r="E760">
            <v>10030011</v>
          </cell>
          <cell r="H760">
            <v>42</v>
          </cell>
          <cell r="I760">
            <v>1789.08</v>
          </cell>
          <cell r="J760">
            <v>0</v>
          </cell>
          <cell r="K760">
            <v>0</v>
          </cell>
          <cell r="M760">
            <v>0</v>
          </cell>
          <cell r="P760">
            <v>1789</v>
          </cell>
          <cell r="V760" t="str">
            <v>Available</v>
          </cell>
        </row>
        <row r="761">
          <cell r="E761">
            <v>10030013</v>
          </cell>
          <cell r="H761">
            <v>18.22</v>
          </cell>
          <cell r="I761">
            <v>974.13</v>
          </cell>
          <cell r="J761">
            <v>0</v>
          </cell>
          <cell r="K761">
            <v>974.13</v>
          </cell>
          <cell r="M761">
            <v>0</v>
          </cell>
          <cell r="P761">
            <v>0</v>
          </cell>
          <cell r="V761" t="str">
            <v>Not Available</v>
          </cell>
        </row>
        <row r="762">
          <cell r="E762">
            <v>10030013</v>
          </cell>
          <cell r="H762">
            <v>80.78</v>
          </cell>
          <cell r="I762">
            <v>3898.1600000000003</v>
          </cell>
          <cell r="J762">
            <v>0</v>
          </cell>
          <cell r="K762">
            <v>0</v>
          </cell>
          <cell r="M762">
            <v>0</v>
          </cell>
          <cell r="P762">
            <v>1921</v>
          </cell>
          <cell r="V762" t="str">
            <v>Available</v>
          </cell>
        </row>
        <row r="763">
          <cell r="E763">
            <v>10030013</v>
          </cell>
          <cell r="H763">
            <v>70.86</v>
          </cell>
          <cell r="I763">
            <v>4405.8600000000006</v>
          </cell>
          <cell r="J763">
            <v>0</v>
          </cell>
          <cell r="K763">
            <v>0</v>
          </cell>
          <cell r="M763">
            <v>0</v>
          </cell>
          <cell r="P763">
            <v>4406</v>
          </cell>
          <cell r="V763" t="str">
            <v>Available</v>
          </cell>
        </row>
        <row r="764">
          <cell r="E764">
            <v>10030013</v>
          </cell>
          <cell r="H764">
            <v>4.66</v>
          </cell>
          <cell r="I764">
            <v>190.97</v>
          </cell>
          <cell r="J764">
            <v>0</v>
          </cell>
          <cell r="K764">
            <v>0</v>
          </cell>
          <cell r="M764">
            <v>0</v>
          </cell>
          <cell r="P764">
            <v>191</v>
          </cell>
          <cell r="V764" t="str">
            <v>Available</v>
          </cell>
        </row>
        <row r="765">
          <cell r="E765">
            <v>10030013</v>
          </cell>
          <cell r="H765">
            <v>6.0400000000000009</v>
          </cell>
          <cell r="I765">
            <v>406.96</v>
          </cell>
          <cell r="J765">
            <v>0</v>
          </cell>
          <cell r="K765">
            <v>0</v>
          </cell>
          <cell r="M765">
            <v>0</v>
          </cell>
          <cell r="P765">
            <v>407</v>
          </cell>
          <cell r="V765" t="str">
            <v>Available</v>
          </cell>
        </row>
        <row r="766">
          <cell r="E766">
            <v>10030013</v>
          </cell>
          <cell r="H766">
            <v>131.28</v>
          </cell>
          <cell r="I766">
            <v>8423.7199999999993</v>
          </cell>
          <cell r="J766">
            <v>0</v>
          </cell>
          <cell r="K766">
            <v>0</v>
          </cell>
          <cell r="M766">
            <v>0</v>
          </cell>
          <cell r="P766">
            <v>8424</v>
          </cell>
          <cell r="V766" t="str">
            <v>Available</v>
          </cell>
        </row>
        <row r="767">
          <cell r="E767">
            <v>10030013</v>
          </cell>
          <cell r="H767">
            <v>71.320000000000007</v>
          </cell>
          <cell r="I767">
            <v>3989.8299999999995</v>
          </cell>
          <cell r="J767">
            <v>0</v>
          </cell>
          <cell r="K767">
            <v>0</v>
          </cell>
          <cell r="M767">
            <v>0</v>
          </cell>
          <cell r="P767">
            <v>3990</v>
          </cell>
          <cell r="V767" t="str">
            <v>Available</v>
          </cell>
        </row>
        <row r="768">
          <cell r="E768">
            <v>10030013</v>
          </cell>
          <cell r="H768">
            <v>75.95999999999998</v>
          </cell>
          <cell r="I768">
            <v>4006.01</v>
          </cell>
          <cell r="J768">
            <v>0</v>
          </cell>
          <cell r="K768">
            <v>0</v>
          </cell>
          <cell r="M768">
            <v>0</v>
          </cell>
          <cell r="P768">
            <v>4006</v>
          </cell>
          <cell r="V768" t="str">
            <v>Available</v>
          </cell>
        </row>
        <row r="769">
          <cell r="E769">
            <v>10030013</v>
          </cell>
          <cell r="H769">
            <v>62.440000000000005</v>
          </cell>
          <cell r="I769">
            <v>2581.33</v>
          </cell>
          <cell r="J769">
            <v>0</v>
          </cell>
          <cell r="K769">
            <v>0</v>
          </cell>
          <cell r="M769">
            <v>0</v>
          </cell>
          <cell r="P769">
            <v>2581</v>
          </cell>
          <cell r="V769" t="str">
            <v>Available</v>
          </cell>
        </row>
        <row r="770">
          <cell r="E770">
            <v>10030013</v>
          </cell>
          <cell r="H770">
            <v>26.78</v>
          </cell>
          <cell r="I770">
            <v>2012.7399999999998</v>
          </cell>
          <cell r="J770">
            <v>0</v>
          </cell>
          <cell r="K770">
            <v>0</v>
          </cell>
          <cell r="M770">
            <v>0</v>
          </cell>
          <cell r="P770">
            <v>2013</v>
          </cell>
          <cell r="V770" t="str">
            <v>Available</v>
          </cell>
        </row>
        <row r="771">
          <cell r="E771">
            <v>10030013</v>
          </cell>
          <cell r="H771">
            <v>62.20000000000001</v>
          </cell>
          <cell r="I771">
            <v>4080.78</v>
          </cell>
          <cell r="J771">
            <v>0</v>
          </cell>
          <cell r="K771">
            <v>0</v>
          </cell>
          <cell r="M771">
            <v>0</v>
          </cell>
          <cell r="P771">
            <v>4081</v>
          </cell>
          <cell r="V771" t="str">
            <v>Available</v>
          </cell>
        </row>
        <row r="772">
          <cell r="E772">
            <v>10030013</v>
          </cell>
          <cell r="H772">
            <v>19.439999999999998</v>
          </cell>
          <cell r="I772">
            <v>870.86</v>
          </cell>
          <cell r="J772">
            <v>0</v>
          </cell>
          <cell r="K772">
            <v>0</v>
          </cell>
          <cell r="M772">
            <v>0</v>
          </cell>
          <cell r="P772">
            <v>871</v>
          </cell>
          <cell r="V772" t="str">
            <v>Available</v>
          </cell>
        </row>
        <row r="773">
          <cell r="E773">
            <v>10030016</v>
          </cell>
          <cell r="H773">
            <v>8.16</v>
          </cell>
          <cell r="I773">
            <v>339.7</v>
          </cell>
          <cell r="J773">
            <v>0</v>
          </cell>
          <cell r="K773">
            <v>339.7</v>
          </cell>
          <cell r="M773">
            <v>0</v>
          </cell>
          <cell r="P773">
            <v>0</v>
          </cell>
          <cell r="V773" t="str">
            <v>Not Available</v>
          </cell>
        </row>
        <row r="774">
          <cell r="E774">
            <v>10030016</v>
          </cell>
          <cell r="H774">
            <v>91.62</v>
          </cell>
          <cell r="I774">
            <v>5138.67</v>
          </cell>
          <cell r="J774">
            <v>0</v>
          </cell>
          <cell r="K774">
            <v>0</v>
          </cell>
          <cell r="M774">
            <v>0</v>
          </cell>
          <cell r="P774">
            <v>3362</v>
          </cell>
          <cell r="V774" t="str">
            <v>Available</v>
          </cell>
        </row>
        <row r="775">
          <cell r="E775">
            <v>10030016</v>
          </cell>
          <cell r="H775">
            <v>45.4</v>
          </cell>
          <cell r="I775">
            <v>2321.21</v>
          </cell>
          <cell r="J775">
            <v>0</v>
          </cell>
          <cell r="K775">
            <v>0</v>
          </cell>
          <cell r="M775">
            <v>0</v>
          </cell>
          <cell r="P775">
            <v>2321</v>
          </cell>
          <cell r="V775" t="str">
            <v>Available</v>
          </cell>
        </row>
        <row r="776">
          <cell r="E776">
            <v>10030016</v>
          </cell>
          <cell r="H776">
            <v>129.46</v>
          </cell>
          <cell r="I776">
            <v>5609.19</v>
          </cell>
          <cell r="J776">
            <v>0</v>
          </cell>
          <cell r="K776">
            <v>0</v>
          </cell>
          <cell r="M776">
            <v>0</v>
          </cell>
          <cell r="P776">
            <v>5609</v>
          </cell>
          <cell r="V776" t="str">
            <v>Not Available</v>
          </cell>
        </row>
        <row r="777">
          <cell r="E777">
            <v>10030016</v>
          </cell>
          <cell r="H777">
            <v>116.70999999999998</v>
          </cell>
          <cell r="I777">
            <v>4941.170000000001</v>
          </cell>
          <cell r="J777">
            <v>0</v>
          </cell>
          <cell r="K777">
            <v>0</v>
          </cell>
          <cell r="M777">
            <v>0</v>
          </cell>
          <cell r="P777">
            <v>4941</v>
          </cell>
          <cell r="V777" t="str">
            <v>Not Available</v>
          </cell>
        </row>
        <row r="778">
          <cell r="E778">
            <v>10030016</v>
          </cell>
          <cell r="H778">
            <v>118.79999999999998</v>
          </cell>
          <cell r="I778">
            <v>5125.62</v>
          </cell>
          <cell r="J778">
            <v>0</v>
          </cell>
          <cell r="K778">
            <v>0</v>
          </cell>
          <cell r="M778">
            <v>0</v>
          </cell>
          <cell r="P778">
            <v>5126</v>
          </cell>
          <cell r="V778" t="str">
            <v>Not Available</v>
          </cell>
        </row>
        <row r="779">
          <cell r="E779">
            <v>10030016</v>
          </cell>
          <cell r="H779">
            <v>109.03999999999999</v>
          </cell>
          <cell r="I779">
            <v>5177.8899999999994</v>
          </cell>
          <cell r="J779">
            <v>0</v>
          </cell>
          <cell r="K779">
            <v>0</v>
          </cell>
          <cell r="M779">
            <v>0</v>
          </cell>
          <cell r="P779">
            <v>5178</v>
          </cell>
          <cell r="V779" t="str">
            <v>Not Available</v>
          </cell>
        </row>
        <row r="780">
          <cell r="E780">
            <v>10030016</v>
          </cell>
          <cell r="H780">
            <v>99.510000000000019</v>
          </cell>
          <cell r="I780">
            <v>5011.82</v>
          </cell>
          <cell r="J780">
            <v>0</v>
          </cell>
          <cell r="K780">
            <v>0</v>
          </cell>
          <cell r="M780">
            <v>0</v>
          </cell>
          <cell r="P780">
            <v>5012</v>
          </cell>
          <cell r="V780" t="str">
            <v>Not Available</v>
          </cell>
        </row>
        <row r="781">
          <cell r="E781">
            <v>10030016</v>
          </cell>
          <cell r="H781">
            <v>116.78</v>
          </cell>
          <cell r="I781">
            <v>5355.6900000000005</v>
          </cell>
          <cell r="J781">
            <v>0</v>
          </cell>
          <cell r="K781">
            <v>0</v>
          </cell>
          <cell r="M781">
            <v>0</v>
          </cell>
          <cell r="P781">
            <v>5356</v>
          </cell>
          <cell r="V781" t="str">
            <v>Not Available</v>
          </cell>
        </row>
        <row r="782">
          <cell r="E782">
            <v>10030016</v>
          </cell>
          <cell r="H782">
            <v>111.80000000000001</v>
          </cell>
          <cell r="I782">
            <v>4661.41</v>
          </cell>
          <cell r="J782">
            <v>0</v>
          </cell>
          <cell r="K782">
            <v>0</v>
          </cell>
          <cell r="M782">
            <v>0</v>
          </cell>
          <cell r="P782">
            <v>4661</v>
          </cell>
          <cell r="V782" t="str">
            <v>Not Available</v>
          </cell>
        </row>
        <row r="783">
          <cell r="E783">
            <v>10030016</v>
          </cell>
          <cell r="H783">
            <v>4.84</v>
          </cell>
          <cell r="I783">
            <v>177.63</v>
          </cell>
          <cell r="J783">
            <v>0</v>
          </cell>
          <cell r="K783">
            <v>0</v>
          </cell>
          <cell r="M783">
            <v>0</v>
          </cell>
          <cell r="P783">
            <v>178</v>
          </cell>
          <cell r="V783" t="str">
            <v>Available</v>
          </cell>
        </row>
        <row r="784">
          <cell r="E784">
            <v>10030016</v>
          </cell>
          <cell r="H784">
            <v>127.75</v>
          </cell>
          <cell r="I784">
            <v>5343.56</v>
          </cell>
          <cell r="J784">
            <v>0</v>
          </cell>
          <cell r="K784">
            <v>0</v>
          </cell>
          <cell r="M784">
            <v>0</v>
          </cell>
          <cell r="P784">
            <v>5344</v>
          </cell>
          <cell r="V784" t="str">
            <v>Not Available</v>
          </cell>
        </row>
        <row r="785">
          <cell r="E785">
            <v>10030017</v>
          </cell>
          <cell r="H785">
            <v>34.680000000000007</v>
          </cell>
          <cell r="I785">
            <v>1861.1399999999996</v>
          </cell>
          <cell r="J785">
            <v>0</v>
          </cell>
          <cell r="K785">
            <v>1861.1399999999996</v>
          </cell>
          <cell r="M785">
            <v>0</v>
          </cell>
          <cell r="P785">
            <v>0</v>
          </cell>
          <cell r="V785" t="str">
            <v>Not Available</v>
          </cell>
        </row>
        <row r="786">
          <cell r="E786">
            <v>10030017</v>
          </cell>
          <cell r="H786">
            <v>199.20999999999998</v>
          </cell>
          <cell r="I786">
            <v>12081.73</v>
          </cell>
          <cell r="J786">
            <v>0</v>
          </cell>
          <cell r="K786">
            <v>0</v>
          </cell>
          <cell r="M786">
            <v>0</v>
          </cell>
          <cell r="P786">
            <v>11617</v>
          </cell>
          <cell r="V786" t="str">
            <v>Available</v>
          </cell>
        </row>
        <row r="787">
          <cell r="E787">
            <v>10030017</v>
          </cell>
          <cell r="H787">
            <v>123.86</v>
          </cell>
          <cell r="I787">
            <v>5165.21</v>
          </cell>
          <cell r="J787">
            <v>0</v>
          </cell>
          <cell r="K787">
            <v>0</v>
          </cell>
          <cell r="M787">
            <v>0</v>
          </cell>
          <cell r="P787">
            <v>5165</v>
          </cell>
          <cell r="V787" t="str">
            <v>Available</v>
          </cell>
        </row>
        <row r="788">
          <cell r="E788">
            <v>10030017</v>
          </cell>
          <cell r="H788">
            <v>7.04</v>
          </cell>
          <cell r="I788">
            <v>232.54000000000002</v>
          </cell>
          <cell r="J788">
            <v>0</v>
          </cell>
          <cell r="K788">
            <v>0</v>
          </cell>
          <cell r="M788">
            <v>0</v>
          </cell>
          <cell r="P788">
            <v>233</v>
          </cell>
          <cell r="V788" t="str">
            <v>Available</v>
          </cell>
        </row>
        <row r="789">
          <cell r="E789">
            <v>10030017</v>
          </cell>
          <cell r="H789">
            <v>175.07999999999998</v>
          </cell>
          <cell r="I789">
            <v>10308.620000000003</v>
          </cell>
          <cell r="J789">
            <v>0</v>
          </cell>
          <cell r="K789">
            <v>0</v>
          </cell>
          <cell r="M789">
            <v>0</v>
          </cell>
          <cell r="P789">
            <v>10309</v>
          </cell>
          <cell r="V789" t="str">
            <v>Available</v>
          </cell>
        </row>
        <row r="790">
          <cell r="E790">
            <v>10030017</v>
          </cell>
          <cell r="H790">
            <v>6.5500000000000007</v>
          </cell>
          <cell r="I790">
            <v>217.78</v>
          </cell>
          <cell r="J790">
            <v>0</v>
          </cell>
          <cell r="K790">
            <v>0</v>
          </cell>
          <cell r="M790">
            <v>0</v>
          </cell>
          <cell r="P790">
            <v>218</v>
          </cell>
          <cell r="V790" t="str">
            <v>Available</v>
          </cell>
        </row>
        <row r="791">
          <cell r="E791">
            <v>10030017</v>
          </cell>
          <cell r="H791">
            <v>6.3000000000000007</v>
          </cell>
          <cell r="I791">
            <v>223.02999999999997</v>
          </cell>
          <cell r="J791">
            <v>0</v>
          </cell>
          <cell r="K791">
            <v>0</v>
          </cell>
          <cell r="M791">
            <v>0</v>
          </cell>
          <cell r="P791">
            <v>223</v>
          </cell>
          <cell r="V791" t="str">
            <v>Available</v>
          </cell>
        </row>
        <row r="792">
          <cell r="E792">
            <v>10030017</v>
          </cell>
          <cell r="H792">
            <v>3.44</v>
          </cell>
          <cell r="I792">
            <v>177.66</v>
          </cell>
          <cell r="J792">
            <v>0</v>
          </cell>
          <cell r="K792">
            <v>0</v>
          </cell>
          <cell r="M792">
            <v>0</v>
          </cell>
          <cell r="P792">
            <v>178</v>
          </cell>
          <cell r="V792" t="str">
            <v>Available</v>
          </cell>
        </row>
        <row r="793">
          <cell r="E793">
            <v>10030017</v>
          </cell>
          <cell r="H793">
            <v>4.45</v>
          </cell>
          <cell r="I793">
            <v>335.53000000000003</v>
          </cell>
          <cell r="J793">
            <v>0</v>
          </cell>
          <cell r="K793">
            <v>0</v>
          </cell>
          <cell r="M793">
            <v>0</v>
          </cell>
          <cell r="P793">
            <v>336</v>
          </cell>
          <cell r="V793" t="str">
            <v>Available</v>
          </cell>
        </row>
        <row r="794">
          <cell r="E794">
            <v>10030017</v>
          </cell>
          <cell r="H794">
            <v>56.769999999999996</v>
          </cell>
          <cell r="I794">
            <v>1914.29</v>
          </cell>
          <cell r="J794">
            <v>0</v>
          </cell>
          <cell r="K794">
            <v>0</v>
          </cell>
          <cell r="M794">
            <v>0</v>
          </cell>
          <cell r="P794">
            <v>1914</v>
          </cell>
          <cell r="V794" t="str">
            <v>Available</v>
          </cell>
        </row>
        <row r="795">
          <cell r="E795">
            <v>10030017</v>
          </cell>
          <cell r="H795">
            <v>30.600000000000005</v>
          </cell>
          <cell r="I795">
            <v>1541.61</v>
          </cell>
          <cell r="J795">
            <v>0</v>
          </cell>
          <cell r="K795">
            <v>0</v>
          </cell>
          <cell r="M795">
            <v>0</v>
          </cell>
          <cell r="P795">
            <v>1542</v>
          </cell>
          <cell r="V795" t="str">
            <v>Available</v>
          </cell>
        </row>
        <row r="796">
          <cell r="E796">
            <v>10030017</v>
          </cell>
          <cell r="H796">
            <v>4.8499999999999996</v>
          </cell>
          <cell r="I796">
            <v>279.44</v>
          </cell>
          <cell r="J796">
            <v>0</v>
          </cell>
          <cell r="K796">
            <v>0</v>
          </cell>
          <cell r="M796">
            <v>0</v>
          </cell>
          <cell r="P796">
            <v>279</v>
          </cell>
          <cell r="V796" t="str">
            <v>Available</v>
          </cell>
        </row>
        <row r="797">
          <cell r="E797">
            <v>10030017</v>
          </cell>
          <cell r="H797">
            <v>6.34</v>
          </cell>
          <cell r="I797">
            <v>264.65999999999997</v>
          </cell>
          <cell r="J797">
            <v>0</v>
          </cell>
          <cell r="K797">
            <v>0</v>
          </cell>
          <cell r="M797">
            <v>0</v>
          </cell>
          <cell r="P797">
            <v>265</v>
          </cell>
          <cell r="V797" t="str">
            <v>Available</v>
          </cell>
        </row>
        <row r="798">
          <cell r="E798">
            <v>10030017</v>
          </cell>
          <cell r="H798">
            <v>48.530000000000008</v>
          </cell>
          <cell r="I798">
            <v>2719.21</v>
          </cell>
          <cell r="J798">
            <v>0</v>
          </cell>
          <cell r="K798">
            <v>0</v>
          </cell>
          <cell r="M798">
            <v>0</v>
          </cell>
          <cell r="P798">
            <v>2719</v>
          </cell>
          <cell r="V798" t="str">
            <v>Available</v>
          </cell>
        </row>
        <row r="799">
          <cell r="E799">
            <v>10030017</v>
          </cell>
          <cell r="H799">
            <v>19.2</v>
          </cell>
          <cell r="I799">
            <v>736.5100000000001</v>
          </cell>
          <cell r="J799">
            <v>0</v>
          </cell>
          <cell r="K799">
            <v>0</v>
          </cell>
          <cell r="M799">
            <v>0</v>
          </cell>
          <cell r="P799">
            <v>737</v>
          </cell>
          <cell r="V799" t="str">
            <v>Available</v>
          </cell>
        </row>
        <row r="800">
          <cell r="E800">
            <v>10030017</v>
          </cell>
          <cell r="H800">
            <v>12.040000000000001</v>
          </cell>
          <cell r="I800">
            <v>433.95</v>
          </cell>
          <cell r="J800">
            <v>0</v>
          </cell>
          <cell r="K800">
            <v>0</v>
          </cell>
          <cell r="M800">
            <v>0</v>
          </cell>
          <cell r="P800">
            <v>434</v>
          </cell>
          <cell r="V800" t="str">
            <v>Available</v>
          </cell>
        </row>
        <row r="801">
          <cell r="E801">
            <v>10030017</v>
          </cell>
          <cell r="H801">
            <v>11.96</v>
          </cell>
          <cell r="I801">
            <v>963.63</v>
          </cell>
          <cell r="J801">
            <v>0</v>
          </cell>
          <cell r="K801">
            <v>0</v>
          </cell>
          <cell r="M801">
            <v>0</v>
          </cell>
          <cell r="P801">
            <v>964</v>
          </cell>
          <cell r="V801" t="str">
            <v>Available</v>
          </cell>
        </row>
        <row r="802">
          <cell r="E802">
            <v>10030017</v>
          </cell>
          <cell r="H802">
            <v>12.56</v>
          </cell>
          <cell r="I802">
            <v>541.46999999999991</v>
          </cell>
          <cell r="J802">
            <v>0</v>
          </cell>
          <cell r="K802">
            <v>0</v>
          </cell>
          <cell r="M802">
            <v>0</v>
          </cell>
          <cell r="P802">
            <v>541</v>
          </cell>
          <cell r="V802" t="str">
            <v>Available</v>
          </cell>
        </row>
        <row r="803">
          <cell r="E803">
            <v>10030017</v>
          </cell>
          <cell r="H803">
            <v>24.220000000000002</v>
          </cell>
          <cell r="I803">
            <v>814.41</v>
          </cell>
          <cell r="J803">
            <v>0</v>
          </cell>
          <cell r="K803">
            <v>0</v>
          </cell>
          <cell r="M803">
            <v>0</v>
          </cell>
          <cell r="P803">
            <v>814</v>
          </cell>
          <cell r="V803" t="str">
            <v>Available</v>
          </cell>
        </row>
        <row r="804">
          <cell r="E804">
            <v>10030017</v>
          </cell>
          <cell r="H804">
            <v>70.13</v>
          </cell>
          <cell r="I804">
            <v>3317.19</v>
          </cell>
          <cell r="J804">
            <v>0</v>
          </cell>
          <cell r="K804">
            <v>0</v>
          </cell>
          <cell r="M804">
            <v>0</v>
          </cell>
          <cell r="P804">
            <v>3317</v>
          </cell>
          <cell r="V804" t="str">
            <v>Available</v>
          </cell>
        </row>
        <row r="805">
          <cell r="E805">
            <v>10030017</v>
          </cell>
          <cell r="H805">
            <v>6.3</v>
          </cell>
          <cell r="I805">
            <v>508.69</v>
          </cell>
          <cell r="J805">
            <v>0</v>
          </cell>
          <cell r="K805">
            <v>0</v>
          </cell>
          <cell r="M805">
            <v>0</v>
          </cell>
          <cell r="P805">
            <v>509</v>
          </cell>
          <cell r="V805" t="str">
            <v>Available</v>
          </cell>
        </row>
        <row r="806">
          <cell r="E806">
            <v>10030017</v>
          </cell>
          <cell r="H806">
            <v>14.04</v>
          </cell>
          <cell r="I806">
            <v>531.39</v>
          </cell>
          <cell r="J806">
            <v>0</v>
          </cell>
          <cell r="K806">
            <v>0</v>
          </cell>
          <cell r="M806">
            <v>0</v>
          </cell>
          <cell r="P806">
            <v>531</v>
          </cell>
          <cell r="V806" t="str">
            <v>Available</v>
          </cell>
        </row>
        <row r="807">
          <cell r="E807">
            <v>10030017</v>
          </cell>
          <cell r="H807">
            <v>24.310000000000002</v>
          </cell>
          <cell r="I807">
            <v>1185.71</v>
          </cell>
          <cell r="J807">
            <v>0</v>
          </cell>
          <cell r="K807">
            <v>0</v>
          </cell>
          <cell r="M807">
            <v>0</v>
          </cell>
          <cell r="P807">
            <v>1186</v>
          </cell>
          <cell r="V807" t="str">
            <v>Available</v>
          </cell>
        </row>
        <row r="808">
          <cell r="E808">
            <v>10030017</v>
          </cell>
          <cell r="H808">
            <v>37.22999999999999</v>
          </cell>
          <cell r="I808">
            <v>2238.3200000000002</v>
          </cell>
          <cell r="J808">
            <v>0</v>
          </cell>
          <cell r="K808">
            <v>0</v>
          </cell>
          <cell r="M808">
            <v>0</v>
          </cell>
          <cell r="P808">
            <v>2238</v>
          </cell>
          <cell r="V808" t="str">
            <v>Available</v>
          </cell>
        </row>
        <row r="809">
          <cell r="E809">
            <v>10030017</v>
          </cell>
          <cell r="H809">
            <v>10.549999999999999</v>
          </cell>
          <cell r="I809">
            <v>431.81</v>
          </cell>
          <cell r="J809">
            <v>0</v>
          </cell>
          <cell r="K809">
            <v>0</v>
          </cell>
          <cell r="M809">
            <v>0</v>
          </cell>
          <cell r="P809">
            <v>432</v>
          </cell>
          <cell r="V809" t="str">
            <v>Available</v>
          </cell>
        </row>
        <row r="810">
          <cell r="E810">
            <v>10030017</v>
          </cell>
          <cell r="H810">
            <v>28.82</v>
          </cell>
          <cell r="I810">
            <v>1956.71</v>
          </cell>
          <cell r="J810">
            <v>0</v>
          </cell>
          <cell r="K810">
            <v>0</v>
          </cell>
          <cell r="M810">
            <v>0</v>
          </cell>
          <cell r="P810">
            <v>1957</v>
          </cell>
          <cell r="V810" t="str">
            <v>Available</v>
          </cell>
        </row>
        <row r="811">
          <cell r="E811">
            <v>10030017</v>
          </cell>
          <cell r="H811">
            <v>32.489999999999995</v>
          </cell>
          <cell r="I811">
            <v>1378.14</v>
          </cell>
          <cell r="J811">
            <v>0</v>
          </cell>
          <cell r="K811">
            <v>0</v>
          </cell>
          <cell r="M811">
            <v>0</v>
          </cell>
          <cell r="P811">
            <v>1378</v>
          </cell>
          <cell r="V811" t="str">
            <v>Available</v>
          </cell>
        </row>
        <row r="812">
          <cell r="E812">
            <v>10030017</v>
          </cell>
          <cell r="H812">
            <v>9.36</v>
          </cell>
          <cell r="I812">
            <v>538.28000000000009</v>
          </cell>
          <cell r="J812">
            <v>0</v>
          </cell>
          <cell r="K812">
            <v>0</v>
          </cell>
          <cell r="M812">
            <v>0</v>
          </cell>
          <cell r="P812">
            <v>538</v>
          </cell>
          <cell r="V812" t="str">
            <v>Available</v>
          </cell>
        </row>
        <row r="813">
          <cell r="E813">
            <v>10030017</v>
          </cell>
          <cell r="H813">
            <v>102.22999999999998</v>
          </cell>
          <cell r="I813">
            <v>4806.88</v>
          </cell>
          <cell r="J813">
            <v>0</v>
          </cell>
          <cell r="K813">
            <v>0</v>
          </cell>
          <cell r="M813">
            <v>0</v>
          </cell>
          <cell r="P813">
            <v>4807</v>
          </cell>
          <cell r="V813" t="str">
            <v>Available</v>
          </cell>
        </row>
        <row r="814">
          <cell r="E814">
            <v>10030017</v>
          </cell>
          <cell r="H814">
            <v>18.089999999999996</v>
          </cell>
          <cell r="I814">
            <v>847.61</v>
          </cell>
          <cell r="J814">
            <v>0</v>
          </cell>
          <cell r="K814">
            <v>0</v>
          </cell>
          <cell r="M814">
            <v>0</v>
          </cell>
          <cell r="P814">
            <v>848</v>
          </cell>
          <cell r="V814" t="str">
            <v>Available</v>
          </cell>
        </row>
        <row r="815">
          <cell r="E815">
            <v>10030017</v>
          </cell>
          <cell r="H815">
            <v>5.5</v>
          </cell>
          <cell r="I815">
            <v>267.61</v>
          </cell>
          <cell r="J815">
            <v>0</v>
          </cell>
          <cell r="K815">
            <v>0</v>
          </cell>
          <cell r="M815">
            <v>0</v>
          </cell>
          <cell r="P815">
            <v>268</v>
          </cell>
          <cell r="V815" t="str">
            <v>Available</v>
          </cell>
        </row>
        <row r="816">
          <cell r="E816">
            <v>10030017</v>
          </cell>
          <cell r="H816">
            <v>6.7000000000000011</v>
          </cell>
          <cell r="I816">
            <v>398.37</v>
          </cell>
          <cell r="J816">
            <v>0</v>
          </cell>
          <cell r="K816">
            <v>0</v>
          </cell>
          <cell r="M816">
            <v>0</v>
          </cell>
          <cell r="P816">
            <v>398</v>
          </cell>
          <cell r="V816" t="str">
            <v>Available</v>
          </cell>
        </row>
        <row r="817">
          <cell r="E817">
            <v>10030017</v>
          </cell>
          <cell r="H817">
            <v>27.009999999999998</v>
          </cell>
          <cell r="I817">
            <v>1584.0500000000002</v>
          </cell>
          <cell r="J817">
            <v>0</v>
          </cell>
          <cell r="K817">
            <v>0</v>
          </cell>
          <cell r="M817">
            <v>0</v>
          </cell>
          <cell r="P817">
            <v>1584</v>
          </cell>
          <cell r="V817" t="str">
            <v>Available</v>
          </cell>
        </row>
        <row r="818">
          <cell r="E818">
            <v>10030017</v>
          </cell>
          <cell r="H818">
            <v>57.219999999999992</v>
          </cell>
          <cell r="I818">
            <v>2113.75</v>
          </cell>
          <cell r="J818">
            <v>0</v>
          </cell>
          <cell r="K818">
            <v>0</v>
          </cell>
          <cell r="M818">
            <v>0</v>
          </cell>
          <cell r="P818">
            <v>2114</v>
          </cell>
          <cell r="V818" t="str">
            <v>Available</v>
          </cell>
        </row>
        <row r="819">
          <cell r="E819">
            <v>10030017</v>
          </cell>
          <cell r="H819">
            <v>12.120000000000001</v>
          </cell>
          <cell r="I819">
            <v>754.19000000000017</v>
          </cell>
          <cell r="J819">
            <v>0</v>
          </cell>
          <cell r="K819">
            <v>0</v>
          </cell>
          <cell r="M819">
            <v>0</v>
          </cell>
          <cell r="P819">
            <v>754</v>
          </cell>
          <cell r="V819" t="str">
            <v>Available</v>
          </cell>
        </row>
        <row r="820">
          <cell r="E820">
            <v>10030017</v>
          </cell>
          <cell r="H820">
            <v>11.39</v>
          </cell>
          <cell r="I820">
            <v>449.39</v>
          </cell>
          <cell r="J820">
            <v>0</v>
          </cell>
          <cell r="K820">
            <v>0</v>
          </cell>
          <cell r="M820">
            <v>0</v>
          </cell>
          <cell r="P820">
            <v>449</v>
          </cell>
          <cell r="V820" t="str">
            <v>Available</v>
          </cell>
        </row>
        <row r="821">
          <cell r="E821">
            <v>10030017</v>
          </cell>
          <cell r="H821">
            <v>74.850000000000009</v>
          </cell>
          <cell r="I821">
            <v>3509.36</v>
          </cell>
          <cell r="J821">
            <v>0</v>
          </cell>
          <cell r="K821">
            <v>0</v>
          </cell>
          <cell r="M821">
            <v>0</v>
          </cell>
          <cell r="P821">
            <v>3509</v>
          </cell>
          <cell r="V821" t="str">
            <v>Available</v>
          </cell>
        </row>
        <row r="822">
          <cell r="E822">
            <v>10030018</v>
          </cell>
          <cell r="H822">
            <v>22.369999999999997</v>
          </cell>
          <cell r="I822">
            <v>942.58000000000027</v>
          </cell>
          <cell r="J822">
            <v>0</v>
          </cell>
          <cell r="K822">
            <v>942.58000000000027</v>
          </cell>
          <cell r="M822">
            <v>0</v>
          </cell>
          <cell r="P822">
            <v>0</v>
          </cell>
          <cell r="V822" t="str">
            <v>Not Available</v>
          </cell>
        </row>
        <row r="823">
          <cell r="E823">
            <v>10030018</v>
          </cell>
          <cell r="H823">
            <v>50.309999999999995</v>
          </cell>
          <cell r="I823">
            <v>2330.34</v>
          </cell>
          <cell r="J823">
            <v>0</v>
          </cell>
          <cell r="K823">
            <v>0</v>
          </cell>
          <cell r="M823">
            <v>0</v>
          </cell>
          <cell r="P823">
            <v>409</v>
          </cell>
          <cell r="V823" t="str">
            <v>Available</v>
          </cell>
        </row>
        <row r="824">
          <cell r="E824">
            <v>10030018</v>
          </cell>
          <cell r="H824">
            <v>9.4</v>
          </cell>
          <cell r="I824">
            <v>375.14000000000004</v>
          </cell>
          <cell r="J824">
            <v>0</v>
          </cell>
          <cell r="K824">
            <v>0</v>
          </cell>
          <cell r="M824">
            <v>0</v>
          </cell>
          <cell r="P824">
            <v>375</v>
          </cell>
          <cell r="V824" t="str">
            <v>Available</v>
          </cell>
        </row>
        <row r="825">
          <cell r="E825">
            <v>10030018</v>
          </cell>
          <cell r="H825">
            <v>2.59</v>
          </cell>
          <cell r="I825">
            <v>84.759999999999991</v>
          </cell>
          <cell r="J825">
            <v>0</v>
          </cell>
          <cell r="K825">
            <v>0</v>
          </cell>
          <cell r="M825">
            <v>0</v>
          </cell>
          <cell r="P825">
            <v>85</v>
          </cell>
          <cell r="V825" t="str">
            <v>Available</v>
          </cell>
        </row>
        <row r="826">
          <cell r="E826">
            <v>10030018</v>
          </cell>
          <cell r="H826">
            <v>19.46</v>
          </cell>
          <cell r="I826">
            <v>925.2</v>
          </cell>
          <cell r="J826">
            <v>0</v>
          </cell>
          <cell r="K826">
            <v>0</v>
          </cell>
          <cell r="M826">
            <v>0</v>
          </cell>
          <cell r="P826">
            <v>925</v>
          </cell>
          <cell r="V826" t="str">
            <v>Available</v>
          </cell>
        </row>
        <row r="827">
          <cell r="E827">
            <v>10030018</v>
          </cell>
          <cell r="H827">
            <v>17.309999999999999</v>
          </cell>
          <cell r="I827">
            <v>833.66999999999985</v>
          </cell>
          <cell r="J827">
            <v>0</v>
          </cell>
          <cell r="K827">
            <v>0</v>
          </cell>
          <cell r="M827">
            <v>0</v>
          </cell>
          <cell r="P827">
            <v>834</v>
          </cell>
          <cell r="V827" t="str">
            <v>Available</v>
          </cell>
        </row>
        <row r="828">
          <cell r="E828">
            <v>10030018</v>
          </cell>
          <cell r="H828">
            <v>77.299999999999983</v>
          </cell>
          <cell r="I828">
            <v>3136.7400000000002</v>
          </cell>
          <cell r="J828">
            <v>0</v>
          </cell>
          <cell r="K828">
            <v>0</v>
          </cell>
          <cell r="M828">
            <v>0</v>
          </cell>
          <cell r="P828">
            <v>3137</v>
          </cell>
          <cell r="V828" t="str">
            <v>Available</v>
          </cell>
        </row>
        <row r="829">
          <cell r="E829">
            <v>10030018</v>
          </cell>
          <cell r="H829">
            <v>110.60999999999999</v>
          </cell>
          <cell r="I829">
            <v>4507.6400000000003</v>
          </cell>
          <cell r="J829">
            <v>0</v>
          </cell>
          <cell r="K829">
            <v>0</v>
          </cell>
          <cell r="M829">
            <v>0</v>
          </cell>
          <cell r="P829">
            <v>4508</v>
          </cell>
          <cell r="V829" t="str">
            <v>Available</v>
          </cell>
        </row>
        <row r="830">
          <cell r="E830">
            <v>10030018</v>
          </cell>
          <cell r="H830">
            <v>7.2</v>
          </cell>
          <cell r="I830">
            <v>292.7</v>
          </cell>
          <cell r="J830">
            <v>0</v>
          </cell>
          <cell r="K830">
            <v>0</v>
          </cell>
          <cell r="M830">
            <v>0</v>
          </cell>
          <cell r="P830">
            <v>293</v>
          </cell>
          <cell r="V830" t="str">
            <v>Available</v>
          </cell>
        </row>
        <row r="831">
          <cell r="E831">
            <v>10030018</v>
          </cell>
          <cell r="H831">
            <v>33.04999999999999</v>
          </cell>
          <cell r="I831">
            <v>1838.53</v>
          </cell>
          <cell r="J831">
            <v>0</v>
          </cell>
          <cell r="K831">
            <v>0</v>
          </cell>
          <cell r="M831">
            <v>0</v>
          </cell>
          <cell r="P831">
            <v>1839</v>
          </cell>
          <cell r="V831" t="str">
            <v>Available</v>
          </cell>
        </row>
        <row r="832">
          <cell r="E832">
            <v>10030018</v>
          </cell>
          <cell r="H832">
            <v>34.409999999999997</v>
          </cell>
          <cell r="I832">
            <v>2503.3000000000002</v>
          </cell>
          <cell r="J832">
            <v>0</v>
          </cell>
          <cell r="K832">
            <v>0</v>
          </cell>
          <cell r="M832">
            <v>0</v>
          </cell>
          <cell r="P832">
            <v>2503</v>
          </cell>
          <cell r="V832" t="str">
            <v>Available</v>
          </cell>
        </row>
        <row r="833">
          <cell r="E833">
            <v>10030018</v>
          </cell>
          <cell r="H833">
            <v>34.370000000000005</v>
          </cell>
          <cell r="I833">
            <v>1502.62</v>
          </cell>
          <cell r="J833">
            <v>0</v>
          </cell>
          <cell r="K833">
            <v>0</v>
          </cell>
          <cell r="M833">
            <v>0</v>
          </cell>
          <cell r="P833">
            <v>1503</v>
          </cell>
          <cell r="V833" t="str">
            <v>Available</v>
          </cell>
        </row>
        <row r="834">
          <cell r="E834">
            <v>10030018</v>
          </cell>
          <cell r="H834">
            <v>11.909999999999998</v>
          </cell>
          <cell r="I834">
            <v>583.03</v>
          </cell>
          <cell r="J834">
            <v>0</v>
          </cell>
          <cell r="K834">
            <v>0</v>
          </cell>
          <cell r="M834">
            <v>0</v>
          </cell>
          <cell r="P834">
            <v>583</v>
          </cell>
          <cell r="V834" t="str">
            <v>Available</v>
          </cell>
        </row>
        <row r="835">
          <cell r="E835">
            <v>10030018</v>
          </cell>
          <cell r="H835">
            <v>15.72</v>
          </cell>
          <cell r="I835">
            <v>528.6</v>
          </cell>
          <cell r="J835">
            <v>0</v>
          </cell>
          <cell r="K835">
            <v>0</v>
          </cell>
          <cell r="M835">
            <v>0</v>
          </cell>
          <cell r="P835">
            <v>529</v>
          </cell>
          <cell r="V835" t="str">
            <v>Available</v>
          </cell>
        </row>
        <row r="836">
          <cell r="E836">
            <v>10030018</v>
          </cell>
          <cell r="H836">
            <v>19.59</v>
          </cell>
          <cell r="I836">
            <v>859.13</v>
          </cell>
          <cell r="J836">
            <v>0</v>
          </cell>
          <cell r="K836">
            <v>0</v>
          </cell>
          <cell r="M836">
            <v>0</v>
          </cell>
          <cell r="P836">
            <v>859</v>
          </cell>
          <cell r="V836" t="str">
            <v>Available</v>
          </cell>
        </row>
        <row r="837">
          <cell r="E837">
            <v>10030018</v>
          </cell>
          <cell r="H837">
            <v>41.39</v>
          </cell>
          <cell r="I837">
            <v>1689.3500000000001</v>
          </cell>
          <cell r="J837">
            <v>0</v>
          </cell>
          <cell r="K837">
            <v>0</v>
          </cell>
          <cell r="M837">
            <v>0</v>
          </cell>
          <cell r="P837">
            <v>1689</v>
          </cell>
          <cell r="V837" t="str">
            <v>Available</v>
          </cell>
        </row>
        <row r="838">
          <cell r="E838">
            <v>10030018</v>
          </cell>
          <cell r="H838">
            <v>7.5600000000000005</v>
          </cell>
          <cell r="I838">
            <v>317.23</v>
          </cell>
          <cell r="J838">
            <v>0</v>
          </cell>
          <cell r="K838">
            <v>0</v>
          </cell>
          <cell r="M838">
            <v>0</v>
          </cell>
          <cell r="P838">
            <v>317</v>
          </cell>
          <cell r="V838" t="str">
            <v>Available</v>
          </cell>
        </row>
        <row r="839">
          <cell r="E839">
            <v>10030018</v>
          </cell>
          <cell r="H839">
            <v>28.189999999999998</v>
          </cell>
          <cell r="I839">
            <v>1228.5099999999998</v>
          </cell>
          <cell r="J839">
            <v>0</v>
          </cell>
          <cell r="K839">
            <v>0</v>
          </cell>
          <cell r="M839">
            <v>0</v>
          </cell>
          <cell r="P839">
            <v>1229</v>
          </cell>
          <cell r="V839" t="str">
            <v>Available</v>
          </cell>
        </row>
        <row r="840">
          <cell r="E840">
            <v>10030018</v>
          </cell>
          <cell r="H840">
            <v>73.31</v>
          </cell>
          <cell r="I840">
            <v>2930.35</v>
          </cell>
          <cell r="J840">
            <v>0</v>
          </cell>
          <cell r="K840">
            <v>0</v>
          </cell>
          <cell r="M840">
            <v>0</v>
          </cell>
          <cell r="P840">
            <v>2930</v>
          </cell>
          <cell r="V840" t="str">
            <v>Available</v>
          </cell>
        </row>
        <row r="841">
          <cell r="E841">
            <v>10030018</v>
          </cell>
          <cell r="H841">
            <v>9.09</v>
          </cell>
          <cell r="I841">
            <v>494.52</v>
          </cell>
          <cell r="J841">
            <v>0</v>
          </cell>
          <cell r="K841">
            <v>0</v>
          </cell>
          <cell r="M841">
            <v>0</v>
          </cell>
          <cell r="P841">
            <v>495</v>
          </cell>
          <cell r="V841" t="str">
            <v>Available</v>
          </cell>
        </row>
        <row r="842">
          <cell r="E842">
            <v>10030018</v>
          </cell>
          <cell r="H842">
            <v>26.069999999999997</v>
          </cell>
          <cell r="I842">
            <v>1121.21</v>
          </cell>
          <cell r="J842">
            <v>0</v>
          </cell>
          <cell r="K842">
            <v>0</v>
          </cell>
          <cell r="M842">
            <v>0</v>
          </cell>
          <cell r="P842">
            <v>1121</v>
          </cell>
          <cell r="V842" t="str">
            <v>Available</v>
          </cell>
        </row>
        <row r="843">
          <cell r="E843">
            <v>10030018</v>
          </cell>
          <cell r="H843">
            <v>14.46</v>
          </cell>
          <cell r="I843">
            <v>555.23</v>
          </cell>
          <cell r="J843">
            <v>0</v>
          </cell>
          <cell r="K843">
            <v>0</v>
          </cell>
          <cell r="M843">
            <v>0</v>
          </cell>
          <cell r="P843">
            <v>555</v>
          </cell>
          <cell r="V843" t="str">
            <v>Available</v>
          </cell>
        </row>
        <row r="844">
          <cell r="E844">
            <v>10030019</v>
          </cell>
          <cell r="H844">
            <v>13.469999999999999</v>
          </cell>
          <cell r="I844">
            <v>847.56000000000017</v>
          </cell>
          <cell r="J844">
            <v>0</v>
          </cell>
          <cell r="K844">
            <v>847.56000000000017</v>
          </cell>
          <cell r="M844">
            <v>0</v>
          </cell>
          <cell r="P844">
            <v>0</v>
          </cell>
          <cell r="V844" t="str">
            <v>Not Available</v>
          </cell>
        </row>
        <row r="845">
          <cell r="E845">
            <v>10030019</v>
          </cell>
          <cell r="H845">
            <v>143.11000000000001</v>
          </cell>
          <cell r="I845">
            <v>6423.9</v>
          </cell>
          <cell r="J845">
            <v>0</v>
          </cell>
          <cell r="K845">
            <v>0</v>
          </cell>
          <cell r="M845">
            <v>0</v>
          </cell>
          <cell r="P845">
            <v>5590</v>
          </cell>
          <cell r="V845" t="str">
            <v>Available</v>
          </cell>
        </row>
        <row r="846">
          <cell r="E846">
            <v>10030019</v>
          </cell>
          <cell r="H846">
            <v>16.190000000000001</v>
          </cell>
          <cell r="I846">
            <v>843.42</v>
          </cell>
          <cell r="J846">
            <v>0</v>
          </cell>
          <cell r="K846">
            <v>0</v>
          </cell>
          <cell r="M846">
            <v>0</v>
          </cell>
          <cell r="P846">
            <v>843</v>
          </cell>
          <cell r="V846" t="str">
            <v>Available</v>
          </cell>
        </row>
        <row r="847">
          <cell r="E847">
            <v>10030019</v>
          </cell>
          <cell r="H847">
            <v>15.870000000000001</v>
          </cell>
          <cell r="I847">
            <v>653.64</v>
          </cell>
          <cell r="J847">
            <v>0</v>
          </cell>
          <cell r="K847">
            <v>0</v>
          </cell>
          <cell r="M847">
            <v>0</v>
          </cell>
          <cell r="P847">
            <v>654</v>
          </cell>
          <cell r="V847" t="str">
            <v>Available</v>
          </cell>
        </row>
        <row r="848">
          <cell r="E848">
            <v>10030019</v>
          </cell>
          <cell r="H848">
            <v>51.91</v>
          </cell>
          <cell r="I848">
            <v>1789.24</v>
          </cell>
          <cell r="J848">
            <v>0</v>
          </cell>
          <cell r="K848">
            <v>0</v>
          </cell>
          <cell r="M848">
            <v>0</v>
          </cell>
          <cell r="P848">
            <v>1789</v>
          </cell>
          <cell r="V848" t="str">
            <v>Available</v>
          </cell>
        </row>
        <row r="849">
          <cell r="E849">
            <v>10030021</v>
          </cell>
          <cell r="H849">
            <v>23.15</v>
          </cell>
          <cell r="I849">
            <v>965.68000000000006</v>
          </cell>
          <cell r="J849">
            <v>0</v>
          </cell>
          <cell r="K849">
            <v>965.68000000000006</v>
          </cell>
          <cell r="M849">
            <v>0</v>
          </cell>
          <cell r="P849">
            <v>0</v>
          </cell>
          <cell r="V849" t="str">
            <v>Not Available</v>
          </cell>
        </row>
        <row r="850">
          <cell r="E850">
            <v>10030021</v>
          </cell>
          <cell r="H850">
            <v>180.67</v>
          </cell>
          <cell r="I850">
            <v>7554.8599999999988</v>
          </cell>
          <cell r="J850">
            <v>0</v>
          </cell>
          <cell r="K850">
            <v>0</v>
          </cell>
          <cell r="M850">
            <v>0</v>
          </cell>
          <cell r="P850">
            <v>4596</v>
          </cell>
          <cell r="V850" t="str">
            <v>Available</v>
          </cell>
        </row>
        <row r="851">
          <cell r="E851">
            <v>10030021</v>
          </cell>
          <cell r="H851">
            <v>110.58</v>
          </cell>
          <cell r="I851">
            <v>4654.1399999999994</v>
          </cell>
          <cell r="J851">
            <v>0</v>
          </cell>
          <cell r="K851">
            <v>0</v>
          </cell>
          <cell r="M851">
            <v>0</v>
          </cell>
          <cell r="P851">
            <v>4654</v>
          </cell>
          <cell r="V851" t="str">
            <v>Available</v>
          </cell>
        </row>
        <row r="852">
          <cell r="E852">
            <v>10030021</v>
          </cell>
          <cell r="H852">
            <v>12.880000000000003</v>
          </cell>
          <cell r="I852">
            <v>845.26</v>
          </cell>
          <cell r="J852">
            <v>0</v>
          </cell>
          <cell r="K852">
            <v>0</v>
          </cell>
          <cell r="M852">
            <v>0</v>
          </cell>
          <cell r="P852">
            <v>845</v>
          </cell>
          <cell r="V852" t="str">
            <v>Available</v>
          </cell>
        </row>
        <row r="853">
          <cell r="E853">
            <v>10030021</v>
          </cell>
          <cell r="H853">
            <v>20.43</v>
          </cell>
          <cell r="I853">
            <v>824.31</v>
          </cell>
          <cell r="J853">
            <v>0</v>
          </cell>
          <cell r="K853">
            <v>0</v>
          </cell>
          <cell r="M853">
            <v>0</v>
          </cell>
          <cell r="P853">
            <v>824</v>
          </cell>
          <cell r="V853" t="str">
            <v>Available</v>
          </cell>
        </row>
        <row r="854">
          <cell r="E854">
            <v>10030021</v>
          </cell>
          <cell r="H854">
            <v>28.049999999999994</v>
          </cell>
          <cell r="I854">
            <v>1322.06</v>
          </cell>
          <cell r="J854">
            <v>0</v>
          </cell>
          <cell r="K854">
            <v>0</v>
          </cell>
          <cell r="M854">
            <v>0</v>
          </cell>
          <cell r="P854">
            <v>1322</v>
          </cell>
          <cell r="V854" t="str">
            <v>Available</v>
          </cell>
        </row>
        <row r="855">
          <cell r="E855">
            <v>10030021</v>
          </cell>
          <cell r="H855">
            <v>9.5300000000000011</v>
          </cell>
          <cell r="I855">
            <v>369.34000000000003</v>
          </cell>
          <cell r="J855">
            <v>0</v>
          </cell>
          <cell r="K855">
            <v>0</v>
          </cell>
          <cell r="M855">
            <v>0</v>
          </cell>
          <cell r="P855">
            <v>369</v>
          </cell>
          <cell r="V855" t="str">
            <v>Available</v>
          </cell>
        </row>
        <row r="856">
          <cell r="E856">
            <v>10030021</v>
          </cell>
          <cell r="H856">
            <v>15.89</v>
          </cell>
          <cell r="I856">
            <v>563.79999999999995</v>
          </cell>
          <cell r="J856">
            <v>0</v>
          </cell>
          <cell r="K856">
            <v>0</v>
          </cell>
          <cell r="M856">
            <v>0</v>
          </cell>
          <cell r="P856">
            <v>564</v>
          </cell>
          <cell r="V856" t="str">
            <v>Available</v>
          </cell>
        </row>
        <row r="857">
          <cell r="E857">
            <v>10030021</v>
          </cell>
          <cell r="H857">
            <v>11.18</v>
          </cell>
          <cell r="I857">
            <v>483.63</v>
          </cell>
          <cell r="J857">
            <v>0</v>
          </cell>
          <cell r="K857">
            <v>0</v>
          </cell>
          <cell r="M857">
            <v>0</v>
          </cell>
          <cell r="P857">
            <v>484</v>
          </cell>
          <cell r="V857" t="str">
            <v>Available</v>
          </cell>
        </row>
        <row r="858">
          <cell r="E858">
            <v>10030021</v>
          </cell>
          <cell r="H858">
            <v>35.630000000000003</v>
          </cell>
          <cell r="I858">
            <v>1679.32</v>
          </cell>
          <cell r="J858">
            <v>0</v>
          </cell>
          <cell r="K858">
            <v>0</v>
          </cell>
          <cell r="M858">
            <v>0</v>
          </cell>
          <cell r="P858">
            <v>1679</v>
          </cell>
          <cell r="V858" t="str">
            <v>Available</v>
          </cell>
        </row>
        <row r="859">
          <cell r="E859">
            <v>10030022</v>
          </cell>
          <cell r="H859">
            <v>20.419999999999998</v>
          </cell>
          <cell r="I859">
            <v>869.74</v>
          </cell>
          <cell r="J859">
            <v>0</v>
          </cell>
          <cell r="K859">
            <v>869.74</v>
          </cell>
          <cell r="M859">
            <v>0</v>
          </cell>
          <cell r="P859">
            <v>0</v>
          </cell>
          <cell r="V859" t="str">
            <v>Not Available</v>
          </cell>
        </row>
        <row r="860">
          <cell r="E860">
            <v>10030022</v>
          </cell>
          <cell r="H860">
            <v>80.530000000000015</v>
          </cell>
          <cell r="I860">
            <v>3645.27</v>
          </cell>
          <cell r="J860">
            <v>0</v>
          </cell>
          <cell r="K860">
            <v>0</v>
          </cell>
          <cell r="M860">
            <v>0</v>
          </cell>
          <cell r="P860">
            <v>2967</v>
          </cell>
          <cell r="V860" t="str">
            <v>Available</v>
          </cell>
        </row>
        <row r="861">
          <cell r="E861">
            <v>10030022</v>
          </cell>
          <cell r="H861">
            <v>82.69</v>
          </cell>
          <cell r="I861">
            <v>3544.11</v>
          </cell>
          <cell r="J861">
            <v>0</v>
          </cell>
          <cell r="K861">
            <v>0</v>
          </cell>
          <cell r="M861">
            <v>0</v>
          </cell>
          <cell r="P861">
            <v>3544</v>
          </cell>
          <cell r="V861" t="str">
            <v>Available</v>
          </cell>
        </row>
        <row r="862">
          <cell r="E862">
            <v>10030022</v>
          </cell>
          <cell r="H862">
            <v>32.089999999999996</v>
          </cell>
          <cell r="I862">
            <v>1262.21</v>
          </cell>
          <cell r="J862">
            <v>0</v>
          </cell>
          <cell r="K862">
            <v>0</v>
          </cell>
          <cell r="M862">
            <v>0</v>
          </cell>
          <cell r="P862">
            <v>1262</v>
          </cell>
          <cell r="V862" t="str">
            <v>Available</v>
          </cell>
        </row>
        <row r="863">
          <cell r="E863">
            <v>10030022</v>
          </cell>
          <cell r="H863">
            <v>111.14</v>
          </cell>
          <cell r="I863">
            <v>4890.46</v>
          </cell>
          <cell r="J863">
            <v>0</v>
          </cell>
          <cell r="K863">
            <v>0</v>
          </cell>
          <cell r="M863">
            <v>0</v>
          </cell>
          <cell r="P863">
            <v>4890</v>
          </cell>
          <cell r="V863" t="str">
            <v>Available</v>
          </cell>
        </row>
        <row r="864">
          <cell r="E864">
            <v>10030022</v>
          </cell>
          <cell r="H864">
            <v>106.08</v>
          </cell>
          <cell r="I864">
            <v>4604.62</v>
          </cell>
          <cell r="J864">
            <v>0</v>
          </cell>
          <cell r="K864">
            <v>0</v>
          </cell>
          <cell r="M864">
            <v>0</v>
          </cell>
          <cell r="P864">
            <v>4605</v>
          </cell>
          <cell r="V864" t="str">
            <v>Available</v>
          </cell>
        </row>
        <row r="865">
          <cell r="E865">
            <v>10030022</v>
          </cell>
          <cell r="H865">
            <v>60.160000000000004</v>
          </cell>
          <cell r="I865">
            <v>2445.92</v>
          </cell>
          <cell r="J865">
            <v>0</v>
          </cell>
          <cell r="K865">
            <v>0</v>
          </cell>
          <cell r="M865">
            <v>0</v>
          </cell>
          <cell r="P865">
            <v>2446</v>
          </cell>
          <cell r="V865" t="str">
            <v>Available</v>
          </cell>
        </row>
        <row r="866">
          <cell r="E866">
            <v>10030022</v>
          </cell>
          <cell r="H866">
            <v>65.430000000000007</v>
          </cell>
          <cell r="I866">
            <v>2817.31</v>
          </cell>
          <cell r="J866">
            <v>0</v>
          </cell>
          <cell r="K866">
            <v>0</v>
          </cell>
          <cell r="M866">
            <v>0</v>
          </cell>
          <cell r="P866">
            <v>2817</v>
          </cell>
          <cell r="V866" t="str">
            <v>Available</v>
          </cell>
        </row>
        <row r="867">
          <cell r="E867">
            <v>10030022</v>
          </cell>
          <cell r="H867">
            <v>95.670000000000016</v>
          </cell>
          <cell r="I867">
            <v>4115.3499999999995</v>
          </cell>
          <cell r="J867">
            <v>0</v>
          </cell>
          <cell r="K867">
            <v>0</v>
          </cell>
          <cell r="M867">
            <v>0</v>
          </cell>
          <cell r="P867">
            <v>4115</v>
          </cell>
          <cell r="V867" t="str">
            <v>Available</v>
          </cell>
        </row>
        <row r="868">
          <cell r="E868">
            <v>10030022</v>
          </cell>
          <cell r="H868">
            <v>81.52</v>
          </cell>
          <cell r="I868">
            <v>3573.9900000000002</v>
          </cell>
          <cell r="J868">
            <v>0</v>
          </cell>
          <cell r="K868">
            <v>0</v>
          </cell>
          <cell r="M868">
            <v>0</v>
          </cell>
          <cell r="P868">
            <v>3574</v>
          </cell>
          <cell r="V868" t="str">
            <v>Available</v>
          </cell>
        </row>
        <row r="869">
          <cell r="E869">
            <v>10030022</v>
          </cell>
          <cell r="H869">
            <v>83.44</v>
          </cell>
          <cell r="I869">
            <v>3439.6499999999996</v>
          </cell>
          <cell r="J869">
            <v>0</v>
          </cell>
          <cell r="K869">
            <v>0</v>
          </cell>
          <cell r="M869">
            <v>0</v>
          </cell>
          <cell r="P869">
            <v>3440</v>
          </cell>
          <cell r="V869" t="str">
            <v>Available</v>
          </cell>
        </row>
        <row r="870">
          <cell r="E870">
            <v>10030022</v>
          </cell>
          <cell r="H870">
            <v>49.190000000000005</v>
          </cell>
          <cell r="I870">
            <v>2016.57</v>
          </cell>
          <cell r="J870">
            <v>0</v>
          </cell>
          <cell r="K870">
            <v>0</v>
          </cell>
          <cell r="M870">
            <v>0</v>
          </cell>
          <cell r="P870">
            <v>2017</v>
          </cell>
          <cell r="V870" t="str">
            <v>Available</v>
          </cell>
        </row>
        <row r="871">
          <cell r="E871">
            <v>10030022</v>
          </cell>
          <cell r="H871">
            <v>75.819999999999993</v>
          </cell>
          <cell r="I871">
            <v>3225.0600000000009</v>
          </cell>
          <cell r="J871">
            <v>0</v>
          </cell>
          <cell r="K871">
            <v>0</v>
          </cell>
          <cell r="M871">
            <v>0</v>
          </cell>
          <cell r="P871">
            <v>3225</v>
          </cell>
          <cell r="V871" t="str">
            <v>Available</v>
          </cell>
        </row>
        <row r="872">
          <cell r="E872">
            <v>10030022</v>
          </cell>
          <cell r="H872">
            <v>77.300000000000011</v>
          </cell>
          <cell r="I872">
            <v>3527.0799999999995</v>
          </cell>
          <cell r="J872">
            <v>0</v>
          </cell>
          <cell r="K872">
            <v>0</v>
          </cell>
          <cell r="M872">
            <v>0</v>
          </cell>
          <cell r="P872">
            <v>3527</v>
          </cell>
          <cell r="V872" t="str">
            <v>Available</v>
          </cell>
        </row>
        <row r="873">
          <cell r="E873">
            <v>10030022</v>
          </cell>
          <cell r="H873">
            <v>12.69</v>
          </cell>
          <cell r="I873">
            <v>537.20000000000005</v>
          </cell>
          <cell r="J873">
            <v>0</v>
          </cell>
          <cell r="K873">
            <v>0</v>
          </cell>
          <cell r="M873">
            <v>0</v>
          </cell>
          <cell r="P873">
            <v>537</v>
          </cell>
          <cell r="V873" t="str">
            <v>Available</v>
          </cell>
        </row>
        <row r="874">
          <cell r="E874">
            <v>10030022</v>
          </cell>
          <cell r="H874">
            <v>40.17</v>
          </cell>
          <cell r="I874">
            <v>1801.3200000000002</v>
          </cell>
          <cell r="J874">
            <v>0</v>
          </cell>
          <cell r="K874">
            <v>0</v>
          </cell>
          <cell r="M874">
            <v>0</v>
          </cell>
          <cell r="P874">
            <v>1801</v>
          </cell>
          <cell r="V874" t="str">
            <v>Available</v>
          </cell>
        </row>
        <row r="875">
          <cell r="E875">
            <v>10030022</v>
          </cell>
          <cell r="H875">
            <v>41.57</v>
          </cell>
          <cell r="I875">
            <v>1651.7599999999998</v>
          </cell>
          <cell r="J875">
            <v>0</v>
          </cell>
          <cell r="K875">
            <v>0</v>
          </cell>
          <cell r="M875">
            <v>0</v>
          </cell>
          <cell r="P875">
            <v>1652</v>
          </cell>
          <cell r="V875" t="str">
            <v>Available</v>
          </cell>
        </row>
        <row r="876">
          <cell r="E876">
            <v>10030022</v>
          </cell>
          <cell r="H876">
            <v>62.050000000000004</v>
          </cell>
          <cell r="I876">
            <v>2513.27</v>
          </cell>
          <cell r="J876">
            <v>0</v>
          </cell>
          <cell r="K876">
            <v>0</v>
          </cell>
          <cell r="M876">
            <v>0</v>
          </cell>
          <cell r="P876">
            <v>2513</v>
          </cell>
          <cell r="V876" t="str">
            <v>Available</v>
          </cell>
        </row>
        <row r="877">
          <cell r="E877">
            <v>10030022</v>
          </cell>
          <cell r="H877">
            <v>5.95</v>
          </cell>
          <cell r="I877">
            <v>213.37</v>
          </cell>
          <cell r="J877">
            <v>0</v>
          </cell>
          <cell r="K877">
            <v>0</v>
          </cell>
          <cell r="M877">
            <v>0</v>
          </cell>
          <cell r="P877">
            <v>213</v>
          </cell>
          <cell r="V877" t="str">
            <v>Available</v>
          </cell>
        </row>
        <row r="878">
          <cell r="E878">
            <v>10030022</v>
          </cell>
          <cell r="H878">
            <v>44.879999999999995</v>
          </cell>
          <cell r="I878">
            <v>1790.1999999999998</v>
          </cell>
          <cell r="J878">
            <v>0</v>
          </cell>
          <cell r="K878">
            <v>0</v>
          </cell>
          <cell r="M878">
            <v>0</v>
          </cell>
          <cell r="P878">
            <v>1790</v>
          </cell>
          <cell r="V878" t="str">
            <v>Not Available</v>
          </cell>
        </row>
        <row r="879">
          <cell r="E879">
            <v>10030022</v>
          </cell>
          <cell r="H879">
            <v>5.38</v>
          </cell>
          <cell r="I879">
            <v>217.72</v>
          </cell>
          <cell r="J879">
            <v>0</v>
          </cell>
          <cell r="K879">
            <v>0</v>
          </cell>
          <cell r="M879">
            <v>0</v>
          </cell>
          <cell r="P879">
            <v>218</v>
          </cell>
          <cell r="V879" t="str">
            <v>Not Available</v>
          </cell>
        </row>
        <row r="880">
          <cell r="E880">
            <v>10030022</v>
          </cell>
          <cell r="H880">
            <v>54.610000000000007</v>
          </cell>
          <cell r="I880">
            <v>2117.96</v>
          </cell>
          <cell r="J880">
            <v>0</v>
          </cell>
          <cell r="K880">
            <v>0</v>
          </cell>
          <cell r="M880">
            <v>0</v>
          </cell>
          <cell r="P880">
            <v>2118</v>
          </cell>
          <cell r="V880" t="str">
            <v>Available</v>
          </cell>
        </row>
        <row r="881">
          <cell r="E881">
            <v>10030022</v>
          </cell>
          <cell r="H881">
            <v>11.120000000000001</v>
          </cell>
          <cell r="I881">
            <v>413.21000000000004</v>
          </cell>
          <cell r="J881">
            <v>0</v>
          </cell>
          <cell r="K881">
            <v>0</v>
          </cell>
          <cell r="M881">
            <v>0</v>
          </cell>
          <cell r="P881">
            <v>413</v>
          </cell>
          <cell r="V881" t="str">
            <v>Not Available</v>
          </cell>
        </row>
        <row r="882">
          <cell r="E882">
            <v>10030022</v>
          </cell>
          <cell r="H882">
            <v>64.47</v>
          </cell>
          <cell r="I882">
            <v>2801.3999999999996</v>
          </cell>
          <cell r="J882">
            <v>0</v>
          </cell>
          <cell r="K882">
            <v>0</v>
          </cell>
          <cell r="M882">
            <v>0</v>
          </cell>
          <cell r="P882">
            <v>2801</v>
          </cell>
          <cell r="V882" t="str">
            <v>Available</v>
          </cell>
        </row>
        <row r="883">
          <cell r="E883">
            <v>10030023</v>
          </cell>
          <cell r="H883">
            <v>11.720000000000002</v>
          </cell>
          <cell r="I883">
            <v>507.63000000000005</v>
          </cell>
          <cell r="J883">
            <v>0</v>
          </cell>
          <cell r="K883">
            <v>507.63000000000005</v>
          </cell>
          <cell r="M883">
            <v>0</v>
          </cell>
          <cell r="P883">
            <v>0</v>
          </cell>
          <cell r="V883" t="str">
            <v>Not Available</v>
          </cell>
        </row>
        <row r="884">
          <cell r="E884">
            <v>10030023</v>
          </cell>
          <cell r="H884">
            <v>27.280000000000005</v>
          </cell>
          <cell r="I884">
            <v>1023.6600000000001</v>
          </cell>
          <cell r="J884">
            <v>0</v>
          </cell>
          <cell r="K884">
            <v>0</v>
          </cell>
          <cell r="M884">
            <v>0</v>
          </cell>
          <cell r="P884">
            <v>858</v>
          </cell>
          <cell r="V884" t="str">
            <v>Available</v>
          </cell>
        </row>
        <row r="885">
          <cell r="E885">
            <v>10030023</v>
          </cell>
          <cell r="H885">
            <v>24.799999999999997</v>
          </cell>
          <cell r="I885">
            <v>944.1400000000001</v>
          </cell>
          <cell r="J885">
            <v>0</v>
          </cell>
          <cell r="K885">
            <v>0</v>
          </cell>
          <cell r="M885">
            <v>0</v>
          </cell>
          <cell r="P885">
            <v>944</v>
          </cell>
          <cell r="V885" t="str">
            <v>Available</v>
          </cell>
        </row>
        <row r="886">
          <cell r="E886">
            <v>10030023</v>
          </cell>
          <cell r="H886">
            <v>24.149999999999995</v>
          </cell>
          <cell r="I886">
            <v>977.57999999999981</v>
          </cell>
          <cell r="J886">
            <v>0</v>
          </cell>
          <cell r="K886">
            <v>0</v>
          </cell>
          <cell r="M886">
            <v>0</v>
          </cell>
          <cell r="P886">
            <v>978</v>
          </cell>
          <cell r="V886" t="str">
            <v>Available</v>
          </cell>
        </row>
        <row r="887">
          <cell r="E887">
            <v>10030023</v>
          </cell>
          <cell r="H887">
            <v>54.52</v>
          </cell>
          <cell r="I887">
            <v>2275.2000000000003</v>
          </cell>
          <cell r="J887">
            <v>0</v>
          </cell>
          <cell r="K887">
            <v>0</v>
          </cell>
          <cell r="M887">
            <v>0</v>
          </cell>
          <cell r="P887">
            <v>2275</v>
          </cell>
          <cell r="V887" t="str">
            <v>Available</v>
          </cell>
        </row>
        <row r="888">
          <cell r="E888">
            <v>10030023</v>
          </cell>
          <cell r="H888">
            <v>4.3900000000000006</v>
          </cell>
          <cell r="I888">
            <v>314.90999999999997</v>
          </cell>
          <cell r="J888">
            <v>0</v>
          </cell>
          <cell r="K888">
            <v>0</v>
          </cell>
          <cell r="M888">
            <v>0</v>
          </cell>
          <cell r="P888">
            <v>315</v>
          </cell>
          <cell r="V888" t="str">
            <v>Available</v>
          </cell>
        </row>
        <row r="889">
          <cell r="E889">
            <v>10030023</v>
          </cell>
          <cell r="H889">
            <v>19.43</v>
          </cell>
          <cell r="I889">
            <v>1444.6000000000001</v>
          </cell>
          <cell r="J889">
            <v>0</v>
          </cell>
          <cell r="K889">
            <v>0</v>
          </cell>
          <cell r="M889">
            <v>0</v>
          </cell>
          <cell r="P889">
            <v>1445</v>
          </cell>
          <cell r="V889" t="str">
            <v>Available</v>
          </cell>
        </row>
        <row r="890">
          <cell r="E890">
            <v>10030023</v>
          </cell>
          <cell r="H890">
            <v>80.05</v>
          </cell>
          <cell r="I890">
            <v>3072.52</v>
          </cell>
          <cell r="J890">
            <v>0</v>
          </cell>
          <cell r="K890">
            <v>0</v>
          </cell>
          <cell r="M890">
            <v>0</v>
          </cell>
          <cell r="P890">
            <v>3073</v>
          </cell>
          <cell r="V890" t="str">
            <v>Available</v>
          </cell>
        </row>
        <row r="891">
          <cell r="E891">
            <v>10030023</v>
          </cell>
          <cell r="H891">
            <v>33.659999999999997</v>
          </cell>
          <cell r="I891">
            <v>1380.96</v>
          </cell>
          <cell r="J891">
            <v>0</v>
          </cell>
          <cell r="K891">
            <v>0</v>
          </cell>
          <cell r="M891">
            <v>0</v>
          </cell>
          <cell r="P891">
            <v>1381</v>
          </cell>
          <cell r="V891" t="str">
            <v>Available</v>
          </cell>
        </row>
        <row r="892">
          <cell r="E892">
            <v>10030023</v>
          </cell>
          <cell r="H892">
            <v>16.680000000000003</v>
          </cell>
          <cell r="I892">
            <v>694.83999999999992</v>
          </cell>
          <cell r="J892">
            <v>0</v>
          </cell>
          <cell r="K892">
            <v>0</v>
          </cell>
          <cell r="M892">
            <v>0</v>
          </cell>
          <cell r="P892">
            <v>695</v>
          </cell>
          <cell r="V892" t="str">
            <v>Available</v>
          </cell>
        </row>
        <row r="893">
          <cell r="E893">
            <v>10030023</v>
          </cell>
          <cell r="H893">
            <v>14.67</v>
          </cell>
          <cell r="I893">
            <v>589.06000000000006</v>
          </cell>
          <cell r="J893">
            <v>0</v>
          </cell>
          <cell r="K893">
            <v>0</v>
          </cell>
          <cell r="M893">
            <v>0</v>
          </cell>
          <cell r="P893">
            <v>589</v>
          </cell>
          <cell r="V893" t="str">
            <v>Available</v>
          </cell>
        </row>
        <row r="894">
          <cell r="E894">
            <v>10030023</v>
          </cell>
          <cell r="H894">
            <v>62.81</v>
          </cell>
          <cell r="I894">
            <v>2541.9899999999998</v>
          </cell>
          <cell r="J894">
            <v>0</v>
          </cell>
          <cell r="K894">
            <v>0</v>
          </cell>
          <cell r="M894">
            <v>0</v>
          </cell>
          <cell r="P894">
            <v>2542</v>
          </cell>
          <cell r="V894" t="str">
            <v>Available</v>
          </cell>
        </row>
        <row r="895">
          <cell r="E895">
            <v>10030023</v>
          </cell>
          <cell r="H895">
            <v>34.32</v>
          </cell>
          <cell r="I895">
            <v>1403.5300000000002</v>
          </cell>
          <cell r="J895">
            <v>0</v>
          </cell>
          <cell r="K895">
            <v>0</v>
          </cell>
          <cell r="M895">
            <v>0</v>
          </cell>
          <cell r="P895">
            <v>1404</v>
          </cell>
          <cell r="V895" t="str">
            <v>Available</v>
          </cell>
        </row>
        <row r="896">
          <cell r="E896">
            <v>10030025</v>
          </cell>
          <cell r="H896">
            <v>9.8100000000000023</v>
          </cell>
          <cell r="I896">
            <v>408.17</v>
          </cell>
          <cell r="J896">
            <v>0</v>
          </cell>
          <cell r="K896">
            <v>408.17</v>
          </cell>
          <cell r="M896">
            <v>0</v>
          </cell>
          <cell r="P896">
            <v>0</v>
          </cell>
          <cell r="V896" t="str">
            <v>Not Available</v>
          </cell>
        </row>
        <row r="897">
          <cell r="E897">
            <v>10030025</v>
          </cell>
          <cell r="H897">
            <v>120.06</v>
          </cell>
          <cell r="I897">
            <v>5057.17</v>
          </cell>
          <cell r="J897">
            <v>0</v>
          </cell>
          <cell r="K897">
            <v>0</v>
          </cell>
          <cell r="M897">
            <v>0</v>
          </cell>
          <cell r="P897">
            <v>4324</v>
          </cell>
          <cell r="V897" t="str">
            <v>Available</v>
          </cell>
        </row>
        <row r="898">
          <cell r="E898">
            <v>10030025</v>
          </cell>
          <cell r="H898">
            <v>123.91999999999997</v>
          </cell>
          <cell r="I898">
            <v>5237.0199999999995</v>
          </cell>
          <cell r="J898">
            <v>0</v>
          </cell>
          <cell r="K898">
            <v>0</v>
          </cell>
          <cell r="M898">
            <v>0</v>
          </cell>
          <cell r="P898">
            <v>5237</v>
          </cell>
          <cell r="V898" t="str">
            <v>Available</v>
          </cell>
        </row>
        <row r="899">
          <cell r="E899">
            <v>10030025</v>
          </cell>
          <cell r="H899">
            <v>16.7</v>
          </cell>
          <cell r="I899">
            <v>623.62</v>
          </cell>
          <cell r="J899">
            <v>0</v>
          </cell>
          <cell r="K899">
            <v>0</v>
          </cell>
          <cell r="M899">
            <v>0</v>
          </cell>
          <cell r="P899">
            <v>624</v>
          </cell>
          <cell r="V899" t="str">
            <v>Available</v>
          </cell>
        </row>
        <row r="900">
          <cell r="E900">
            <v>10030025</v>
          </cell>
          <cell r="H900">
            <v>121.32000000000001</v>
          </cell>
          <cell r="I900">
            <v>5074.1099999999997</v>
          </cell>
          <cell r="J900">
            <v>0</v>
          </cell>
          <cell r="K900">
            <v>0</v>
          </cell>
          <cell r="M900">
            <v>0</v>
          </cell>
          <cell r="P900">
            <v>5074</v>
          </cell>
          <cell r="V900" t="str">
            <v>Available</v>
          </cell>
        </row>
        <row r="901">
          <cell r="E901">
            <v>10030025</v>
          </cell>
          <cell r="H901">
            <v>120.43</v>
          </cell>
          <cell r="I901">
            <v>5070.93</v>
          </cell>
          <cell r="J901">
            <v>0</v>
          </cell>
          <cell r="K901">
            <v>0</v>
          </cell>
          <cell r="M901">
            <v>0</v>
          </cell>
          <cell r="P901">
            <v>5071</v>
          </cell>
          <cell r="V901" t="str">
            <v>Available</v>
          </cell>
        </row>
        <row r="902">
          <cell r="E902">
            <v>10030026</v>
          </cell>
          <cell r="H902">
            <v>1</v>
          </cell>
          <cell r="I902">
            <v>43.37</v>
          </cell>
          <cell r="J902">
            <v>0</v>
          </cell>
          <cell r="K902">
            <v>0</v>
          </cell>
          <cell r="M902">
            <v>0</v>
          </cell>
          <cell r="P902">
            <v>43</v>
          </cell>
          <cell r="V902" t="str">
            <v>Available</v>
          </cell>
        </row>
        <row r="903">
          <cell r="E903">
            <v>10030026</v>
          </cell>
          <cell r="H903">
            <v>28.419999999999995</v>
          </cell>
          <cell r="I903">
            <v>1450.9999999999998</v>
          </cell>
          <cell r="J903">
            <v>0</v>
          </cell>
          <cell r="K903">
            <v>0</v>
          </cell>
          <cell r="M903">
            <v>0</v>
          </cell>
          <cell r="P903">
            <v>1451</v>
          </cell>
          <cell r="V903" t="str">
            <v>Available</v>
          </cell>
        </row>
        <row r="904">
          <cell r="E904">
            <v>10030026</v>
          </cell>
          <cell r="H904">
            <v>25.9</v>
          </cell>
          <cell r="I904">
            <v>1413.3800000000003</v>
          </cell>
          <cell r="J904">
            <v>0</v>
          </cell>
          <cell r="K904">
            <v>0</v>
          </cell>
          <cell r="M904">
            <v>0</v>
          </cell>
          <cell r="P904">
            <v>1413</v>
          </cell>
          <cell r="V904" t="str">
            <v>Available</v>
          </cell>
        </row>
        <row r="905">
          <cell r="E905">
            <v>10030026</v>
          </cell>
          <cell r="H905">
            <v>10.190000000000001</v>
          </cell>
          <cell r="I905">
            <v>317.88</v>
          </cell>
          <cell r="J905">
            <v>0</v>
          </cell>
          <cell r="K905">
            <v>0</v>
          </cell>
          <cell r="M905">
            <v>0</v>
          </cell>
          <cell r="P905">
            <v>318</v>
          </cell>
          <cell r="V905" t="str">
            <v>Available</v>
          </cell>
        </row>
        <row r="906">
          <cell r="E906">
            <v>10030026</v>
          </cell>
          <cell r="H906">
            <v>14.149999999999999</v>
          </cell>
          <cell r="I906">
            <v>682.6</v>
          </cell>
          <cell r="J906">
            <v>0</v>
          </cell>
          <cell r="K906">
            <v>0</v>
          </cell>
          <cell r="M906">
            <v>0</v>
          </cell>
          <cell r="P906">
            <v>683</v>
          </cell>
          <cell r="V906" t="str">
            <v>Available</v>
          </cell>
        </row>
        <row r="907">
          <cell r="E907">
            <v>10030026</v>
          </cell>
          <cell r="H907">
            <v>7.41</v>
          </cell>
          <cell r="I907">
            <v>326.15999999999997</v>
          </cell>
          <cell r="J907">
            <v>0</v>
          </cell>
          <cell r="K907">
            <v>0</v>
          </cell>
          <cell r="M907">
            <v>0</v>
          </cell>
          <cell r="P907">
            <v>326</v>
          </cell>
          <cell r="V907" t="str">
            <v>Available</v>
          </cell>
        </row>
        <row r="908">
          <cell r="E908">
            <v>10030026</v>
          </cell>
          <cell r="H908">
            <v>22.33</v>
          </cell>
          <cell r="I908">
            <v>890.86</v>
          </cell>
          <cell r="J908">
            <v>0</v>
          </cell>
          <cell r="K908">
            <v>0</v>
          </cell>
          <cell r="M908">
            <v>0</v>
          </cell>
          <cell r="P908">
            <v>891</v>
          </cell>
          <cell r="V908" t="str">
            <v>Available</v>
          </cell>
        </row>
        <row r="909">
          <cell r="E909">
            <v>10030026</v>
          </cell>
          <cell r="H909">
            <v>15.059999999999999</v>
          </cell>
          <cell r="I909">
            <v>697.84</v>
          </cell>
          <cell r="J909">
            <v>0</v>
          </cell>
          <cell r="K909">
            <v>0</v>
          </cell>
          <cell r="M909">
            <v>0</v>
          </cell>
          <cell r="P909">
            <v>698</v>
          </cell>
          <cell r="V909" t="str">
            <v>Available</v>
          </cell>
        </row>
        <row r="910">
          <cell r="E910">
            <v>10030026</v>
          </cell>
          <cell r="H910">
            <v>28.72</v>
          </cell>
          <cell r="I910">
            <v>1032.9599999999998</v>
          </cell>
          <cell r="J910">
            <v>0</v>
          </cell>
          <cell r="K910">
            <v>0</v>
          </cell>
          <cell r="M910">
            <v>0</v>
          </cell>
          <cell r="P910">
            <v>1033</v>
          </cell>
          <cell r="V910" t="str">
            <v>Available</v>
          </cell>
        </row>
        <row r="911">
          <cell r="E911">
            <v>10030026</v>
          </cell>
          <cell r="H911">
            <v>25.720000000000002</v>
          </cell>
          <cell r="I911">
            <v>1102.8000000000002</v>
          </cell>
          <cell r="J911">
            <v>0</v>
          </cell>
          <cell r="K911">
            <v>0</v>
          </cell>
          <cell r="M911">
            <v>0</v>
          </cell>
          <cell r="P911">
            <v>1103</v>
          </cell>
          <cell r="V911" t="str">
            <v>Available</v>
          </cell>
        </row>
        <row r="912">
          <cell r="E912">
            <v>10030026</v>
          </cell>
          <cell r="H912">
            <v>4.57</v>
          </cell>
          <cell r="I912">
            <v>293.03000000000003</v>
          </cell>
          <cell r="J912">
            <v>0</v>
          </cell>
          <cell r="K912">
            <v>0</v>
          </cell>
          <cell r="M912">
            <v>0</v>
          </cell>
          <cell r="P912">
            <v>293</v>
          </cell>
          <cell r="V912" t="str">
            <v>Available</v>
          </cell>
        </row>
        <row r="913">
          <cell r="E913">
            <v>10030026</v>
          </cell>
          <cell r="H913">
            <v>7.98</v>
          </cell>
          <cell r="I913">
            <v>280.77</v>
          </cell>
          <cell r="J913">
            <v>0</v>
          </cell>
          <cell r="K913">
            <v>0</v>
          </cell>
          <cell r="M913">
            <v>0</v>
          </cell>
          <cell r="P913">
            <v>281</v>
          </cell>
          <cell r="V913" t="str">
            <v>Available</v>
          </cell>
        </row>
        <row r="914">
          <cell r="E914">
            <v>10030026</v>
          </cell>
          <cell r="H914">
            <v>16.850000000000001</v>
          </cell>
          <cell r="I914">
            <v>641.96</v>
          </cell>
          <cell r="J914">
            <v>0</v>
          </cell>
          <cell r="K914">
            <v>0</v>
          </cell>
          <cell r="M914">
            <v>0</v>
          </cell>
          <cell r="P914">
            <v>642</v>
          </cell>
          <cell r="V914" t="str">
            <v>Available</v>
          </cell>
        </row>
        <row r="915">
          <cell r="E915">
            <v>10030026</v>
          </cell>
          <cell r="H915">
            <v>14.959999999999999</v>
          </cell>
          <cell r="I915">
            <v>596.17000000000007</v>
          </cell>
          <cell r="J915">
            <v>0</v>
          </cell>
          <cell r="K915">
            <v>0</v>
          </cell>
          <cell r="M915">
            <v>0</v>
          </cell>
          <cell r="P915">
            <v>596</v>
          </cell>
          <cell r="V915" t="str">
            <v>Available</v>
          </cell>
        </row>
        <row r="916">
          <cell r="E916">
            <v>10030026</v>
          </cell>
          <cell r="H916">
            <v>5.66</v>
          </cell>
          <cell r="I916">
            <v>193.63</v>
          </cell>
          <cell r="J916">
            <v>0</v>
          </cell>
          <cell r="K916">
            <v>0</v>
          </cell>
          <cell r="M916">
            <v>0</v>
          </cell>
          <cell r="P916">
            <v>194</v>
          </cell>
          <cell r="V916" t="str">
            <v>Available</v>
          </cell>
        </row>
        <row r="917">
          <cell r="E917">
            <v>10030026</v>
          </cell>
          <cell r="H917">
            <v>31.630000000000003</v>
          </cell>
          <cell r="I917">
            <v>1369.0399999999997</v>
          </cell>
          <cell r="J917">
            <v>0</v>
          </cell>
          <cell r="K917">
            <v>0</v>
          </cell>
          <cell r="M917">
            <v>0</v>
          </cell>
          <cell r="P917">
            <v>1369</v>
          </cell>
          <cell r="V917" t="str">
            <v>Available</v>
          </cell>
        </row>
        <row r="918">
          <cell r="E918">
            <v>10030026</v>
          </cell>
          <cell r="H918">
            <v>21.580000000000002</v>
          </cell>
          <cell r="I918">
            <v>843.22</v>
          </cell>
          <cell r="J918">
            <v>0</v>
          </cell>
          <cell r="K918">
            <v>0</v>
          </cell>
          <cell r="M918">
            <v>0</v>
          </cell>
          <cell r="P918">
            <v>843</v>
          </cell>
          <cell r="V918" t="str">
            <v>Available</v>
          </cell>
        </row>
        <row r="919">
          <cell r="E919">
            <v>10030026</v>
          </cell>
          <cell r="H919">
            <v>17.560000000000002</v>
          </cell>
          <cell r="I919">
            <v>662.40999999999985</v>
          </cell>
          <cell r="J919">
            <v>0</v>
          </cell>
          <cell r="K919">
            <v>0</v>
          </cell>
          <cell r="M919">
            <v>0</v>
          </cell>
          <cell r="P919">
            <v>662</v>
          </cell>
          <cell r="V919" t="str">
            <v>Available</v>
          </cell>
        </row>
        <row r="920">
          <cell r="E920">
            <v>10030026</v>
          </cell>
          <cell r="H920">
            <v>13.350000000000001</v>
          </cell>
          <cell r="I920">
            <v>565.92999999999995</v>
          </cell>
          <cell r="J920">
            <v>0</v>
          </cell>
          <cell r="K920">
            <v>0</v>
          </cell>
          <cell r="M920">
            <v>0</v>
          </cell>
          <cell r="P920">
            <v>566</v>
          </cell>
          <cell r="V920" t="str">
            <v>Available</v>
          </cell>
        </row>
        <row r="921">
          <cell r="E921">
            <v>10030026</v>
          </cell>
          <cell r="H921">
            <v>6.66</v>
          </cell>
          <cell r="I921">
            <v>255.2</v>
          </cell>
          <cell r="J921">
            <v>0</v>
          </cell>
          <cell r="K921">
            <v>0</v>
          </cell>
          <cell r="M921">
            <v>0</v>
          </cell>
          <cell r="P921">
            <v>255</v>
          </cell>
          <cell r="V921" t="str">
            <v>Available</v>
          </cell>
        </row>
        <row r="922">
          <cell r="E922">
            <v>10030026</v>
          </cell>
          <cell r="H922">
            <v>3.5600000000000005</v>
          </cell>
          <cell r="I922">
            <v>298.99</v>
          </cell>
          <cell r="J922">
            <v>0</v>
          </cell>
          <cell r="K922">
            <v>0</v>
          </cell>
          <cell r="M922">
            <v>0</v>
          </cell>
          <cell r="P922">
            <v>299</v>
          </cell>
          <cell r="V922" t="str">
            <v>Available</v>
          </cell>
        </row>
        <row r="923">
          <cell r="E923">
            <v>10030026</v>
          </cell>
          <cell r="H923">
            <v>20.75</v>
          </cell>
          <cell r="I923">
            <v>912.11</v>
          </cell>
          <cell r="J923">
            <v>0</v>
          </cell>
          <cell r="K923">
            <v>0</v>
          </cell>
          <cell r="M923">
            <v>0</v>
          </cell>
          <cell r="P923">
            <v>912</v>
          </cell>
          <cell r="V923" t="str">
            <v>Available</v>
          </cell>
        </row>
        <row r="924">
          <cell r="E924">
            <v>10030026</v>
          </cell>
          <cell r="H924">
            <v>6.58</v>
          </cell>
          <cell r="I924">
            <v>212.91000000000003</v>
          </cell>
          <cell r="J924">
            <v>0</v>
          </cell>
          <cell r="K924">
            <v>0</v>
          </cell>
          <cell r="M924">
            <v>0</v>
          </cell>
          <cell r="P924">
            <v>213</v>
          </cell>
          <cell r="V924" t="str">
            <v>Available</v>
          </cell>
        </row>
        <row r="925">
          <cell r="E925">
            <v>10030026</v>
          </cell>
          <cell r="H925">
            <v>18.500000000000004</v>
          </cell>
          <cell r="I925">
            <v>659.4</v>
          </cell>
          <cell r="J925">
            <v>0</v>
          </cell>
          <cell r="K925">
            <v>0</v>
          </cell>
          <cell r="M925">
            <v>0</v>
          </cell>
          <cell r="P925">
            <v>659</v>
          </cell>
          <cell r="V925" t="str">
            <v>Available</v>
          </cell>
        </row>
        <row r="926">
          <cell r="E926">
            <v>10030026</v>
          </cell>
          <cell r="H926">
            <v>12.629999999999999</v>
          </cell>
          <cell r="I926">
            <v>550.42000000000007</v>
          </cell>
          <cell r="J926">
            <v>0</v>
          </cell>
          <cell r="K926">
            <v>0</v>
          </cell>
          <cell r="M926">
            <v>0</v>
          </cell>
          <cell r="P926">
            <v>550</v>
          </cell>
          <cell r="V926" t="str">
            <v>Available</v>
          </cell>
        </row>
        <row r="927">
          <cell r="E927">
            <v>10030026</v>
          </cell>
          <cell r="H927">
            <v>8.92</v>
          </cell>
          <cell r="I927">
            <v>376.93</v>
          </cell>
          <cell r="J927">
            <v>0</v>
          </cell>
          <cell r="K927">
            <v>0</v>
          </cell>
          <cell r="M927">
            <v>0</v>
          </cell>
          <cell r="P927">
            <v>377</v>
          </cell>
          <cell r="V927" t="str">
            <v>Available</v>
          </cell>
        </row>
        <row r="928">
          <cell r="E928">
            <v>10030026</v>
          </cell>
          <cell r="H928">
            <v>22.16</v>
          </cell>
          <cell r="I928">
            <v>870.49000000000012</v>
          </cell>
          <cell r="J928">
            <v>0</v>
          </cell>
          <cell r="K928">
            <v>0</v>
          </cell>
          <cell r="M928">
            <v>0</v>
          </cell>
          <cell r="P928">
            <v>870</v>
          </cell>
          <cell r="V928" t="str">
            <v>Available</v>
          </cell>
        </row>
        <row r="929">
          <cell r="E929">
            <v>10030026</v>
          </cell>
          <cell r="H929">
            <v>10.02</v>
          </cell>
          <cell r="I929">
            <v>426.85</v>
          </cell>
          <cell r="J929">
            <v>0</v>
          </cell>
          <cell r="K929">
            <v>0</v>
          </cell>
          <cell r="M929">
            <v>0</v>
          </cell>
          <cell r="P929">
            <v>427</v>
          </cell>
          <cell r="V929" t="str">
            <v>Available</v>
          </cell>
        </row>
        <row r="930">
          <cell r="E930">
            <v>10030026</v>
          </cell>
          <cell r="H930">
            <v>8.02</v>
          </cell>
          <cell r="I930">
            <v>302.01</v>
          </cell>
          <cell r="J930">
            <v>0</v>
          </cell>
          <cell r="K930">
            <v>0</v>
          </cell>
          <cell r="M930">
            <v>0</v>
          </cell>
          <cell r="P930">
            <v>302</v>
          </cell>
          <cell r="V930" t="str">
            <v>Available</v>
          </cell>
        </row>
        <row r="931">
          <cell r="E931">
            <v>10030026</v>
          </cell>
          <cell r="H931">
            <v>11.7</v>
          </cell>
          <cell r="I931">
            <v>624</v>
          </cell>
          <cell r="J931">
            <v>0</v>
          </cell>
          <cell r="K931">
            <v>0</v>
          </cell>
          <cell r="M931">
            <v>0</v>
          </cell>
          <cell r="P931">
            <v>624</v>
          </cell>
          <cell r="V931" t="str">
            <v>Available</v>
          </cell>
        </row>
        <row r="932">
          <cell r="E932">
            <v>10030026</v>
          </cell>
          <cell r="H932">
            <v>13.86</v>
          </cell>
          <cell r="I932">
            <v>509.40999999999997</v>
          </cell>
          <cell r="J932">
            <v>0</v>
          </cell>
          <cell r="K932">
            <v>0</v>
          </cell>
          <cell r="M932">
            <v>0</v>
          </cell>
          <cell r="P932">
            <v>509</v>
          </cell>
          <cell r="V932" t="str">
            <v>Available</v>
          </cell>
        </row>
        <row r="933">
          <cell r="E933">
            <v>10030027</v>
          </cell>
          <cell r="H933">
            <v>26.299999999999997</v>
          </cell>
          <cell r="I933">
            <v>1078.19</v>
          </cell>
          <cell r="J933">
            <v>0</v>
          </cell>
          <cell r="K933">
            <v>1078.19</v>
          </cell>
          <cell r="M933">
            <v>0</v>
          </cell>
          <cell r="P933">
            <v>0</v>
          </cell>
          <cell r="V933" t="str">
            <v>Not Available</v>
          </cell>
        </row>
        <row r="934">
          <cell r="E934">
            <v>10030027</v>
          </cell>
          <cell r="H934">
            <v>24.099999999999998</v>
          </cell>
          <cell r="I934">
            <v>941.17</v>
          </cell>
          <cell r="J934">
            <v>0</v>
          </cell>
          <cell r="K934">
            <v>0</v>
          </cell>
          <cell r="M934">
            <v>0</v>
          </cell>
          <cell r="P934">
            <v>941</v>
          </cell>
          <cell r="V934" t="str">
            <v>Available</v>
          </cell>
        </row>
        <row r="935">
          <cell r="E935">
            <v>10030027</v>
          </cell>
          <cell r="H935">
            <v>36.6</v>
          </cell>
          <cell r="I935">
            <v>1377.4</v>
          </cell>
          <cell r="J935">
            <v>0</v>
          </cell>
          <cell r="K935">
            <v>0</v>
          </cell>
          <cell r="M935">
            <v>0</v>
          </cell>
          <cell r="P935">
            <v>1377</v>
          </cell>
          <cell r="V935" t="str">
            <v>Available</v>
          </cell>
        </row>
        <row r="936">
          <cell r="E936">
            <v>10030027</v>
          </cell>
          <cell r="H936">
            <v>74.699999999999989</v>
          </cell>
          <cell r="I936">
            <v>2961.0600000000004</v>
          </cell>
          <cell r="J936">
            <v>0</v>
          </cell>
          <cell r="K936">
            <v>0</v>
          </cell>
          <cell r="M936">
            <v>0</v>
          </cell>
          <cell r="P936">
            <v>2961</v>
          </cell>
          <cell r="V936" t="str">
            <v>Available</v>
          </cell>
        </row>
        <row r="937">
          <cell r="E937">
            <v>10030027</v>
          </cell>
          <cell r="H937">
            <v>30.700000000000003</v>
          </cell>
          <cell r="I937">
            <v>1299.42</v>
          </cell>
          <cell r="J937">
            <v>0</v>
          </cell>
          <cell r="K937">
            <v>0</v>
          </cell>
          <cell r="M937">
            <v>0</v>
          </cell>
          <cell r="P937">
            <v>1299</v>
          </cell>
          <cell r="V937" t="str">
            <v>Available</v>
          </cell>
        </row>
        <row r="938">
          <cell r="E938">
            <v>10030027</v>
          </cell>
          <cell r="H938">
            <v>29.999999999999996</v>
          </cell>
          <cell r="I938">
            <v>1058.9000000000001</v>
          </cell>
          <cell r="J938">
            <v>0</v>
          </cell>
          <cell r="K938">
            <v>0</v>
          </cell>
          <cell r="M938">
            <v>0</v>
          </cell>
          <cell r="P938">
            <v>1059</v>
          </cell>
          <cell r="V938" t="str">
            <v>Available</v>
          </cell>
        </row>
        <row r="939">
          <cell r="E939">
            <v>10030027</v>
          </cell>
          <cell r="H939">
            <v>3.0999999999999996</v>
          </cell>
          <cell r="I939">
            <v>143.35000000000002</v>
          </cell>
          <cell r="J939">
            <v>0</v>
          </cell>
          <cell r="K939">
            <v>0</v>
          </cell>
          <cell r="M939">
            <v>0</v>
          </cell>
          <cell r="P939">
            <v>143</v>
          </cell>
          <cell r="V939" t="str">
            <v>Available</v>
          </cell>
        </row>
        <row r="940">
          <cell r="E940">
            <v>10030027</v>
          </cell>
          <cell r="H940">
            <v>23.6</v>
          </cell>
          <cell r="I940">
            <v>957.69</v>
          </cell>
          <cell r="J940">
            <v>0</v>
          </cell>
          <cell r="K940">
            <v>0</v>
          </cell>
          <cell r="M940">
            <v>0</v>
          </cell>
          <cell r="P940">
            <v>958</v>
          </cell>
          <cell r="V940" t="str">
            <v>Available</v>
          </cell>
        </row>
        <row r="941">
          <cell r="E941">
            <v>10030027</v>
          </cell>
          <cell r="H941">
            <v>22.8</v>
          </cell>
          <cell r="I941">
            <v>757.45</v>
          </cell>
          <cell r="J941">
            <v>0</v>
          </cell>
          <cell r="K941">
            <v>0</v>
          </cell>
          <cell r="M941">
            <v>0</v>
          </cell>
          <cell r="P941">
            <v>757</v>
          </cell>
          <cell r="V941" t="str">
            <v>Available</v>
          </cell>
        </row>
        <row r="942">
          <cell r="E942">
            <v>10030027</v>
          </cell>
          <cell r="H942">
            <v>28.700000000000003</v>
          </cell>
          <cell r="I942">
            <v>1133.8699999999999</v>
          </cell>
          <cell r="J942">
            <v>0</v>
          </cell>
          <cell r="K942">
            <v>0</v>
          </cell>
          <cell r="M942">
            <v>0</v>
          </cell>
          <cell r="P942">
            <v>1134</v>
          </cell>
          <cell r="V942" t="str">
            <v>Available</v>
          </cell>
        </row>
        <row r="943">
          <cell r="E943">
            <v>10030027</v>
          </cell>
          <cell r="H943">
            <v>10.1</v>
          </cell>
          <cell r="I943">
            <v>371.9</v>
          </cell>
          <cell r="J943">
            <v>0</v>
          </cell>
          <cell r="K943">
            <v>0</v>
          </cell>
          <cell r="M943">
            <v>0</v>
          </cell>
          <cell r="P943">
            <v>372</v>
          </cell>
          <cell r="V943" t="str">
            <v>Available</v>
          </cell>
        </row>
        <row r="944">
          <cell r="E944">
            <v>10030027</v>
          </cell>
          <cell r="H944">
            <v>11.200000000000001</v>
          </cell>
          <cell r="I944">
            <v>507.14</v>
          </cell>
          <cell r="J944">
            <v>0</v>
          </cell>
          <cell r="K944">
            <v>0</v>
          </cell>
          <cell r="M944">
            <v>0</v>
          </cell>
          <cell r="P944">
            <v>507</v>
          </cell>
          <cell r="V944" t="str">
            <v>Available</v>
          </cell>
        </row>
        <row r="945">
          <cell r="E945">
            <v>10030027</v>
          </cell>
          <cell r="H945">
            <v>11.2</v>
          </cell>
          <cell r="I945">
            <v>452.82</v>
          </cell>
          <cell r="J945">
            <v>0</v>
          </cell>
          <cell r="K945">
            <v>0</v>
          </cell>
          <cell r="M945">
            <v>0</v>
          </cell>
          <cell r="P945">
            <v>453</v>
          </cell>
          <cell r="V945" t="str">
            <v>Available</v>
          </cell>
        </row>
        <row r="946">
          <cell r="E946">
            <v>10030027</v>
          </cell>
          <cell r="H946">
            <v>7.1</v>
          </cell>
          <cell r="I946">
            <v>352.58000000000004</v>
          </cell>
          <cell r="J946">
            <v>0</v>
          </cell>
          <cell r="K946">
            <v>0</v>
          </cell>
          <cell r="M946">
            <v>0</v>
          </cell>
          <cell r="P946">
            <v>353</v>
          </cell>
          <cell r="V946" t="str">
            <v>Available</v>
          </cell>
        </row>
        <row r="947">
          <cell r="E947">
            <v>10030027</v>
          </cell>
          <cell r="H947">
            <v>4.0999999999999996</v>
          </cell>
          <cell r="I947">
            <v>146.45999999999998</v>
          </cell>
          <cell r="J947">
            <v>0</v>
          </cell>
          <cell r="K947">
            <v>0</v>
          </cell>
          <cell r="M947">
            <v>0</v>
          </cell>
          <cell r="P947">
            <v>146</v>
          </cell>
          <cell r="V947" t="str">
            <v>Available</v>
          </cell>
        </row>
        <row r="948">
          <cell r="E948">
            <v>10030027</v>
          </cell>
          <cell r="H948">
            <v>12.8</v>
          </cell>
          <cell r="I948">
            <v>447.87</v>
          </cell>
          <cell r="J948">
            <v>0</v>
          </cell>
          <cell r="K948">
            <v>0</v>
          </cell>
          <cell r="M948">
            <v>0</v>
          </cell>
          <cell r="P948">
            <v>448</v>
          </cell>
          <cell r="V948" t="str">
            <v>Available</v>
          </cell>
        </row>
        <row r="949">
          <cell r="E949">
            <v>10030027</v>
          </cell>
          <cell r="H949">
            <v>10.200000000000001</v>
          </cell>
          <cell r="I949">
            <v>403.27</v>
          </cell>
          <cell r="J949">
            <v>0</v>
          </cell>
          <cell r="K949">
            <v>0</v>
          </cell>
          <cell r="M949">
            <v>0</v>
          </cell>
          <cell r="P949">
            <v>403</v>
          </cell>
          <cell r="V949" t="str">
            <v>Available</v>
          </cell>
        </row>
        <row r="950">
          <cell r="E950">
            <v>10030027</v>
          </cell>
          <cell r="H950">
            <v>11.8</v>
          </cell>
          <cell r="I950">
            <v>432.28000000000003</v>
          </cell>
          <cell r="J950">
            <v>0</v>
          </cell>
          <cell r="K950">
            <v>0</v>
          </cell>
          <cell r="M950">
            <v>0</v>
          </cell>
          <cell r="P950">
            <v>432</v>
          </cell>
          <cell r="V950" t="str">
            <v>Available</v>
          </cell>
        </row>
        <row r="951">
          <cell r="E951">
            <v>10030027</v>
          </cell>
          <cell r="H951">
            <v>11.700000000000001</v>
          </cell>
          <cell r="I951">
            <v>558.29999999999995</v>
          </cell>
          <cell r="J951">
            <v>0</v>
          </cell>
          <cell r="K951">
            <v>0</v>
          </cell>
          <cell r="M951">
            <v>0</v>
          </cell>
          <cell r="P951">
            <v>558</v>
          </cell>
          <cell r="V951" t="str">
            <v>Available</v>
          </cell>
        </row>
        <row r="952">
          <cell r="E952">
            <v>10030027</v>
          </cell>
          <cell r="H952">
            <v>23.2</v>
          </cell>
          <cell r="I952">
            <v>840.92000000000007</v>
          </cell>
          <cell r="J952">
            <v>0</v>
          </cell>
          <cell r="K952">
            <v>0</v>
          </cell>
          <cell r="M952">
            <v>0</v>
          </cell>
          <cell r="P952">
            <v>841</v>
          </cell>
          <cell r="V952" t="str">
            <v>Available</v>
          </cell>
        </row>
        <row r="953">
          <cell r="E953">
            <v>10030027</v>
          </cell>
          <cell r="H953">
            <v>7.2</v>
          </cell>
          <cell r="I953">
            <v>251.07999999999998</v>
          </cell>
          <cell r="J953">
            <v>0</v>
          </cell>
          <cell r="K953">
            <v>0</v>
          </cell>
          <cell r="M953">
            <v>0</v>
          </cell>
          <cell r="P953">
            <v>251</v>
          </cell>
          <cell r="V953" t="str">
            <v>Available</v>
          </cell>
        </row>
        <row r="954">
          <cell r="E954">
            <v>10030027</v>
          </cell>
          <cell r="H954">
            <v>66.900000000000006</v>
          </cell>
          <cell r="I954">
            <v>2354.1999999999998</v>
          </cell>
          <cell r="J954">
            <v>0</v>
          </cell>
          <cell r="K954">
            <v>0</v>
          </cell>
          <cell r="M954">
            <v>0</v>
          </cell>
          <cell r="P954">
            <v>2354</v>
          </cell>
          <cell r="V954" t="str">
            <v>Available</v>
          </cell>
        </row>
        <row r="955">
          <cell r="E955">
            <v>10030027</v>
          </cell>
          <cell r="H955">
            <v>17.400000000000002</v>
          </cell>
          <cell r="I955">
            <v>723.84999999999991</v>
          </cell>
          <cell r="J955">
            <v>0</v>
          </cell>
          <cell r="K955">
            <v>0</v>
          </cell>
          <cell r="M955">
            <v>0</v>
          </cell>
          <cell r="P955">
            <v>724</v>
          </cell>
          <cell r="V955" t="str">
            <v>Available</v>
          </cell>
        </row>
        <row r="956">
          <cell r="E956">
            <v>10030027</v>
          </cell>
          <cell r="H956">
            <v>12.700000000000001</v>
          </cell>
          <cell r="I956">
            <v>646.32999999999993</v>
          </cell>
          <cell r="J956">
            <v>0</v>
          </cell>
          <cell r="K956">
            <v>0</v>
          </cell>
          <cell r="M956">
            <v>0</v>
          </cell>
          <cell r="P956">
            <v>646</v>
          </cell>
          <cell r="V956" t="str">
            <v>Available</v>
          </cell>
        </row>
        <row r="957">
          <cell r="E957">
            <v>10030027</v>
          </cell>
          <cell r="H957">
            <v>13.6</v>
          </cell>
          <cell r="I957">
            <v>555.25</v>
          </cell>
          <cell r="J957">
            <v>0</v>
          </cell>
          <cell r="K957">
            <v>0</v>
          </cell>
          <cell r="M957">
            <v>0</v>
          </cell>
          <cell r="P957">
            <v>555</v>
          </cell>
          <cell r="V957" t="str">
            <v>Available</v>
          </cell>
        </row>
        <row r="958">
          <cell r="E958">
            <v>10030027</v>
          </cell>
          <cell r="H958">
            <v>19.7</v>
          </cell>
          <cell r="I958">
            <v>1036.8800000000001</v>
          </cell>
          <cell r="J958">
            <v>0</v>
          </cell>
          <cell r="K958">
            <v>0</v>
          </cell>
          <cell r="M958">
            <v>0</v>
          </cell>
          <cell r="P958">
            <v>1037</v>
          </cell>
          <cell r="V958" t="str">
            <v>Available</v>
          </cell>
        </row>
        <row r="959">
          <cell r="E959">
            <v>10030027</v>
          </cell>
          <cell r="H959">
            <v>1.4</v>
          </cell>
          <cell r="I959">
            <v>116.38</v>
          </cell>
          <cell r="J959">
            <v>0</v>
          </cell>
          <cell r="K959">
            <v>0</v>
          </cell>
          <cell r="M959">
            <v>0</v>
          </cell>
          <cell r="P959">
            <v>116</v>
          </cell>
          <cell r="V959" t="str">
            <v>Available</v>
          </cell>
        </row>
        <row r="960">
          <cell r="E960">
            <v>10030027</v>
          </cell>
          <cell r="H960">
            <v>18.600000000000001</v>
          </cell>
          <cell r="I960">
            <v>825.52</v>
          </cell>
          <cell r="J960">
            <v>0</v>
          </cell>
          <cell r="K960">
            <v>0</v>
          </cell>
          <cell r="M960">
            <v>0</v>
          </cell>
          <cell r="P960">
            <v>826</v>
          </cell>
          <cell r="V960" t="str">
            <v>Available</v>
          </cell>
        </row>
        <row r="961">
          <cell r="E961">
            <v>10030027</v>
          </cell>
          <cell r="H961">
            <v>18.200000000000003</v>
          </cell>
          <cell r="I961">
            <v>843.61</v>
          </cell>
          <cell r="J961">
            <v>0</v>
          </cell>
          <cell r="K961">
            <v>0</v>
          </cell>
          <cell r="M961">
            <v>0</v>
          </cell>
          <cell r="P961">
            <v>844</v>
          </cell>
          <cell r="V961" t="str">
            <v>Available</v>
          </cell>
        </row>
        <row r="962">
          <cell r="E962">
            <v>10030027</v>
          </cell>
          <cell r="H962">
            <v>7.0999999999999988</v>
          </cell>
          <cell r="I962">
            <v>303.09000000000003</v>
          </cell>
          <cell r="J962">
            <v>0</v>
          </cell>
          <cell r="K962">
            <v>0</v>
          </cell>
          <cell r="M962">
            <v>0</v>
          </cell>
          <cell r="P962">
            <v>303</v>
          </cell>
          <cell r="V962" t="str">
            <v>Available</v>
          </cell>
        </row>
        <row r="963">
          <cell r="E963">
            <v>10030027</v>
          </cell>
          <cell r="H963">
            <v>1.4</v>
          </cell>
          <cell r="I963">
            <v>121.42</v>
          </cell>
          <cell r="J963">
            <v>0</v>
          </cell>
          <cell r="K963">
            <v>0</v>
          </cell>
          <cell r="M963">
            <v>0</v>
          </cell>
          <cell r="P963">
            <v>121</v>
          </cell>
          <cell r="V963" t="str">
            <v>Available</v>
          </cell>
        </row>
        <row r="964">
          <cell r="E964">
            <v>10030027</v>
          </cell>
          <cell r="H964">
            <v>29.2</v>
          </cell>
          <cell r="I964">
            <v>1084.5899999999999</v>
          </cell>
          <cell r="J964">
            <v>0</v>
          </cell>
          <cell r="K964">
            <v>0</v>
          </cell>
          <cell r="M964">
            <v>0</v>
          </cell>
          <cell r="P964">
            <v>1085</v>
          </cell>
          <cell r="V964" t="str">
            <v>Available</v>
          </cell>
        </row>
        <row r="965">
          <cell r="E965">
            <v>10030027</v>
          </cell>
          <cell r="H965">
            <v>47.500000000000007</v>
          </cell>
          <cell r="I965">
            <v>1900.13</v>
          </cell>
          <cell r="J965">
            <v>0</v>
          </cell>
          <cell r="K965">
            <v>0</v>
          </cell>
          <cell r="M965">
            <v>0</v>
          </cell>
          <cell r="P965">
            <v>1900</v>
          </cell>
          <cell r="V965" t="str">
            <v>Available</v>
          </cell>
        </row>
        <row r="966">
          <cell r="E966">
            <v>10030027</v>
          </cell>
          <cell r="H966">
            <v>19.700000000000003</v>
          </cell>
          <cell r="I966">
            <v>720</v>
          </cell>
          <cell r="J966">
            <v>0</v>
          </cell>
          <cell r="K966">
            <v>0</v>
          </cell>
          <cell r="M966">
            <v>0</v>
          </cell>
          <cell r="P966">
            <v>720</v>
          </cell>
          <cell r="V966" t="str">
            <v>Available</v>
          </cell>
        </row>
        <row r="967">
          <cell r="E967">
            <v>10030027</v>
          </cell>
          <cell r="H967">
            <v>9.5</v>
          </cell>
          <cell r="I967">
            <v>344.28000000000003</v>
          </cell>
          <cell r="J967">
            <v>0</v>
          </cell>
          <cell r="K967">
            <v>0</v>
          </cell>
          <cell r="M967">
            <v>0</v>
          </cell>
          <cell r="P967">
            <v>344</v>
          </cell>
          <cell r="V967" t="str">
            <v>Available</v>
          </cell>
        </row>
        <row r="968">
          <cell r="E968">
            <v>10030027</v>
          </cell>
          <cell r="H968">
            <v>12.3</v>
          </cell>
          <cell r="I968">
            <v>476.81</v>
          </cell>
          <cell r="J968">
            <v>0</v>
          </cell>
          <cell r="K968">
            <v>0</v>
          </cell>
          <cell r="M968">
            <v>0</v>
          </cell>
          <cell r="P968">
            <v>477</v>
          </cell>
          <cell r="V968" t="str">
            <v>Available</v>
          </cell>
        </row>
        <row r="969">
          <cell r="E969">
            <v>10030027</v>
          </cell>
          <cell r="H969">
            <v>23.699999999999996</v>
          </cell>
          <cell r="I969">
            <v>1102.5000000000002</v>
          </cell>
          <cell r="J969">
            <v>0</v>
          </cell>
          <cell r="K969">
            <v>0</v>
          </cell>
          <cell r="M969">
            <v>0</v>
          </cell>
          <cell r="P969">
            <v>1103</v>
          </cell>
          <cell r="V969" t="str">
            <v>Available</v>
          </cell>
        </row>
        <row r="970">
          <cell r="E970">
            <v>10030027</v>
          </cell>
          <cell r="H970">
            <v>18.8</v>
          </cell>
          <cell r="I970">
            <v>765.36000000000013</v>
          </cell>
          <cell r="J970">
            <v>0</v>
          </cell>
          <cell r="K970">
            <v>0</v>
          </cell>
          <cell r="M970">
            <v>0</v>
          </cell>
          <cell r="P970">
            <v>765</v>
          </cell>
          <cell r="V970" t="str">
            <v>Available</v>
          </cell>
        </row>
        <row r="971">
          <cell r="E971">
            <v>10030027</v>
          </cell>
          <cell r="H971">
            <v>12.1</v>
          </cell>
          <cell r="I971">
            <v>429.76</v>
          </cell>
          <cell r="J971">
            <v>0</v>
          </cell>
          <cell r="K971">
            <v>0</v>
          </cell>
          <cell r="M971">
            <v>0</v>
          </cell>
          <cell r="P971">
            <v>430</v>
          </cell>
          <cell r="V971" t="str">
            <v>Available</v>
          </cell>
        </row>
        <row r="972">
          <cell r="E972">
            <v>10030028</v>
          </cell>
          <cell r="H972">
            <v>18.8</v>
          </cell>
          <cell r="I972">
            <v>751.05000000000007</v>
          </cell>
          <cell r="J972">
            <v>0</v>
          </cell>
          <cell r="K972">
            <v>751.05000000000007</v>
          </cell>
          <cell r="M972">
            <v>0</v>
          </cell>
          <cell r="P972">
            <v>0</v>
          </cell>
          <cell r="V972" t="str">
            <v>Not Available</v>
          </cell>
        </row>
        <row r="973">
          <cell r="E973">
            <v>10030028</v>
          </cell>
          <cell r="H973">
            <v>108.19999999999997</v>
          </cell>
          <cell r="I973">
            <v>4221.7400000000007</v>
          </cell>
          <cell r="J973">
            <v>0</v>
          </cell>
          <cell r="K973">
            <v>0</v>
          </cell>
          <cell r="M973">
            <v>0</v>
          </cell>
          <cell r="P973">
            <v>3787</v>
          </cell>
          <cell r="V973" t="str">
            <v>Available</v>
          </cell>
        </row>
        <row r="974">
          <cell r="E974">
            <v>10030028</v>
          </cell>
          <cell r="H974">
            <v>154.60000000000002</v>
          </cell>
          <cell r="I974">
            <v>5552.9000000000005</v>
          </cell>
          <cell r="J974">
            <v>0</v>
          </cell>
          <cell r="K974">
            <v>0</v>
          </cell>
          <cell r="M974">
            <v>0</v>
          </cell>
          <cell r="P974">
            <v>5553</v>
          </cell>
          <cell r="V974" t="str">
            <v>Available</v>
          </cell>
        </row>
        <row r="975">
          <cell r="E975">
            <v>10030028</v>
          </cell>
          <cell r="H975">
            <v>1.7000000000000002</v>
          </cell>
          <cell r="I975">
            <v>66.320000000000007</v>
          </cell>
          <cell r="J975">
            <v>0</v>
          </cell>
          <cell r="K975">
            <v>0</v>
          </cell>
          <cell r="M975">
            <v>0</v>
          </cell>
          <cell r="P975">
            <v>66</v>
          </cell>
          <cell r="V975" t="str">
            <v>Available</v>
          </cell>
        </row>
        <row r="976">
          <cell r="E976">
            <v>10030028</v>
          </cell>
          <cell r="H976">
            <v>11</v>
          </cell>
          <cell r="I976">
            <v>413.96</v>
          </cell>
          <cell r="J976">
            <v>0</v>
          </cell>
          <cell r="K976">
            <v>0</v>
          </cell>
          <cell r="M976">
            <v>0</v>
          </cell>
          <cell r="P976">
            <v>414</v>
          </cell>
          <cell r="V976" t="str">
            <v>Available</v>
          </cell>
        </row>
        <row r="977">
          <cell r="E977">
            <v>10030028</v>
          </cell>
          <cell r="H977">
            <v>19.7</v>
          </cell>
          <cell r="I977">
            <v>721.91000000000008</v>
          </cell>
          <cell r="J977">
            <v>0</v>
          </cell>
          <cell r="K977">
            <v>0</v>
          </cell>
          <cell r="M977">
            <v>0</v>
          </cell>
          <cell r="P977">
            <v>722</v>
          </cell>
          <cell r="V977" t="str">
            <v>Available</v>
          </cell>
        </row>
        <row r="978">
          <cell r="E978">
            <v>10030028</v>
          </cell>
          <cell r="H978">
            <v>112.79999999999997</v>
          </cell>
          <cell r="I978">
            <v>5816.3799999999992</v>
          </cell>
          <cell r="J978">
            <v>0</v>
          </cell>
          <cell r="K978">
            <v>0</v>
          </cell>
          <cell r="M978">
            <v>0</v>
          </cell>
          <cell r="P978">
            <v>5816</v>
          </cell>
          <cell r="V978" t="str">
            <v>Available</v>
          </cell>
        </row>
        <row r="979">
          <cell r="E979">
            <v>10030028</v>
          </cell>
          <cell r="H979">
            <v>8.8000000000000007</v>
          </cell>
          <cell r="I979">
            <v>360.89</v>
          </cell>
          <cell r="J979">
            <v>0</v>
          </cell>
          <cell r="K979">
            <v>0</v>
          </cell>
          <cell r="M979">
            <v>0</v>
          </cell>
          <cell r="P979">
            <v>361</v>
          </cell>
          <cell r="V979" t="str">
            <v>Available</v>
          </cell>
        </row>
        <row r="980">
          <cell r="E980">
            <v>10030028</v>
          </cell>
          <cell r="H980">
            <v>11.1</v>
          </cell>
          <cell r="I980">
            <v>452.65</v>
          </cell>
          <cell r="J980">
            <v>0</v>
          </cell>
          <cell r="K980">
            <v>0</v>
          </cell>
          <cell r="M980">
            <v>0</v>
          </cell>
          <cell r="P980">
            <v>453</v>
          </cell>
          <cell r="V980" t="str">
            <v>Available</v>
          </cell>
        </row>
        <row r="981">
          <cell r="E981">
            <v>10030028</v>
          </cell>
          <cell r="H981">
            <v>7.2000000000000011</v>
          </cell>
          <cell r="I981">
            <v>273.07</v>
          </cell>
          <cell r="J981">
            <v>0</v>
          </cell>
          <cell r="K981">
            <v>0</v>
          </cell>
          <cell r="M981">
            <v>0</v>
          </cell>
          <cell r="P981">
            <v>273</v>
          </cell>
          <cell r="V981" t="str">
            <v>Available</v>
          </cell>
        </row>
        <row r="982">
          <cell r="E982">
            <v>10030028</v>
          </cell>
          <cell r="H982">
            <v>24</v>
          </cell>
          <cell r="I982">
            <v>928.25999999999988</v>
          </cell>
          <cell r="J982">
            <v>0</v>
          </cell>
          <cell r="K982">
            <v>0</v>
          </cell>
          <cell r="M982">
            <v>0</v>
          </cell>
          <cell r="P982">
            <v>928</v>
          </cell>
          <cell r="V982" t="str">
            <v>Available</v>
          </cell>
        </row>
        <row r="983">
          <cell r="E983">
            <v>10030028</v>
          </cell>
          <cell r="H983">
            <v>26.599999999999998</v>
          </cell>
          <cell r="I983">
            <v>1114.52</v>
          </cell>
          <cell r="J983">
            <v>0</v>
          </cell>
          <cell r="K983">
            <v>0</v>
          </cell>
          <cell r="M983">
            <v>0</v>
          </cell>
          <cell r="P983">
            <v>1115</v>
          </cell>
          <cell r="V983" t="str">
            <v>Available</v>
          </cell>
        </row>
        <row r="984">
          <cell r="E984">
            <v>10030028</v>
          </cell>
          <cell r="H984">
            <v>9.1999999999999993</v>
          </cell>
          <cell r="I984">
            <v>324.46000000000004</v>
          </cell>
          <cell r="J984">
            <v>0</v>
          </cell>
          <cell r="K984">
            <v>0</v>
          </cell>
          <cell r="M984">
            <v>0</v>
          </cell>
          <cell r="P984">
            <v>324</v>
          </cell>
          <cell r="V984" t="str">
            <v>Available</v>
          </cell>
        </row>
        <row r="985">
          <cell r="E985">
            <v>10030028</v>
          </cell>
          <cell r="H985">
            <v>20.099999999999998</v>
          </cell>
          <cell r="I985">
            <v>1428.8600000000001</v>
          </cell>
          <cell r="J985">
            <v>0</v>
          </cell>
          <cell r="K985">
            <v>0</v>
          </cell>
          <cell r="M985">
            <v>0</v>
          </cell>
          <cell r="P985">
            <v>1429</v>
          </cell>
          <cell r="V985" t="str">
            <v>Available</v>
          </cell>
        </row>
        <row r="986">
          <cell r="E986">
            <v>10030028</v>
          </cell>
          <cell r="H986">
            <v>22.4</v>
          </cell>
          <cell r="I986">
            <v>779.43999999999994</v>
          </cell>
          <cell r="J986">
            <v>0</v>
          </cell>
          <cell r="K986">
            <v>0</v>
          </cell>
          <cell r="M986">
            <v>0</v>
          </cell>
          <cell r="P986">
            <v>779</v>
          </cell>
          <cell r="V986" t="str">
            <v>Available</v>
          </cell>
        </row>
        <row r="987">
          <cell r="E987">
            <v>10030028</v>
          </cell>
          <cell r="H987">
            <v>1.9</v>
          </cell>
          <cell r="I987">
            <v>75.319999999999993</v>
          </cell>
          <cell r="J987">
            <v>0</v>
          </cell>
          <cell r="K987">
            <v>0</v>
          </cell>
          <cell r="M987">
            <v>0</v>
          </cell>
          <cell r="P987">
            <v>75</v>
          </cell>
          <cell r="V987" t="str">
            <v>Available</v>
          </cell>
        </row>
        <row r="988">
          <cell r="E988">
            <v>10030028</v>
          </cell>
          <cell r="H988">
            <v>27.3</v>
          </cell>
          <cell r="I988">
            <v>1014.6299999999999</v>
          </cell>
          <cell r="J988">
            <v>0</v>
          </cell>
          <cell r="K988">
            <v>0</v>
          </cell>
          <cell r="M988">
            <v>0</v>
          </cell>
          <cell r="P988">
            <v>1015</v>
          </cell>
          <cell r="V988" t="str">
            <v>Available</v>
          </cell>
        </row>
        <row r="989">
          <cell r="E989">
            <v>10030028</v>
          </cell>
          <cell r="H989">
            <v>12.3</v>
          </cell>
          <cell r="I989">
            <v>483.74000000000007</v>
          </cell>
          <cell r="J989">
            <v>0</v>
          </cell>
          <cell r="K989">
            <v>0</v>
          </cell>
          <cell r="M989">
            <v>0</v>
          </cell>
          <cell r="P989">
            <v>484</v>
          </cell>
          <cell r="V989" t="str">
            <v>Available</v>
          </cell>
        </row>
        <row r="990">
          <cell r="E990">
            <v>10030028</v>
          </cell>
          <cell r="H990">
            <v>22.3</v>
          </cell>
          <cell r="I990">
            <v>1053.72</v>
          </cell>
          <cell r="J990">
            <v>0</v>
          </cell>
          <cell r="K990">
            <v>0</v>
          </cell>
          <cell r="M990">
            <v>0</v>
          </cell>
          <cell r="P990">
            <v>1054</v>
          </cell>
          <cell r="V990" t="str">
            <v>Available</v>
          </cell>
        </row>
        <row r="991">
          <cell r="E991">
            <v>10030028</v>
          </cell>
          <cell r="H991">
            <v>23.2</v>
          </cell>
          <cell r="I991">
            <v>783.31</v>
          </cell>
          <cell r="J991">
            <v>0</v>
          </cell>
          <cell r="K991">
            <v>0</v>
          </cell>
          <cell r="M991">
            <v>0</v>
          </cell>
          <cell r="P991">
            <v>783</v>
          </cell>
          <cell r="V991" t="str">
            <v>Available</v>
          </cell>
        </row>
        <row r="992">
          <cell r="E992">
            <v>10030028</v>
          </cell>
          <cell r="H992">
            <v>4.8999999999999995</v>
          </cell>
          <cell r="I992">
            <v>178.45</v>
          </cell>
          <cell r="J992">
            <v>0</v>
          </cell>
          <cell r="K992">
            <v>0</v>
          </cell>
          <cell r="M992">
            <v>0</v>
          </cell>
          <cell r="P992">
            <v>178</v>
          </cell>
          <cell r="V992" t="str">
            <v>Available</v>
          </cell>
        </row>
        <row r="993">
          <cell r="E993">
            <v>10030028</v>
          </cell>
          <cell r="H993">
            <v>13.800000000000002</v>
          </cell>
          <cell r="I993">
            <v>539.98</v>
          </cell>
          <cell r="J993">
            <v>0</v>
          </cell>
          <cell r="K993">
            <v>0</v>
          </cell>
          <cell r="M993">
            <v>0</v>
          </cell>
          <cell r="P993">
            <v>540</v>
          </cell>
          <cell r="V993" t="str">
            <v>Available</v>
          </cell>
        </row>
        <row r="994">
          <cell r="E994">
            <v>10030028</v>
          </cell>
          <cell r="H994">
            <v>1.5</v>
          </cell>
          <cell r="I994">
            <v>46.28</v>
          </cell>
          <cell r="J994">
            <v>0</v>
          </cell>
          <cell r="K994">
            <v>0</v>
          </cell>
          <cell r="M994">
            <v>0</v>
          </cell>
          <cell r="P994">
            <v>46</v>
          </cell>
          <cell r="V994" t="str">
            <v>Available</v>
          </cell>
        </row>
        <row r="995">
          <cell r="E995">
            <v>10030028</v>
          </cell>
          <cell r="H995">
            <v>6.1</v>
          </cell>
          <cell r="I995">
            <v>284.64000000000004</v>
          </cell>
          <cell r="J995">
            <v>0</v>
          </cell>
          <cell r="K995">
            <v>0</v>
          </cell>
          <cell r="M995">
            <v>0</v>
          </cell>
          <cell r="P995">
            <v>285</v>
          </cell>
          <cell r="V995" t="str">
            <v>Available</v>
          </cell>
        </row>
        <row r="996">
          <cell r="E996">
            <v>10030028</v>
          </cell>
          <cell r="H996">
            <v>19.8</v>
          </cell>
          <cell r="I996">
            <v>776.71000000000015</v>
          </cell>
          <cell r="J996">
            <v>0</v>
          </cell>
          <cell r="K996">
            <v>0</v>
          </cell>
          <cell r="M996">
            <v>0</v>
          </cell>
          <cell r="P996">
            <v>777</v>
          </cell>
          <cell r="V996" t="str">
            <v>Available</v>
          </cell>
        </row>
        <row r="997">
          <cell r="E997">
            <v>10030028</v>
          </cell>
          <cell r="H997">
            <v>243</v>
          </cell>
          <cell r="I997">
            <v>9283.2599999999984</v>
          </cell>
          <cell r="J997">
            <v>0</v>
          </cell>
          <cell r="K997">
            <v>0</v>
          </cell>
          <cell r="M997">
            <v>0</v>
          </cell>
          <cell r="P997">
            <v>9283</v>
          </cell>
          <cell r="V997" t="str">
            <v>Available</v>
          </cell>
        </row>
        <row r="998">
          <cell r="E998">
            <v>10030028</v>
          </cell>
          <cell r="H998">
            <v>4.7</v>
          </cell>
          <cell r="I998">
            <v>179.87999999999997</v>
          </cell>
          <cell r="J998">
            <v>0</v>
          </cell>
          <cell r="K998">
            <v>0</v>
          </cell>
          <cell r="M998">
            <v>0</v>
          </cell>
          <cell r="P998">
            <v>180</v>
          </cell>
          <cell r="V998" t="str">
            <v>Available</v>
          </cell>
        </row>
        <row r="999">
          <cell r="E999">
            <v>10030028</v>
          </cell>
          <cell r="H999">
            <v>4.0999999999999996</v>
          </cell>
          <cell r="I999">
            <v>311.52</v>
          </cell>
          <cell r="J999">
            <v>0</v>
          </cell>
          <cell r="K999">
            <v>0</v>
          </cell>
          <cell r="M999">
            <v>0</v>
          </cell>
          <cell r="P999">
            <v>312</v>
          </cell>
          <cell r="V999" t="str">
            <v>Available</v>
          </cell>
        </row>
        <row r="1000">
          <cell r="E1000">
            <v>10030028</v>
          </cell>
          <cell r="H1000">
            <v>34.1</v>
          </cell>
          <cell r="I1000">
            <v>1414.77</v>
          </cell>
          <cell r="J1000">
            <v>0</v>
          </cell>
          <cell r="K1000">
            <v>0</v>
          </cell>
          <cell r="M1000">
            <v>0</v>
          </cell>
          <cell r="P1000">
            <v>1415</v>
          </cell>
          <cell r="V1000" t="str">
            <v>Available</v>
          </cell>
        </row>
        <row r="1001">
          <cell r="E1001">
            <v>10030028</v>
          </cell>
          <cell r="H1001">
            <v>6.9</v>
          </cell>
          <cell r="I1001">
            <v>260.74</v>
          </cell>
          <cell r="J1001">
            <v>0</v>
          </cell>
          <cell r="K1001">
            <v>0</v>
          </cell>
          <cell r="M1001">
            <v>0</v>
          </cell>
          <cell r="P1001">
            <v>261</v>
          </cell>
          <cell r="V1001" t="str">
            <v>Available</v>
          </cell>
        </row>
        <row r="1002">
          <cell r="E1002">
            <v>10030028</v>
          </cell>
          <cell r="H1002">
            <v>22.1</v>
          </cell>
          <cell r="I1002">
            <v>779.58</v>
          </cell>
          <cell r="J1002">
            <v>0</v>
          </cell>
          <cell r="K1002">
            <v>0</v>
          </cell>
          <cell r="M1002">
            <v>0</v>
          </cell>
          <cell r="P1002">
            <v>780</v>
          </cell>
          <cell r="V1002" t="str">
            <v>Available</v>
          </cell>
        </row>
        <row r="1003">
          <cell r="E1003">
            <v>10030028</v>
          </cell>
          <cell r="H1003">
            <v>18.599999999999998</v>
          </cell>
          <cell r="I1003">
            <v>719.95</v>
          </cell>
          <cell r="J1003">
            <v>0</v>
          </cell>
          <cell r="K1003">
            <v>0</v>
          </cell>
          <cell r="M1003">
            <v>0</v>
          </cell>
          <cell r="P1003">
            <v>720</v>
          </cell>
          <cell r="V1003" t="str">
            <v>Available</v>
          </cell>
        </row>
        <row r="1004">
          <cell r="E1004">
            <v>10030030</v>
          </cell>
          <cell r="H1004">
            <v>53.500000000000007</v>
          </cell>
          <cell r="I1004">
            <v>2440.16</v>
          </cell>
          <cell r="J1004">
            <v>0</v>
          </cell>
          <cell r="K1004">
            <v>0</v>
          </cell>
          <cell r="M1004">
            <v>0</v>
          </cell>
          <cell r="P1004">
            <v>2440</v>
          </cell>
          <cell r="V1004" t="str">
            <v>Available</v>
          </cell>
        </row>
        <row r="1005">
          <cell r="E1005">
            <v>10030031</v>
          </cell>
          <cell r="H1005">
            <v>10</v>
          </cell>
          <cell r="I1005">
            <v>373.9</v>
          </cell>
          <cell r="J1005">
            <v>0</v>
          </cell>
          <cell r="K1005">
            <v>0</v>
          </cell>
          <cell r="M1005">
            <v>0</v>
          </cell>
          <cell r="P1005">
            <v>276</v>
          </cell>
          <cell r="V1005" t="str">
            <v>Available</v>
          </cell>
        </row>
        <row r="1006">
          <cell r="E1006">
            <v>10030031</v>
          </cell>
          <cell r="H1006">
            <v>105.94999999999999</v>
          </cell>
          <cell r="I1006">
            <v>4120.5399999999991</v>
          </cell>
          <cell r="J1006">
            <v>0</v>
          </cell>
          <cell r="K1006">
            <v>0</v>
          </cell>
          <cell r="M1006">
            <v>0</v>
          </cell>
          <cell r="P1006">
            <v>4121</v>
          </cell>
          <cell r="V1006" t="str">
            <v>Available</v>
          </cell>
        </row>
        <row r="1007">
          <cell r="E1007">
            <v>10030031</v>
          </cell>
          <cell r="H1007">
            <v>64.010000000000005</v>
          </cell>
          <cell r="I1007">
            <v>2457.6</v>
          </cell>
          <cell r="J1007">
            <v>0</v>
          </cell>
          <cell r="K1007">
            <v>0</v>
          </cell>
          <cell r="M1007">
            <v>0</v>
          </cell>
          <cell r="P1007">
            <v>2458</v>
          </cell>
          <cell r="V1007" t="str">
            <v>Available</v>
          </cell>
        </row>
        <row r="1008">
          <cell r="E1008">
            <v>10030031</v>
          </cell>
          <cell r="H1008">
            <v>36.92</v>
          </cell>
          <cell r="I1008">
            <v>1398.43</v>
          </cell>
          <cell r="J1008">
            <v>0</v>
          </cell>
          <cell r="K1008">
            <v>0</v>
          </cell>
          <cell r="M1008">
            <v>0</v>
          </cell>
          <cell r="P1008">
            <v>1398</v>
          </cell>
          <cell r="V1008" t="str">
            <v>Available</v>
          </cell>
        </row>
        <row r="1009">
          <cell r="E1009">
            <v>10030031</v>
          </cell>
          <cell r="H1009">
            <v>73.239999999999995</v>
          </cell>
          <cell r="I1009">
            <v>2726.2500000000005</v>
          </cell>
          <cell r="J1009">
            <v>0</v>
          </cell>
          <cell r="K1009">
            <v>0</v>
          </cell>
          <cell r="M1009">
            <v>0</v>
          </cell>
          <cell r="P1009">
            <v>2726</v>
          </cell>
          <cell r="V1009" t="str">
            <v>Available</v>
          </cell>
        </row>
        <row r="1010">
          <cell r="E1010">
            <v>10030031</v>
          </cell>
          <cell r="H1010">
            <v>11.03</v>
          </cell>
          <cell r="I1010">
            <v>423.67</v>
          </cell>
          <cell r="J1010">
            <v>0</v>
          </cell>
          <cell r="K1010">
            <v>0</v>
          </cell>
          <cell r="M1010">
            <v>0</v>
          </cell>
          <cell r="P1010">
            <v>424</v>
          </cell>
          <cell r="V1010" t="str">
            <v>Available</v>
          </cell>
        </row>
        <row r="1011">
          <cell r="E1011">
            <v>10030031</v>
          </cell>
          <cell r="H1011">
            <v>17.14</v>
          </cell>
          <cell r="I1011">
            <v>652.74999999999989</v>
          </cell>
          <cell r="J1011">
            <v>0</v>
          </cell>
          <cell r="K1011">
            <v>0</v>
          </cell>
          <cell r="M1011">
            <v>0</v>
          </cell>
          <cell r="P1011">
            <v>653</v>
          </cell>
          <cell r="V1011" t="str">
            <v>Available</v>
          </cell>
        </row>
        <row r="1012">
          <cell r="E1012">
            <v>10030031</v>
          </cell>
          <cell r="H1012">
            <v>10.56</v>
          </cell>
          <cell r="I1012">
            <v>406.22999999999996</v>
          </cell>
          <cell r="J1012">
            <v>0</v>
          </cell>
          <cell r="K1012">
            <v>0</v>
          </cell>
          <cell r="M1012">
            <v>0</v>
          </cell>
          <cell r="P1012">
            <v>406</v>
          </cell>
          <cell r="V1012" t="str">
            <v>Available</v>
          </cell>
        </row>
        <row r="1013">
          <cell r="E1013">
            <v>10030031</v>
          </cell>
          <cell r="H1013">
            <v>24.060000000000002</v>
          </cell>
          <cell r="I1013">
            <v>961.78</v>
          </cell>
          <cell r="J1013">
            <v>0</v>
          </cell>
          <cell r="K1013">
            <v>0</v>
          </cell>
          <cell r="M1013">
            <v>0</v>
          </cell>
          <cell r="P1013">
            <v>962</v>
          </cell>
          <cell r="V1013" t="str">
            <v>Available</v>
          </cell>
        </row>
        <row r="1014">
          <cell r="E1014">
            <v>10030031</v>
          </cell>
          <cell r="H1014">
            <v>65.67</v>
          </cell>
          <cell r="I1014">
            <v>2465.8000000000002</v>
          </cell>
          <cell r="J1014">
            <v>0</v>
          </cell>
          <cell r="K1014">
            <v>0</v>
          </cell>
          <cell r="M1014">
            <v>0</v>
          </cell>
          <cell r="P1014">
            <v>2466</v>
          </cell>
          <cell r="V1014" t="str">
            <v>Available</v>
          </cell>
        </row>
        <row r="1015">
          <cell r="E1015">
            <v>10030031</v>
          </cell>
          <cell r="H1015">
            <v>12.56</v>
          </cell>
          <cell r="I1015">
            <v>471.25</v>
          </cell>
          <cell r="J1015">
            <v>0</v>
          </cell>
          <cell r="K1015">
            <v>0</v>
          </cell>
          <cell r="M1015">
            <v>0</v>
          </cell>
          <cell r="P1015">
            <v>471</v>
          </cell>
          <cell r="V1015" t="str">
            <v>Available</v>
          </cell>
        </row>
        <row r="1016">
          <cell r="E1016">
            <v>10030031</v>
          </cell>
          <cell r="H1016">
            <v>7.51</v>
          </cell>
          <cell r="I1016">
            <v>280.54000000000002</v>
          </cell>
          <cell r="J1016">
            <v>0</v>
          </cell>
          <cell r="K1016">
            <v>0</v>
          </cell>
          <cell r="M1016">
            <v>0</v>
          </cell>
          <cell r="P1016">
            <v>281</v>
          </cell>
          <cell r="V1016" t="str">
            <v>Available</v>
          </cell>
        </row>
        <row r="1017">
          <cell r="E1017">
            <v>10030031</v>
          </cell>
          <cell r="H1017">
            <v>28.75</v>
          </cell>
          <cell r="I1017">
            <v>1045.6499999999999</v>
          </cell>
          <cell r="J1017">
            <v>0</v>
          </cell>
          <cell r="K1017">
            <v>0</v>
          </cell>
          <cell r="M1017">
            <v>0</v>
          </cell>
          <cell r="P1017">
            <v>1046</v>
          </cell>
          <cell r="V1017" t="str">
            <v>Available</v>
          </cell>
        </row>
        <row r="1018">
          <cell r="E1018">
            <v>10030031</v>
          </cell>
          <cell r="H1018">
            <v>5.9399999999999995</v>
          </cell>
          <cell r="I1018">
            <v>227.9</v>
          </cell>
          <cell r="J1018">
            <v>0</v>
          </cell>
          <cell r="K1018">
            <v>0</v>
          </cell>
          <cell r="M1018">
            <v>0</v>
          </cell>
          <cell r="P1018">
            <v>228</v>
          </cell>
          <cell r="V1018" t="str">
            <v>Available</v>
          </cell>
        </row>
        <row r="1019">
          <cell r="E1019">
            <v>10030031</v>
          </cell>
          <cell r="H1019">
            <v>68.460000000000008</v>
          </cell>
          <cell r="I1019">
            <v>2490.25</v>
          </cell>
          <cell r="J1019">
            <v>0</v>
          </cell>
          <cell r="K1019">
            <v>0</v>
          </cell>
          <cell r="M1019">
            <v>0</v>
          </cell>
          <cell r="P1019">
            <v>2490</v>
          </cell>
          <cell r="V1019" t="str">
            <v>Available</v>
          </cell>
        </row>
        <row r="1020">
          <cell r="E1020">
            <v>10030031</v>
          </cell>
          <cell r="H1020">
            <v>23.68</v>
          </cell>
          <cell r="I1020">
            <v>959.94999999999993</v>
          </cell>
          <cell r="J1020">
            <v>0</v>
          </cell>
          <cell r="K1020">
            <v>0</v>
          </cell>
          <cell r="M1020">
            <v>0</v>
          </cell>
          <cell r="P1020">
            <v>960</v>
          </cell>
          <cell r="V1020" t="str">
            <v>Available</v>
          </cell>
        </row>
        <row r="1021">
          <cell r="E1021">
            <v>10030031</v>
          </cell>
          <cell r="H1021">
            <v>33.020000000000003</v>
          </cell>
          <cell r="I1021">
            <v>1235.78</v>
          </cell>
          <cell r="J1021">
            <v>0</v>
          </cell>
          <cell r="K1021">
            <v>0</v>
          </cell>
          <cell r="M1021">
            <v>0</v>
          </cell>
          <cell r="P1021">
            <v>1236</v>
          </cell>
          <cell r="V1021" t="str">
            <v>Available</v>
          </cell>
        </row>
        <row r="1022">
          <cell r="E1022">
            <v>10030031</v>
          </cell>
          <cell r="H1022">
            <v>7.8899999999999988</v>
          </cell>
          <cell r="I1022">
            <v>292.28000000000003</v>
          </cell>
          <cell r="J1022">
            <v>0</v>
          </cell>
          <cell r="K1022">
            <v>0</v>
          </cell>
          <cell r="M1022">
            <v>0</v>
          </cell>
          <cell r="P1022">
            <v>292</v>
          </cell>
          <cell r="V1022" t="str">
            <v>Available</v>
          </cell>
        </row>
        <row r="1023">
          <cell r="E1023">
            <v>10030031</v>
          </cell>
          <cell r="H1023">
            <v>12.26</v>
          </cell>
          <cell r="I1023">
            <v>459.26000000000005</v>
          </cell>
          <cell r="J1023">
            <v>0</v>
          </cell>
          <cell r="K1023">
            <v>0</v>
          </cell>
          <cell r="M1023">
            <v>0</v>
          </cell>
          <cell r="P1023">
            <v>459</v>
          </cell>
          <cell r="V1023" t="str">
            <v>Available</v>
          </cell>
        </row>
        <row r="1024">
          <cell r="E1024">
            <v>10030031</v>
          </cell>
          <cell r="H1024">
            <v>26.950000000000003</v>
          </cell>
          <cell r="I1024">
            <v>982.68</v>
          </cell>
          <cell r="J1024">
            <v>0</v>
          </cell>
          <cell r="K1024">
            <v>0</v>
          </cell>
          <cell r="M1024">
            <v>0</v>
          </cell>
          <cell r="P1024">
            <v>983</v>
          </cell>
          <cell r="V1024" t="str">
            <v>Available</v>
          </cell>
        </row>
        <row r="1025">
          <cell r="E1025">
            <v>10030031</v>
          </cell>
          <cell r="H1025">
            <v>37.660000000000004</v>
          </cell>
          <cell r="I1025">
            <v>1397.84</v>
          </cell>
          <cell r="J1025">
            <v>0</v>
          </cell>
          <cell r="K1025">
            <v>0</v>
          </cell>
          <cell r="M1025">
            <v>0</v>
          </cell>
          <cell r="P1025">
            <v>1398</v>
          </cell>
          <cell r="V1025" t="str">
            <v>Available</v>
          </cell>
        </row>
        <row r="1026">
          <cell r="E1026">
            <v>10030031</v>
          </cell>
          <cell r="H1026">
            <v>11.02</v>
          </cell>
          <cell r="I1026">
            <v>411.76999999999992</v>
          </cell>
          <cell r="J1026">
            <v>0</v>
          </cell>
          <cell r="K1026">
            <v>0</v>
          </cell>
          <cell r="M1026">
            <v>0</v>
          </cell>
          <cell r="P1026">
            <v>412</v>
          </cell>
          <cell r="V1026" t="str">
            <v>Available</v>
          </cell>
        </row>
        <row r="1027">
          <cell r="E1027">
            <v>10030032</v>
          </cell>
          <cell r="H1027">
            <v>5.3</v>
          </cell>
          <cell r="I1027">
            <v>156.93</v>
          </cell>
          <cell r="J1027">
            <v>0</v>
          </cell>
          <cell r="K1027">
            <v>156.93</v>
          </cell>
          <cell r="M1027">
            <v>0</v>
          </cell>
          <cell r="P1027">
            <v>0</v>
          </cell>
          <cell r="V1027" t="str">
            <v>Not Available</v>
          </cell>
        </row>
        <row r="1028">
          <cell r="E1028">
            <v>10030032</v>
          </cell>
          <cell r="H1028">
            <v>194.29999999999998</v>
          </cell>
          <cell r="I1028">
            <v>7130.0199999999995</v>
          </cell>
          <cell r="J1028">
            <v>0</v>
          </cell>
          <cell r="K1028">
            <v>0</v>
          </cell>
          <cell r="M1028">
            <v>0</v>
          </cell>
          <cell r="P1028">
            <v>6548</v>
          </cell>
          <cell r="V1028" t="str">
            <v>Available</v>
          </cell>
        </row>
        <row r="1029">
          <cell r="E1029">
            <v>10030032</v>
          </cell>
          <cell r="H1029">
            <v>94.9</v>
          </cell>
          <cell r="I1029">
            <v>3594.33</v>
          </cell>
          <cell r="J1029">
            <v>0</v>
          </cell>
          <cell r="K1029">
            <v>0</v>
          </cell>
          <cell r="M1029">
            <v>0</v>
          </cell>
          <cell r="P1029">
            <v>3594</v>
          </cell>
          <cell r="V1029" t="str">
            <v>Available</v>
          </cell>
        </row>
        <row r="1030">
          <cell r="E1030">
            <v>10030032</v>
          </cell>
          <cell r="H1030">
            <v>18.5</v>
          </cell>
          <cell r="I1030">
            <v>801.77</v>
          </cell>
          <cell r="J1030">
            <v>0</v>
          </cell>
          <cell r="K1030">
            <v>0</v>
          </cell>
          <cell r="M1030">
            <v>0</v>
          </cell>
          <cell r="P1030">
            <v>802</v>
          </cell>
          <cell r="V1030" t="str">
            <v>Available</v>
          </cell>
        </row>
        <row r="1031">
          <cell r="E1031">
            <v>10030032</v>
          </cell>
          <cell r="H1031">
            <v>34.6</v>
          </cell>
          <cell r="I1031">
            <v>1934.5</v>
          </cell>
          <cell r="J1031">
            <v>0</v>
          </cell>
          <cell r="K1031">
            <v>0</v>
          </cell>
          <cell r="M1031">
            <v>0</v>
          </cell>
          <cell r="P1031">
            <v>1935</v>
          </cell>
          <cell r="V1031" t="str">
            <v>Available</v>
          </cell>
        </row>
        <row r="1032">
          <cell r="E1032">
            <v>10030032</v>
          </cell>
          <cell r="H1032">
            <v>76.400000000000006</v>
          </cell>
          <cell r="I1032">
            <v>2927.6100000000006</v>
          </cell>
          <cell r="J1032">
            <v>0</v>
          </cell>
          <cell r="K1032">
            <v>0</v>
          </cell>
          <cell r="M1032">
            <v>0</v>
          </cell>
          <cell r="P1032">
            <v>2928</v>
          </cell>
          <cell r="V1032" t="str">
            <v>Available</v>
          </cell>
        </row>
        <row r="1033">
          <cell r="E1033">
            <v>10030032</v>
          </cell>
          <cell r="H1033">
            <v>28.599999999999998</v>
          </cell>
          <cell r="I1033">
            <v>1049.32</v>
          </cell>
          <cell r="J1033">
            <v>0</v>
          </cell>
          <cell r="K1033">
            <v>0</v>
          </cell>
          <cell r="M1033">
            <v>0</v>
          </cell>
          <cell r="P1033">
            <v>1049</v>
          </cell>
          <cell r="V1033" t="str">
            <v>Available</v>
          </cell>
        </row>
        <row r="1034">
          <cell r="E1034">
            <v>10030032</v>
          </cell>
          <cell r="H1034">
            <v>12.599999999999998</v>
          </cell>
          <cell r="I1034">
            <v>477.17</v>
          </cell>
          <cell r="J1034">
            <v>0</v>
          </cell>
          <cell r="K1034">
            <v>0</v>
          </cell>
          <cell r="M1034">
            <v>0</v>
          </cell>
          <cell r="P1034">
            <v>477</v>
          </cell>
          <cell r="V1034" t="str">
            <v>Available</v>
          </cell>
        </row>
        <row r="1035">
          <cell r="E1035">
            <v>10030032</v>
          </cell>
          <cell r="H1035">
            <v>10.399999999999999</v>
          </cell>
          <cell r="I1035">
            <v>383.94</v>
          </cell>
          <cell r="J1035">
            <v>0</v>
          </cell>
          <cell r="K1035">
            <v>0</v>
          </cell>
          <cell r="M1035">
            <v>0</v>
          </cell>
          <cell r="P1035">
            <v>384</v>
          </cell>
          <cell r="V1035" t="str">
            <v>Available</v>
          </cell>
        </row>
        <row r="1036">
          <cell r="E1036">
            <v>10030032</v>
          </cell>
          <cell r="H1036">
            <v>35.299999999999997</v>
          </cell>
          <cell r="I1036">
            <v>1578.15</v>
          </cell>
          <cell r="J1036">
            <v>0</v>
          </cell>
          <cell r="K1036">
            <v>0</v>
          </cell>
          <cell r="M1036">
            <v>0</v>
          </cell>
          <cell r="P1036">
            <v>1578</v>
          </cell>
          <cell r="V1036" t="str">
            <v>Available</v>
          </cell>
        </row>
        <row r="1037">
          <cell r="E1037">
            <v>10030032</v>
          </cell>
          <cell r="H1037">
            <v>26.999999999999996</v>
          </cell>
          <cell r="I1037">
            <v>1109.74</v>
          </cell>
          <cell r="J1037">
            <v>0</v>
          </cell>
          <cell r="K1037">
            <v>0</v>
          </cell>
          <cell r="M1037">
            <v>0</v>
          </cell>
          <cell r="P1037">
            <v>1110</v>
          </cell>
          <cell r="V1037" t="str">
            <v>Available</v>
          </cell>
        </row>
        <row r="1038">
          <cell r="E1038">
            <v>10030032</v>
          </cell>
          <cell r="H1038">
            <v>13.4</v>
          </cell>
          <cell r="I1038">
            <v>486.43000000000006</v>
          </cell>
          <cell r="J1038">
            <v>0</v>
          </cell>
          <cell r="K1038">
            <v>0</v>
          </cell>
          <cell r="M1038">
            <v>0</v>
          </cell>
          <cell r="P1038">
            <v>486</v>
          </cell>
          <cell r="V1038" t="str">
            <v>Available</v>
          </cell>
        </row>
        <row r="1039">
          <cell r="E1039">
            <v>10030032</v>
          </cell>
          <cell r="H1039">
            <v>44.20000000000001</v>
          </cell>
          <cell r="I1039">
            <v>2124.19</v>
          </cell>
          <cell r="J1039">
            <v>0</v>
          </cell>
          <cell r="K1039">
            <v>0</v>
          </cell>
          <cell r="M1039">
            <v>0</v>
          </cell>
          <cell r="P1039">
            <v>2124</v>
          </cell>
          <cell r="V1039" t="str">
            <v>Available</v>
          </cell>
        </row>
        <row r="1040">
          <cell r="E1040">
            <v>10030032</v>
          </cell>
          <cell r="H1040">
            <v>173.7</v>
          </cell>
          <cell r="I1040">
            <v>6461.4599999999991</v>
          </cell>
          <cell r="J1040">
            <v>0</v>
          </cell>
          <cell r="K1040">
            <v>0</v>
          </cell>
          <cell r="M1040">
            <v>0</v>
          </cell>
          <cell r="P1040">
            <v>6461</v>
          </cell>
          <cell r="V1040" t="str">
            <v>Available</v>
          </cell>
        </row>
        <row r="1041">
          <cell r="E1041">
            <v>10030032</v>
          </cell>
          <cell r="H1041">
            <v>19.7</v>
          </cell>
          <cell r="I1041">
            <v>777.69999999999993</v>
          </cell>
          <cell r="J1041">
            <v>0</v>
          </cell>
          <cell r="K1041">
            <v>0</v>
          </cell>
          <cell r="M1041">
            <v>0</v>
          </cell>
          <cell r="P1041">
            <v>778</v>
          </cell>
          <cell r="V1041" t="str">
            <v>Available</v>
          </cell>
        </row>
        <row r="1042">
          <cell r="E1042">
            <v>10030032</v>
          </cell>
          <cell r="H1042">
            <v>22.299999999999997</v>
          </cell>
          <cell r="I1042">
            <v>969.45000000000016</v>
          </cell>
          <cell r="J1042">
            <v>0</v>
          </cell>
          <cell r="K1042">
            <v>0</v>
          </cell>
          <cell r="M1042">
            <v>0</v>
          </cell>
          <cell r="P1042">
            <v>969</v>
          </cell>
          <cell r="V1042" t="str">
            <v>Available</v>
          </cell>
        </row>
        <row r="1043">
          <cell r="E1043">
            <v>10030034</v>
          </cell>
          <cell r="H1043">
            <v>0.49</v>
          </cell>
          <cell r="I1043">
            <v>17.25</v>
          </cell>
          <cell r="J1043">
            <v>0</v>
          </cell>
          <cell r="K1043">
            <v>17.25</v>
          </cell>
          <cell r="M1043">
            <v>0</v>
          </cell>
          <cell r="P1043">
            <v>0</v>
          </cell>
          <cell r="V1043" t="str">
            <v>Not Available</v>
          </cell>
        </row>
        <row r="1044">
          <cell r="E1044">
            <v>10030034</v>
          </cell>
          <cell r="H1044">
            <v>15.02</v>
          </cell>
          <cell r="I1044">
            <v>615.52</v>
          </cell>
          <cell r="J1044">
            <v>0</v>
          </cell>
          <cell r="K1044">
            <v>0</v>
          </cell>
          <cell r="M1044">
            <v>0</v>
          </cell>
          <cell r="P1044">
            <v>0</v>
          </cell>
          <cell r="V1044" t="str">
            <v>Available</v>
          </cell>
        </row>
        <row r="1045">
          <cell r="E1045">
            <v>10030034</v>
          </cell>
          <cell r="H1045">
            <v>180.92999999999995</v>
          </cell>
          <cell r="I1045">
            <v>10433.94</v>
          </cell>
          <cell r="J1045">
            <v>0</v>
          </cell>
          <cell r="K1045">
            <v>0</v>
          </cell>
          <cell r="M1045">
            <v>0</v>
          </cell>
          <cell r="P1045">
            <v>10434</v>
          </cell>
          <cell r="V1045" t="str">
            <v>Available</v>
          </cell>
        </row>
        <row r="1046">
          <cell r="E1046">
            <v>10030034</v>
          </cell>
          <cell r="H1046">
            <v>23.060000000000002</v>
          </cell>
          <cell r="I1046">
            <v>801.77</v>
          </cell>
          <cell r="J1046">
            <v>0</v>
          </cell>
          <cell r="K1046">
            <v>0</v>
          </cell>
          <cell r="M1046">
            <v>0</v>
          </cell>
          <cell r="P1046">
            <v>802</v>
          </cell>
          <cell r="V1046" t="str">
            <v>Available</v>
          </cell>
        </row>
        <row r="1047">
          <cell r="E1047">
            <v>10030034</v>
          </cell>
          <cell r="H1047">
            <v>12.299999999999997</v>
          </cell>
          <cell r="I1047">
            <v>453.8</v>
          </cell>
          <cell r="J1047">
            <v>0</v>
          </cell>
          <cell r="K1047">
            <v>0</v>
          </cell>
          <cell r="M1047">
            <v>0</v>
          </cell>
          <cell r="P1047">
            <v>454</v>
          </cell>
          <cell r="V1047" t="str">
            <v>Available</v>
          </cell>
        </row>
        <row r="1048">
          <cell r="E1048">
            <v>10030034</v>
          </cell>
          <cell r="H1048">
            <v>4.74</v>
          </cell>
          <cell r="I1048">
            <v>171.56</v>
          </cell>
          <cell r="J1048">
            <v>0</v>
          </cell>
          <cell r="K1048">
            <v>0</v>
          </cell>
          <cell r="M1048">
            <v>0</v>
          </cell>
          <cell r="P1048">
            <v>172</v>
          </cell>
          <cell r="V1048" t="str">
            <v>Available</v>
          </cell>
        </row>
        <row r="1049">
          <cell r="E1049">
            <v>10030034</v>
          </cell>
          <cell r="H1049">
            <v>31.300000000000004</v>
          </cell>
          <cell r="I1049">
            <v>1116.69</v>
          </cell>
          <cell r="J1049">
            <v>0</v>
          </cell>
          <cell r="K1049">
            <v>0</v>
          </cell>
          <cell r="M1049">
            <v>0</v>
          </cell>
          <cell r="P1049">
            <v>1117</v>
          </cell>
          <cell r="V1049" t="str">
            <v>Available</v>
          </cell>
        </row>
        <row r="1050">
          <cell r="E1050">
            <v>10030034</v>
          </cell>
          <cell r="H1050">
            <v>31.34</v>
          </cell>
          <cell r="I1050">
            <v>1081.0299999999997</v>
          </cell>
          <cell r="J1050">
            <v>0</v>
          </cell>
          <cell r="K1050">
            <v>0</v>
          </cell>
          <cell r="M1050">
            <v>0</v>
          </cell>
          <cell r="P1050">
            <v>1081</v>
          </cell>
          <cell r="V1050" t="str">
            <v>Available</v>
          </cell>
        </row>
        <row r="1051">
          <cell r="E1051">
            <v>10030034</v>
          </cell>
          <cell r="H1051">
            <v>7.3599999999999994</v>
          </cell>
          <cell r="I1051">
            <v>350.83</v>
          </cell>
          <cell r="J1051">
            <v>0</v>
          </cell>
          <cell r="K1051">
            <v>0</v>
          </cell>
          <cell r="M1051">
            <v>0</v>
          </cell>
          <cell r="P1051">
            <v>351</v>
          </cell>
          <cell r="V1051" t="str">
            <v>Available</v>
          </cell>
        </row>
        <row r="1052">
          <cell r="E1052">
            <v>10030034</v>
          </cell>
          <cell r="H1052">
            <v>75.47</v>
          </cell>
          <cell r="I1052">
            <v>3211.59</v>
          </cell>
          <cell r="J1052">
            <v>0</v>
          </cell>
          <cell r="K1052">
            <v>0</v>
          </cell>
          <cell r="M1052">
            <v>0</v>
          </cell>
          <cell r="P1052">
            <v>3212</v>
          </cell>
          <cell r="V1052" t="str">
            <v>Available</v>
          </cell>
        </row>
        <row r="1053">
          <cell r="E1053">
            <v>10030034</v>
          </cell>
          <cell r="H1053">
            <v>31.15</v>
          </cell>
          <cell r="I1053">
            <v>1111.0100000000002</v>
          </cell>
          <cell r="J1053">
            <v>0</v>
          </cell>
          <cell r="K1053">
            <v>0</v>
          </cell>
          <cell r="M1053">
            <v>0</v>
          </cell>
          <cell r="P1053">
            <v>1111</v>
          </cell>
          <cell r="V1053" t="str">
            <v>Available</v>
          </cell>
        </row>
        <row r="1054">
          <cell r="E1054">
            <v>10030034</v>
          </cell>
          <cell r="H1054">
            <v>43.36</v>
          </cell>
          <cell r="I1054">
            <v>1499.7700000000002</v>
          </cell>
          <cell r="J1054">
            <v>0</v>
          </cell>
          <cell r="K1054">
            <v>0</v>
          </cell>
          <cell r="M1054">
            <v>0</v>
          </cell>
          <cell r="P1054">
            <v>1500</v>
          </cell>
          <cell r="V1054" t="str">
            <v>Available</v>
          </cell>
        </row>
        <row r="1055">
          <cell r="E1055">
            <v>10030034</v>
          </cell>
          <cell r="H1055">
            <v>45.339999999999996</v>
          </cell>
          <cell r="I1055">
            <v>1804.46</v>
          </cell>
          <cell r="J1055">
            <v>0</v>
          </cell>
          <cell r="K1055">
            <v>0</v>
          </cell>
          <cell r="M1055">
            <v>0</v>
          </cell>
          <cell r="P1055">
            <v>1804</v>
          </cell>
          <cell r="V1055" t="str">
            <v>Available</v>
          </cell>
        </row>
        <row r="1056">
          <cell r="E1056">
            <v>10030034</v>
          </cell>
          <cell r="H1056">
            <v>9.4600000000000009</v>
          </cell>
          <cell r="I1056">
            <v>394.53</v>
          </cell>
          <cell r="J1056">
            <v>0</v>
          </cell>
          <cell r="K1056">
            <v>0</v>
          </cell>
          <cell r="M1056">
            <v>0</v>
          </cell>
          <cell r="P1056">
            <v>395</v>
          </cell>
          <cell r="V1056" t="str">
            <v>Available</v>
          </cell>
        </row>
        <row r="1057">
          <cell r="E1057">
            <v>10030034</v>
          </cell>
          <cell r="H1057">
            <v>11.23</v>
          </cell>
          <cell r="I1057">
            <v>362.62</v>
          </cell>
          <cell r="J1057">
            <v>0</v>
          </cell>
          <cell r="K1057">
            <v>0</v>
          </cell>
          <cell r="M1057">
            <v>0</v>
          </cell>
          <cell r="P1057">
            <v>363</v>
          </cell>
          <cell r="V1057" t="str">
            <v>Available</v>
          </cell>
        </row>
        <row r="1058">
          <cell r="E1058">
            <v>10030034</v>
          </cell>
          <cell r="H1058">
            <v>6.04</v>
          </cell>
          <cell r="I1058">
            <v>402.57</v>
          </cell>
          <cell r="J1058">
            <v>0</v>
          </cell>
          <cell r="K1058">
            <v>0</v>
          </cell>
          <cell r="M1058">
            <v>0</v>
          </cell>
          <cell r="P1058">
            <v>403</v>
          </cell>
          <cell r="V1058" t="str">
            <v>Available</v>
          </cell>
        </row>
        <row r="1059">
          <cell r="E1059">
            <v>10030034</v>
          </cell>
          <cell r="H1059">
            <v>65.03</v>
          </cell>
          <cell r="I1059">
            <v>2329.77</v>
          </cell>
          <cell r="J1059">
            <v>0</v>
          </cell>
          <cell r="K1059">
            <v>0</v>
          </cell>
          <cell r="M1059">
            <v>0</v>
          </cell>
          <cell r="P1059">
            <v>2330</v>
          </cell>
          <cell r="V1059" t="str">
            <v>Available</v>
          </cell>
        </row>
        <row r="1060">
          <cell r="E1060">
            <v>10030034</v>
          </cell>
          <cell r="H1060">
            <v>3.04</v>
          </cell>
          <cell r="I1060">
            <v>100.56</v>
          </cell>
          <cell r="J1060">
            <v>0</v>
          </cell>
          <cell r="K1060">
            <v>0</v>
          </cell>
          <cell r="M1060">
            <v>0</v>
          </cell>
          <cell r="P1060">
            <v>101</v>
          </cell>
          <cell r="V1060" t="str">
            <v>Available</v>
          </cell>
        </row>
        <row r="1061">
          <cell r="E1061">
            <v>10030034</v>
          </cell>
          <cell r="H1061">
            <v>9.990000000000002</v>
          </cell>
          <cell r="I1061">
            <v>397.31</v>
          </cell>
          <cell r="J1061">
            <v>0</v>
          </cell>
          <cell r="K1061">
            <v>0</v>
          </cell>
          <cell r="M1061">
            <v>0</v>
          </cell>
          <cell r="P1061">
            <v>397</v>
          </cell>
          <cell r="V1061" t="str">
            <v>Available</v>
          </cell>
        </row>
        <row r="1062">
          <cell r="E1062">
            <v>10030034</v>
          </cell>
          <cell r="H1062">
            <v>19.57</v>
          </cell>
          <cell r="I1062">
            <v>654.45000000000005</v>
          </cell>
          <cell r="J1062">
            <v>0</v>
          </cell>
          <cell r="K1062">
            <v>0</v>
          </cell>
          <cell r="M1062">
            <v>0</v>
          </cell>
          <cell r="P1062">
            <v>654</v>
          </cell>
          <cell r="V1062" t="str">
            <v>Available</v>
          </cell>
        </row>
        <row r="1063">
          <cell r="E1063">
            <v>10030034</v>
          </cell>
          <cell r="H1063">
            <v>14.74</v>
          </cell>
          <cell r="I1063">
            <v>930.59</v>
          </cell>
          <cell r="J1063">
            <v>0</v>
          </cell>
          <cell r="K1063">
            <v>0</v>
          </cell>
          <cell r="M1063">
            <v>0</v>
          </cell>
          <cell r="P1063">
            <v>931</v>
          </cell>
          <cell r="V1063" t="str">
            <v>Available</v>
          </cell>
        </row>
        <row r="1064">
          <cell r="E1064">
            <v>10030034</v>
          </cell>
          <cell r="H1064">
            <v>25.53</v>
          </cell>
          <cell r="I1064">
            <v>1278.4000000000001</v>
          </cell>
          <cell r="J1064">
            <v>0</v>
          </cell>
          <cell r="K1064">
            <v>0</v>
          </cell>
          <cell r="M1064">
            <v>0</v>
          </cell>
          <cell r="P1064">
            <v>1278</v>
          </cell>
          <cell r="V1064" t="str">
            <v>Available</v>
          </cell>
        </row>
        <row r="1065">
          <cell r="E1065">
            <v>10030034</v>
          </cell>
          <cell r="H1065">
            <v>9.1999999999999993</v>
          </cell>
          <cell r="I1065">
            <v>629.12</v>
          </cell>
          <cell r="J1065">
            <v>0</v>
          </cell>
          <cell r="K1065">
            <v>0</v>
          </cell>
          <cell r="M1065">
            <v>0</v>
          </cell>
          <cell r="P1065">
            <v>629</v>
          </cell>
          <cell r="V1065" t="str">
            <v>Available</v>
          </cell>
        </row>
        <row r="1066">
          <cell r="E1066">
            <v>10030034</v>
          </cell>
          <cell r="H1066">
            <v>11.26</v>
          </cell>
          <cell r="I1066">
            <v>737.36</v>
          </cell>
          <cell r="J1066">
            <v>0</v>
          </cell>
          <cell r="K1066">
            <v>0</v>
          </cell>
          <cell r="M1066">
            <v>0</v>
          </cell>
          <cell r="P1066">
            <v>737</v>
          </cell>
          <cell r="V1066" t="str">
            <v>Available</v>
          </cell>
        </row>
        <row r="1067">
          <cell r="E1067">
            <v>10030034</v>
          </cell>
          <cell r="H1067">
            <v>36.739999999999995</v>
          </cell>
          <cell r="I1067">
            <v>1306.1399999999999</v>
          </cell>
          <cell r="J1067">
            <v>0</v>
          </cell>
          <cell r="K1067">
            <v>0</v>
          </cell>
          <cell r="M1067">
            <v>0</v>
          </cell>
          <cell r="P1067">
            <v>1306</v>
          </cell>
          <cell r="V1067" t="str">
            <v>Available</v>
          </cell>
        </row>
        <row r="1068">
          <cell r="E1068">
            <v>10030034</v>
          </cell>
          <cell r="H1068">
            <v>43.760000000000005</v>
          </cell>
          <cell r="I1068">
            <v>1737.75</v>
          </cell>
          <cell r="J1068">
            <v>0</v>
          </cell>
          <cell r="K1068">
            <v>0</v>
          </cell>
          <cell r="M1068">
            <v>0</v>
          </cell>
          <cell r="P1068">
            <v>1738</v>
          </cell>
          <cell r="V1068" t="str">
            <v>Available</v>
          </cell>
        </row>
        <row r="1069">
          <cell r="E1069">
            <v>10030034</v>
          </cell>
          <cell r="H1069">
            <v>72.19</v>
          </cell>
          <cell r="I1069">
            <v>4097.87</v>
          </cell>
          <cell r="J1069">
            <v>0</v>
          </cell>
          <cell r="K1069">
            <v>0</v>
          </cell>
          <cell r="M1069">
            <v>0</v>
          </cell>
          <cell r="P1069">
            <v>4098</v>
          </cell>
          <cell r="V1069" t="str">
            <v>Available</v>
          </cell>
        </row>
        <row r="1070">
          <cell r="E1070">
            <v>10030034</v>
          </cell>
          <cell r="H1070">
            <v>5.8100000000000005</v>
          </cell>
          <cell r="I1070">
            <v>202.79</v>
          </cell>
          <cell r="J1070">
            <v>0</v>
          </cell>
          <cell r="K1070">
            <v>0</v>
          </cell>
          <cell r="M1070">
            <v>0</v>
          </cell>
          <cell r="P1070">
            <v>203</v>
          </cell>
          <cell r="V1070" t="str">
            <v>Available</v>
          </cell>
        </row>
        <row r="1071">
          <cell r="E1071">
            <v>10030034</v>
          </cell>
          <cell r="H1071">
            <v>110.42</v>
          </cell>
          <cell r="I1071">
            <v>3950.8199999999997</v>
          </cell>
          <cell r="J1071">
            <v>0</v>
          </cell>
          <cell r="K1071">
            <v>0</v>
          </cell>
          <cell r="M1071">
            <v>0</v>
          </cell>
          <cell r="P1071">
            <v>3951</v>
          </cell>
          <cell r="V1071" t="str">
            <v>Available</v>
          </cell>
        </row>
        <row r="1072">
          <cell r="E1072">
            <v>10030034</v>
          </cell>
          <cell r="H1072">
            <v>35.090000000000003</v>
          </cell>
          <cell r="I1072">
            <v>1296.2399999999998</v>
          </cell>
          <cell r="J1072">
            <v>0</v>
          </cell>
          <cell r="K1072">
            <v>0</v>
          </cell>
          <cell r="M1072">
            <v>0</v>
          </cell>
          <cell r="P1072">
            <v>1296</v>
          </cell>
          <cell r="V1072" t="str">
            <v>Available</v>
          </cell>
        </row>
        <row r="1073">
          <cell r="E1073">
            <v>10030034</v>
          </cell>
          <cell r="H1073">
            <v>19.230000000000004</v>
          </cell>
          <cell r="I1073">
            <v>740.34</v>
          </cell>
          <cell r="J1073">
            <v>0</v>
          </cell>
          <cell r="K1073">
            <v>0</v>
          </cell>
          <cell r="M1073">
            <v>0</v>
          </cell>
          <cell r="P1073">
            <v>740</v>
          </cell>
          <cell r="V1073" t="str">
            <v>Available</v>
          </cell>
        </row>
        <row r="1074">
          <cell r="E1074">
            <v>10030034</v>
          </cell>
          <cell r="H1074">
            <v>8.879999999999999</v>
          </cell>
          <cell r="I1074">
            <v>280.53000000000003</v>
          </cell>
          <cell r="J1074">
            <v>0</v>
          </cell>
          <cell r="K1074">
            <v>0</v>
          </cell>
          <cell r="M1074">
            <v>0</v>
          </cell>
          <cell r="P1074">
            <v>281</v>
          </cell>
          <cell r="V1074" t="str">
            <v>Available</v>
          </cell>
        </row>
        <row r="1075">
          <cell r="E1075">
            <v>10030034</v>
          </cell>
          <cell r="H1075">
            <v>17.559999999999999</v>
          </cell>
          <cell r="I1075">
            <v>642.04999999999995</v>
          </cell>
          <cell r="J1075">
            <v>0</v>
          </cell>
          <cell r="K1075">
            <v>0</v>
          </cell>
          <cell r="M1075">
            <v>0</v>
          </cell>
          <cell r="P1075">
            <v>642</v>
          </cell>
          <cell r="V1075" t="str">
            <v>Available</v>
          </cell>
        </row>
        <row r="1076">
          <cell r="E1076">
            <v>10030034</v>
          </cell>
          <cell r="H1076">
            <v>8.67</v>
          </cell>
          <cell r="I1076">
            <v>309.7</v>
          </cell>
          <cell r="J1076">
            <v>0</v>
          </cell>
          <cell r="K1076">
            <v>0</v>
          </cell>
          <cell r="M1076">
            <v>0</v>
          </cell>
          <cell r="P1076">
            <v>310</v>
          </cell>
          <cell r="V1076" t="str">
            <v>Available</v>
          </cell>
        </row>
        <row r="1077">
          <cell r="E1077">
            <v>10030034</v>
          </cell>
          <cell r="H1077">
            <v>101.03</v>
          </cell>
          <cell r="I1077">
            <v>3680.16</v>
          </cell>
          <cell r="J1077">
            <v>0</v>
          </cell>
          <cell r="K1077">
            <v>0</v>
          </cell>
          <cell r="M1077">
            <v>0</v>
          </cell>
          <cell r="P1077">
            <v>3680</v>
          </cell>
          <cell r="V1077" t="str">
            <v>Available</v>
          </cell>
        </row>
        <row r="1078">
          <cell r="E1078">
            <v>10030035</v>
          </cell>
          <cell r="H1078">
            <v>3.0500000000000007</v>
          </cell>
          <cell r="I1078">
            <v>131.49</v>
          </cell>
          <cell r="J1078">
            <v>0</v>
          </cell>
          <cell r="K1078">
            <v>131.49</v>
          </cell>
          <cell r="M1078">
            <v>0</v>
          </cell>
          <cell r="P1078">
            <v>0</v>
          </cell>
          <cell r="V1078" t="str">
            <v>Not Available</v>
          </cell>
        </row>
        <row r="1079">
          <cell r="E1079">
            <v>10030035</v>
          </cell>
          <cell r="H1079">
            <v>255.58</v>
          </cell>
          <cell r="I1079">
            <v>11030.35</v>
          </cell>
          <cell r="J1079">
            <v>0</v>
          </cell>
          <cell r="K1079">
            <v>0</v>
          </cell>
          <cell r="M1079">
            <v>0</v>
          </cell>
          <cell r="P1079">
            <v>11030</v>
          </cell>
          <cell r="V1079" t="str">
            <v>Available</v>
          </cell>
        </row>
        <row r="1080">
          <cell r="E1080">
            <v>10030035</v>
          </cell>
          <cell r="H1080">
            <v>136</v>
          </cell>
          <cell r="I1080">
            <v>5700.7</v>
          </cell>
          <cell r="J1080">
            <v>0</v>
          </cell>
          <cell r="K1080">
            <v>0</v>
          </cell>
          <cell r="M1080">
            <v>0</v>
          </cell>
          <cell r="P1080">
            <v>5701</v>
          </cell>
          <cell r="V1080" t="str">
            <v>Available</v>
          </cell>
        </row>
        <row r="1081">
          <cell r="E1081">
            <v>10030035</v>
          </cell>
          <cell r="H1081">
            <v>49.96</v>
          </cell>
          <cell r="I1081">
            <v>1716.38</v>
          </cell>
          <cell r="J1081">
            <v>0</v>
          </cell>
          <cell r="K1081">
            <v>0</v>
          </cell>
          <cell r="M1081">
            <v>0</v>
          </cell>
          <cell r="P1081">
            <v>1716</v>
          </cell>
          <cell r="V1081" t="str">
            <v>Available</v>
          </cell>
        </row>
        <row r="1082">
          <cell r="E1082">
            <v>10030035</v>
          </cell>
          <cell r="H1082">
            <v>3.87</v>
          </cell>
          <cell r="I1082">
            <v>157.88999999999999</v>
          </cell>
          <cell r="J1082">
            <v>0</v>
          </cell>
          <cell r="K1082">
            <v>0</v>
          </cell>
          <cell r="M1082">
            <v>0</v>
          </cell>
          <cell r="P1082">
            <v>158</v>
          </cell>
          <cell r="V1082" t="str">
            <v>Available</v>
          </cell>
        </row>
        <row r="1083">
          <cell r="E1083">
            <v>10030035</v>
          </cell>
          <cell r="H1083">
            <v>27.07</v>
          </cell>
          <cell r="I1083">
            <v>856.62999999999988</v>
          </cell>
          <cell r="J1083">
            <v>0</v>
          </cell>
          <cell r="K1083">
            <v>0</v>
          </cell>
          <cell r="M1083">
            <v>0</v>
          </cell>
          <cell r="P1083">
            <v>857</v>
          </cell>
          <cell r="V1083" t="str">
            <v>Available</v>
          </cell>
        </row>
        <row r="1084">
          <cell r="E1084">
            <v>10030035</v>
          </cell>
          <cell r="H1084">
            <v>6.89</v>
          </cell>
          <cell r="I1084">
            <v>376.21</v>
          </cell>
          <cell r="J1084">
            <v>0</v>
          </cell>
          <cell r="K1084">
            <v>0</v>
          </cell>
          <cell r="M1084">
            <v>0</v>
          </cell>
          <cell r="P1084">
            <v>376</v>
          </cell>
          <cell r="V1084" t="str">
            <v>Available</v>
          </cell>
        </row>
        <row r="1085">
          <cell r="E1085">
            <v>10030037</v>
          </cell>
          <cell r="H1085">
            <v>7.3699999999999992</v>
          </cell>
          <cell r="I1085">
            <v>295.77999999999997</v>
          </cell>
          <cell r="J1085">
            <v>0</v>
          </cell>
          <cell r="K1085">
            <v>295.77999999999997</v>
          </cell>
          <cell r="M1085">
            <v>0</v>
          </cell>
          <cell r="P1085">
            <v>0</v>
          </cell>
          <cell r="V1085" t="str">
            <v>Not Available</v>
          </cell>
        </row>
        <row r="1086">
          <cell r="E1086">
            <v>10030037</v>
          </cell>
          <cell r="H1086">
            <v>99.77</v>
          </cell>
          <cell r="I1086">
            <v>3857.53</v>
          </cell>
          <cell r="J1086">
            <v>0</v>
          </cell>
          <cell r="K1086">
            <v>0</v>
          </cell>
          <cell r="M1086">
            <v>3316</v>
          </cell>
          <cell r="P1086">
            <v>0</v>
          </cell>
          <cell r="V1086" t="str">
            <v>Available</v>
          </cell>
        </row>
        <row r="1087">
          <cell r="E1087">
            <v>10030037</v>
          </cell>
          <cell r="H1087">
            <v>187.73000000000002</v>
          </cell>
          <cell r="I1087">
            <v>7350.5</v>
          </cell>
          <cell r="J1087">
            <v>0</v>
          </cell>
          <cell r="K1087">
            <v>0</v>
          </cell>
          <cell r="M1087">
            <v>7350</v>
          </cell>
          <cell r="P1087">
            <v>1</v>
          </cell>
          <cell r="V1087" t="str">
            <v>Available</v>
          </cell>
        </row>
        <row r="1088">
          <cell r="E1088">
            <v>10030037</v>
          </cell>
          <cell r="H1088">
            <v>62.71</v>
          </cell>
          <cell r="I1088">
            <v>2499.86</v>
          </cell>
          <cell r="J1088">
            <v>0</v>
          </cell>
          <cell r="K1088">
            <v>0</v>
          </cell>
          <cell r="M1088">
            <v>0</v>
          </cell>
          <cell r="P1088">
            <v>2500</v>
          </cell>
          <cell r="V1088" t="str">
            <v>Available</v>
          </cell>
        </row>
        <row r="1089">
          <cell r="E1089">
            <v>10030037</v>
          </cell>
          <cell r="H1089">
            <v>289.2</v>
          </cell>
          <cell r="I1089">
            <v>11656.47</v>
          </cell>
          <cell r="J1089">
            <v>0</v>
          </cell>
          <cell r="K1089">
            <v>0</v>
          </cell>
          <cell r="M1089">
            <v>5834</v>
          </cell>
          <cell r="P1089">
            <v>5822</v>
          </cell>
          <cell r="V1089" t="str">
            <v>Available</v>
          </cell>
        </row>
        <row r="1090">
          <cell r="E1090">
            <v>10030037</v>
          </cell>
          <cell r="H1090">
            <v>25.04</v>
          </cell>
          <cell r="I1090">
            <v>815.65</v>
          </cell>
          <cell r="J1090">
            <v>0</v>
          </cell>
          <cell r="K1090">
            <v>0</v>
          </cell>
          <cell r="M1090">
            <v>0</v>
          </cell>
          <cell r="P1090">
            <v>816</v>
          </cell>
          <cell r="V1090" t="str">
            <v>Available</v>
          </cell>
        </row>
        <row r="1091">
          <cell r="E1091">
            <v>10030037</v>
          </cell>
          <cell r="H1091">
            <v>9.57</v>
          </cell>
          <cell r="I1091">
            <v>324.65999999999997</v>
          </cell>
          <cell r="J1091">
            <v>0</v>
          </cell>
          <cell r="K1091">
            <v>0</v>
          </cell>
          <cell r="M1091">
            <v>0</v>
          </cell>
          <cell r="P1091">
            <v>325</v>
          </cell>
          <cell r="V1091" t="str">
            <v>Available</v>
          </cell>
        </row>
        <row r="1092">
          <cell r="E1092">
            <v>10030037</v>
          </cell>
          <cell r="H1092">
            <v>16.090000000000003</v>
          </cell>
          <cell r="I1092">
            <v>571.29000000000008</v>
          </cell>
          <cell r="J1092">
            <v>0</v>
          </cell>
          <cell r="K1092">
            <v>0</v>
          </cell>
          <cell r="M1092">
            <v>0</v>
          </cell>
          <cell r="P1092">
            <v>571</v>
          </cell>
          <cell r="V1092" t="str">
            <v>Available</v>
          </cell>
        </row>
        <row r="1093">
          <cell r="E1093">
            <v>10030037</v>
          </cell>
          <cell r="H1093">
            <v>158.53999999999996</v>
          </cell>
          <cell r="I1093">
            <v>5384.45</v>
          </cell>
          <cell r="J1093">
            <v>0</v>
          </cell>
          <cell r="K1093">
            <v>0</v>
          </cell>
          <cell r="M1093">
            <v>0</v>
          </cell>
          <cell r="P1093">
            <v>5384</v>
          </cell>
          <cell r="V1093" t="str">
            <v>Available</v>
          </cell>
        </row>
        <row r="1094">
          <cell r="E1094">
            <v>10030037</v>
          </cell>
          <cell r="H1094">
            <v>10.58</v>
          </cell>
          <cell r="I1094">
            <v>396.75</v>
          </cell>
          <cell r="J1094">
            <v>0</v>
          </cell>
          <cell r="K1094">
            <v>0</v>
          </cell>
          <cell r="M1094">
            <v>0</v>
          </cell>
          <cell r="P1094">
            <v>397</v>
          </cell>
          <cell r="V1094" t="str">
            <v>Available</v>
          </cell>
        </row>
        <row r="1095">
          <cell r="E1095">
            <v>10030037</v>
          </cell>
          <cell r="H1095">
            <v>12.739999999999998</v>
          </cell>
          <cell r="I1095">
            <v>518.70000000000005</v>
          </cell>
          <cell r="J1095">
            <v>0</v>
          </cell>
          <cell r="K1095">
            <v>0</v>
          </cell>
          <cell r="M1095">
            <v>0</v>
          </cell>
          <cell r="P1095">
            <v>519</v>
          </cell>
          <cell r="V1095" t="str">
            <v>Available</v>
          </cell>
        </row>
        <row r="1096">
          <cell r="E1096">
            <v>10030037</v>
          </cell>
          <cell r="H1096">
            <v>8.9700000000000006</v>
          </cell>
          <cell r="I1096">
            <v>337.18999999999994</v>
          </cell>
          <cell r="J1096">
            <v>0</v>
          </cell>
          <cell r="K1096">
            <v>0</v>
          </cell>
          <cell r="M1096">
            <v>0</v>
          </cell>
          <cell r="P1096">
            <v>337</v>
          </cell>
          <cell r="V1096" t="str">
            <v>Available</v>
          </cell>
        </row>
        <row r="1097">
          <cell r="E1097">
            <v>10030037</v>
          </cell>
          <cell r="H1097">
            <v>58.01</v>
          </cell>
          <cell r="I1097">
            <v>1981.1399999999999</v>
          </cell>
          <cell r="J1097">
            <v>0</v>
          </cell>
          <cell r="K1097">
            <v>0</v>
          </cell>
          <cell r="M1097">
            <v>0</v>
          </cell>
          <cell r="P1097">
            <v>1981</v>
          </cell>
          <cell r="V1097" t="str">
            <v>Available</v>
          </cell>
        </row>
        <row r="1098">
          <cell r="E1098">
            <v>10030037</v>
          </cell>
          <cell r="H1098">
            <v>45.949999999999996</v>
          </cell>
          <cell r="I1098">
            <v>1568.74</v>
          </cell>
          <cell r="J1098">
            <v>0</v>
          </cell>
          <cell r="K1098">
            <v>0</v>
          </cell>
          <cell r="M1098">
            <v>0</v>
          </cell>
          <cell r="P1098">
            <v>1569</v>
          </cell>
          <cell r="V1098" t="str">
            <v>Available</v>
          </cell>
        </row>
        <row r="1099">
          <cell r="E1099">
            <v>10030037</v>
          </cell>
          <cell r="H1099">
            <v>51.610000000000007</v>
          </cell>
          <cell r="I1099">
            <v>1983.5199999999998</v>
          </cell>
          <cell r="J1099">
            <v>0</v>
          </cell>
          <cell r="K1099">
            <v>0</v>
          </cell>
          <cell r="M1099">
            <v>0</v>
          </cell>
          <cell r="P1099">
            <v>1984</v>
          </cell>
          <cell r="V1099" t="str">
            <v>Available</v>
          </cell>
        </row>
        <row r="1100">
          <cell r="E1100">
            <v>10030037</v>
          </cell>
          <cell r="H1100">
            <v>332.98</v>
          </cell>
          <cell r="I1100">
            <v>13365.76</v>
          </cell>
          <cell r="J1100">
            <v>0</v>
          </cell>
          <cell r="K1100">
            <v>0</v>
          </cell>
          <cell r="M1100">
            <v>0</v>
          </cell>
          <cell r="P1100">
            <v>13366</v>
          </cell>
          <cell r="V1100" t="str">
            <v>Available</v>
          </cell>
        </row>
        <row r="1101">
          <cell r="E1101">
            <v>10030038</v>
          </cell>
          <cell r="H1101">
            <v>103.96000000000001</v>
          </cell>
          <cell r="I1101">
            <v>5484.2499999999991</v>
          </cell>
          <cell r="J1101">
            <v>0</v>
          </cell>
          <cell r="K1101">
            <v>0</v>
          </cell>
          <cell r="M1101">
            <v>0</v>
          </cell>
          <cell r="P1101">
            <v>2422</v>
          </cell>
          <cell r="V1101" t="str">
            <v>Available</v>
          </cell>
        </row>
        <row r="1102">
          <cell r="E1102">
            <v>10030038</v>
          </cell>
          <cell r="H1102">
            <v>56.21</v>
          </cell>
          <cell r="I1102">
            <v>3247.01</v>
          </cell>
          <cell r="J1102">
            <v>0</v>
          </cell>
          <cell r="K1102">
            <v>0</v>
          </cell>
          <cell r="M1102">
            <v>0</v>
          </cell>
          <cell r="P1102">
            <v>3247</v>
          </cell>
          <cell r="V1102" t="str">
            <v>Available</v>
          </cell>
        </row>
        <row r="1103">
          <cell r="E1103">
            <v>10030038</v>
          </cell>
          <cell r="H1103">
            <v>21.149999999999995</v>
          </cell>
          <cell r="I1103">
            <v>1493.3000000000002</v>
          </cell>
          <cell r="J1103">
            <v>0</v>
          </cell>
          <cell r="K1103">
            <v>0</v>
          </cell>
          <cell r="M1103">
            <v>0</v>
          </cell>
          <cell r="P1103">
            <v>1493</v>
          </cell>
          <cell r="V1103" t="str">
            <v>Available</v>
          </cell>
        </row>
        <row r="1104">
          <cell r="E1104">
            <v>10030038</v>
          </cell>
          <cell r="H1104">
            <v>22.159999999999993</v>
          </cell>
          <cell r="I1104">
            <v>1286.6199999999999</v>
          </cell>
          <cell r="J1104">
            <v>0</v>
          </cell>
          <cell r="K1104">
            <v>0</v>
          </cell>
          <cell r="M1104">
            <v>0</v>
          </cell>
          <cell r="P1104">
            <v>1287</v>
          </cell>
          <cell r="V1104" t="str">
            <v>Available</v>
          </cell>
        </row>
        <row r="1105">
          <cell r="E1105">
            <v>10030038</v>
          </cell>
          <cell r="H1105">
            <v>3.92</v>
          </cell>
          <cell r="I1105">
            <v>146.34</v>
          </cell>
          <cell r="J1105">
            <v>0</v>
          </cell>
          <cell r="K1105">
            <v>0</v>
          </cell>
          <cell r="M1105">
            <v>0</v>
          </cell>
          <cell r="P1105">
            <v>146</v>
          </cell>
          <cell r="V1105" t="str">
            <v>Available</v>
          </cell>
        </row>
        <row r="1106">
          <cell r="E1106">
            <v>10030038</v>
          </cell>
          <cell r="H1106">
            <v>11.82</v>
          </cell>
          <cell r="I1106">
            <v>506.34</v>
          </cell>
          <cell r="J1106">
            <v>0</v>
          </cell>
          <cell r="K1106">
            <v>0</v>
          </cell>
          <cell r="M1106">
            <v>0</v>
          </cell>
          <cell r="P1106">
            <v>506</v>
          </cell>
          <cell r="V1106" t="str">
            <v>Available</v>
          </cell>
        </row>
        <row r="1107">
          <cell r="E1107">
            <v>10030038</v>
          </cell>
          <cell r="H1107">
            <v>23.76</v>
          </cell>
          <cell r="I1107">
            <v>1965.42</v>
          </cell>
          <cell r="J1107">
            <v>0</v>
          </cell>
          <cell r="K1107">
            <v>0</v>
          </cell>
          <cell r="M1107">
            <v>0</v>
          </cell>
          <cell r="P1107">
            <v>1965</v>
          </cell>
          <cell r="V1107" t="str">
            <v>Available</v>
          </cell>
        </row>
        <row r="1108">
          <cell r="E1108">
            <v>10030038</v>
          </cell>
          <cell r="H1108">
            <v>12.29</v>
          </cell>
          <cell r="I1108">
            <v>528.29999999999995</v>
          </cell>
          <cell r="J1108">
            <v>0</v>
          </cell>
          <cell r="K1108">
            <v>0</v>
          </cell>
          <cell r="M1108">
            <v>0</v>
          </cell>
          <cell r="P1108">
            <v>528</v>
          </cell>
          <cell r="V1108" t="str">
            <v>Available</v>
          </cell>
        </row>
        <row r="1109">
          <cell r="E1109">
            <v>10030038</v>
          </cell>
          <cell r="H1109">
            <v>45.170000000000009</v>
          </cell>
          <cell r="I1109">
            <v>1910.05</v>
          </cell>
          <cell r="J1109">
            <v>0</v>
          </cell>
          <cell r="K1109">
            <v>0</v>
          </cell>
          <cell r="M1109">
            <v>0</v>
          </cell>
          <cell r="P1109">
            <v>1910</v>
          </cell>
          <cell r="V1109" t="str">
            <v>Available</v>
          </cell>
        </row>
        <row r="1110">
          <cell r="E1110">
            <v>10030038</v>
          </cell>
          <cell r="H1110">
            <v>7.16</v>
          </cell>
          <cell r="I1110">
            <v>314.33000000000004</v>
          </cell>
          <cell r="J1110">
            <v>0</v>
          </cell>
          <cell r="K1110">
            <v>0</v>
          </cell>
          <cell r="M1110">
            <v>0</v>
          </cell>
          <cell r="P1110">
            <v>314</v>
          </cell>
          <cell r="V1110" t="str">
            <v>Available</v>
          </cell>
        </row>
        <row r="1111">
          <cell r="E1111">
            <v>10030038</v>
          </cell>
          <cell r="H1111">
            <v>75.3</v>
          </cell>
          <cell r="I1111">
            <v>3708.76</v>
          </cell>
          <cell r="J1111">
            <v>0</v>
          </cell>
          <cell r="K1111">
            <v>0</v>
          </cell>
          <cell r="M1111">
            <v>0</v>
          </cell>
          <cell r="P1111">
            <v>3709</v>
          </cell>
          <cell r="V1111" t="str">
            <v>Available</v>
          </cell>
        </row>
        <row r="1112">
          <cell r="E1112">
            <v>10030038</v>
          </cell>
          <cell r="H1112">
            <v>24.700000000000003</v>
          </cell>
          <cell r="I1112">
            <v>1301.0900000000001</v>
          </cell>
          <cell r="J1112">
            <v>0</v>
          </cell>
          <cell r="K1112">
            <v>0</v>
          </cell>
          <cell r="M1112">
            <v>0</v>
          </cell>
          <cell r="P1112">
            <v>1301</v>
          </cell>
          <cell r="V1112" t="str">
            <v>Available</v>
          </cell>
        </row>
        <row r="1113">
          <cell r="E1113">
            <v>10030038</v>
          </cell>
          <cell r="H1113">
            <v>35.199999999999996</v>
          </cell>
          <cell r="I1113">
            <v>1321.83</v>
          </cell>
          <cell r="J1113">
            <v>0</v>
          </cell>
          <cell r="K1113">
            <v>0</v>
          </cell>
          <cell r="M1113">
            <v>0</v>
          </cell>
          <cell r="P1113">
            <v>1322</v>
          </cell>
          <cell r="V1113" t="str">
            <v>Available</v>
          </cell>
        </row>
        <row r="1114">
          <cell r="E1114">
            <v>10030038</v>
          </cell>
          <cell r="H1114">
            <v>9.14</v>
          </cell>
          <cell r="I1114">
            <v>312.94</v>
          </cell>
          <cell r="J1114">
            <v>0</v>
          </cell>
          <cell r="K1114">
            <v>0</v>
          </cell>
          <cell r="M1114">
            <v>0</v>
          </cell>
          <cell r="P1114">
            <v>313</v>
          </cell>
          <cell r="V1114" t="str">
            <v>Available</v>
          </cell>
        </row>
        <row r="1115">
          <cell r="E1115">
            <v>10030038</v>
          </cell>
          <cell r="H1115">
            <v>17.45</v>
          </cell>
          <cell r="I1115">
            <v>595.95000000000005</v>
          </cell>
          <cell r="J1115">
            <v>0</v>
          </cell>
          <cell r="K1115">
            <v>0</v>
          </cell>
          <cell r="M1115">
            <v>0</v>
          </cell>
          <cell r="P1115">
            <v>596</v>
          </cell>
          <cell r="V1115" t="str">
            <v>Available</v>
          </cell>
        </row>
        <row r="1116">
          <cell r="E1116">
            <v>10030038</v>
          </cell>
          <cell r="H1116">
            <v>39.53</v>
          </cell>
          <cell r="I1116">
            <v>1504.11</v>
          </cell>
          <cell r="J1116">
            <v>0</v>
          </cell>
          <cell r="K1116">
            <v>0</v>
          </cell>
          <cell r="M1116">
            <v>0</v>
          </cell>
          <cell r="P1116">
            <v>1504</v>
          </cell>
          <cell r="V1116" t="str">
            <v>Available</v>
          </cell>
        </row>
        <row r="1117">
          <cell r="E1117">
            <v>10030038</v>
          </cell>
          <cell r="H1117">
            <v>22.099999999999994</v>
          </cell>
          <cell r="I1117">
            <v>795.25</v>
          </cell>
          <cell r="J1117">
            <v>0</v>
          </cell>
          <cell r="K1117">
            <v>0</v>
          </cell>
          <cell r="M1117">
            <v>0</v>
          </cell>
          <cell r="P1117">
            <v>795</v>
          </cell>
          <cell r="V1117" t="str">
            <v>Available</v>
          </cell>
        </row>
        <row r="1118">
          <cell r="E1118">
            <v>10030038</v>
          </cell>
          <cell r="H1118">
            <v>26.72</v>
          </cell>
          <cell r="I1118">
            <v>914.28000000000009</v>
          </cell>
          <cell r="J1118">
            <v>0</v>
          </cell>
          <cell r="K1118">
            <v>0</v>
          </cell>
          <cell r="M1118">
            <v>0</v>
          </cell>
          <cell r="P1118">
            <v>914</v>
          </cell>
          <cell r="V1118" t="str">
            <v>Available</v>
          </cell>
        </row>
        <row r="1119">
          <cell r="E1119">
            <v>10030038</v>
          </cell>
          <cell r="H1119">
            <v>26.380000000000003</v>
          </cell>
          <cell r="I1119">
            <v>937.71</v>
          </cell>
          <cell r="J1119">
            <v>0</v>
          </cell>
          <cell r="K1119">
            <v>0</v>
          </cell>
          <cell r="M1119">
            <v>0</v>
          </cell>
          <cell r="P1119">
            <v>938</v>
          </cell>
          <cell r="V1119" t="str">
            <v>Available</v>
          </cell>
        </row>
        <row r="1120">
          <cell r="E1120">
            <v>10030038</v>
          </cell>
          <cell r="H1120">
            <v>52.12</v>
          </cell>
          <cell r="I1120">
            <v>1796.3400000000001</v>
          </cell>
          <cell r="J1120">
            <v>0</v>
          </cell>
          <cell r="K1120">
            <v>0</v>
          </cell>
          <cell r="M1120">
            <v>0</v>
          </cell>
          <cell r="P1120">
            <v>1796</v>
          </cell>
          <cell r="V1120" t="str">
            <v>Available</v>
          </cell>
        </row>
        <row r="1121">
          <cell r="E1121">
            <v>10030038</v>
          </cell>
          <cell r="H1121">
            <v>21.650000000000002</v>
          </cell>
          <cell r="I1121">
            <v>971.48</v>
          </cell>
          <cell r="J1121">
            <v>0</v>
          </cell>
          <cell r="K1121">
            <v>0</v>
          </cell>
          <cell r="M1121">
            <v>0</v>
          </cell>
          <cell r="P1121">
            <v>971</v>
          </cell>
          <cell r="V1121" t="str">
            <v>Available</v>
          </cell>
        </row>
        <row r="1122">
          <cell r="E1122">
            <v>10030050</v>
          </cell>
          <cell r="H1122">
            <v>2.5</v>
          </cell>
          <cell r="I1122">
            <v>94.81</v>
          </cell>
          <cell r="J1122">
            <v>0</v>
          </cell>
          <cell r="K1122">
            <v>94.81</v>
          </cell>
          <cell r="M1122">
            <v>0</v>
          </cell>
          <cell r="P1122">
            <v>0</v>
          </cell>
          <cell r="V1122" t="str">
            <v>Not Available</v>
          </cell>
        </row>
        <row r="1123">
          <cell r="E1123">
            <v>10030050</v>
          </cell>
          <cell r="H1123">
            <v>125.41</v>
          </cell>
          <cell r="I1123">
            <v>5797.33</v>
          </cell>
          <cell r="J1123">
            <v>0</v>
          </cell>
          <cell r="K1123">
            <v>0</v>
          </cell>
          <cell r="M1123">
            <v>0</v>
          </cell>
          <cell r="P1123">
            <v>3426</v>
          </cell>
          <cell r="V1123" t="str">
            <v>Available</v>
          </cell>
        </row>
        <row r="1124">
          <cell r="E1124">
            <v>10030050</v>
          </cell>
          <cell r="H1124">
            <v>64.12</v>
          </cell>
          <cell r="I1124">
            <v>2548.8500000000004</v>
          </cell>
          <cell r="J1124">
            <v>0</v>
          </cell>
          <cell r="K1124">
            <v>0</v>
          </cell>
          <cell r="M1124">
            <v>0</v>
          </cell>
          <cell r="P1124">
            <v>2549</v>
          </cell>
          <cell r="V1124" t="str">
            <v>Available</v>
          </cell>
        </row>
        <row r="1125">
          <cell r="E1125">
            <v>10030050</v>
          </cell>
          <cell r="H1125">
            <v>49.28</v>
          </cell>
          <cell r="I1125">
            <v>1867.81</v>
          </cell>
          <cell r="J1125">
            <v>0</v>
          </cell>
          <cell r="K1125">
            <v>0</v>
          </cell>
          <cell r="M1125">
            <v>0</v>
          </cell>
          <cell r="P1125">
            <v>1868</v>
          </cell>
          <cell r="V1125" t="str">
            <v>Available</v>
          </cell>
        </row>
        <row r="1126">
          <cell r="E1126">
            <v>10030050</v>
          </cell>
          <cell r="H1126">
            <v>139.53</v>
          </cell>
          <cell r="I1126">
            <v>5236.8200000000006</v>
          </cell>
          <cell r="J1126">
            <v>0</v>
          </cell>
          <cell r="K1126">
            <v>0</v>
          </cell>
          <cell r="M1126">
            <v>0</v>
          </cell>
          <cell r="P1126">
            <v>5237</v>
          </cell>
          <cell r="V1126" t="str">
            <v>Available</v>
          </cell>
        </row>
        <row r="1127">
          <cell r="E1127">
            <v>10030050</v>
          </cell>
          <cell r="H1127">
            <v>75.550000000000011</v>
          </cell>
          <cell r="I1127">
            <v>2776.0699999999997</v>
          </cell>
          <cell r="J1127">
            <v>0</v>
          </cell>
          <cell r="K1127">
            <v>0</v>
          </cell>
          <cell r="M1127">
            <v>0</v>
          </cell>
          <cell r="P1127">
            <v>2776</v>
          </cell>
          <cell r="V1127" t="str">
            <v>Available</v>
          </cell>
        </row>
        <row r="1128">
          <cell r="E1128">
            <v>10030050</v>
          </cell>
          <cell r="H1128">
            <v>25.650000000000002</v>
          </cell>
          <cell r="I1128">
            <v>970.08</v>
          </cell>
          <cell r="J1128">
            <v>0</v>
          </cell>
          <cell r="K1128">
            <v>0</v>
          </cell>
          <cell r="M1128">
            <v>0</v>
          </cell>
          <cell r="P1128">
            <v>970</v>
          </cell>
          <cell r="V1128" t="str">
            <v>Available</v>
          </cell>
        </row>
        <row r="1129">
          <cell r="E1129">
            <v>10030050</v>
          </cell>
          <cell r="H1129">
            <v>12.559999999999999</v>
          </cell>
          <cell r="I1129">
            <v>473.35</v>
          </cell>
          <cell r="J1129">
            <v>0</v>
          </cell>
          <cell r="K1129">
            <v>0</v>
          </cell>
          <cell r="M1129">
            <v>0</v>
          </cell>
          <cell r="P1129">
            <v>473</v>
          </cell>
          <cell r="V1129" t="str">
            <v>Available</v>
          </cell>
        </row>
        <row r="1130">
          <cell r="E1130">
            <v>10030050</v>
          </cell>
          <cell r="H1130">
            <v>19.03</v>
          </cell>
          <cell r="I1130">
            <v>710.06000000000006</v>
          </cell>
          <cell r="J1130">
            <v>0</v>
          </cell>
          <cell r="K1130">
            <v>0</v>
          </cell>
          <cell r="M1130">
            <v>0</v>
          </cell>
          <cell r="P1130">
            <v>710</v>
          </cell>
          <cell r="V1130" t="str">
            <v>Available</v>
          </cell>
        </row>
        <row r="1131">
          <cell r="E1131">
            <v>10030050</v>
          </cell>
          <cell r="H1131">
            <v>4.24</v>
          </cell>
          <cell r="I1131">
            <v>159.87</v>
          </cell>
          <cell r="J1131">
            <v>0</v>
          </cell>
          <cell r="K1131">
            <v>0</v>
          </cell>
          <cell r="M1131">
            <v>0</v>
          </cell>
          <cell r="P1131">
            <v>160</v>
          </cell>
          <cell r="V1131" t="str">
            <v>Available</v>
          </cell>
        </row>
        <row r="1132">
          <cell r="E1132">
            <v>10030050</v>
          </cell>
          <cell r="H1132">
            <v>14.450000000000001</v>
          </cell>
          <cell r="I1132">
            <v>595.93000000000006</v>
          </cell>
          <cell r="J1132">
            <v>0</v>
          </cell>
          <cell r="K1132">
            <v>0</v>
          </cell>
          <cell r="M1132">
            <v>0</v>
          </cell>
          <cell r="P1132">
            <v>596</v>
          </cell>
          <cell r="V1132" t="str">
            <v>Available</v>
          </cell>
        </row>
        <row r="1133">
          <cell r="E1133">
            <v>10030051</v>
          </cell>
          <cell r="H1133">
            <v>74.62</v>
          </cell>
          <cell r="I1133">
            <v>2687.5499999999997</v>
          </cell>
          <cell r="J1133">
            <v>0</v>
          </cell>
          <cell r="K1133">
            <v>2687.5499999999997</v>
          </cell>
          <cell r="M1133">
            <v>0</v>
          </cell>
          <cell r="P1133">
            <v>0</v>
          </cell>
          <cell r="V1133" t="str">
            <v>Not Available</v>
          </cell>
        </row>
        <row r="1134">
          <cell r="E1134">
            <v>10030051</v>
          </cell>
          <cell r="H1134">
            <v>1313.8600000000001</v>
          </cell>
          <cell r="I1134">
            <v>50356.37000000001</v>
          </cell>
          <cell r="J1134">
            <v>0</v>
          </cell>
          <cell r="K1134">
            <v>0</v>
          </cell>
          <cell r="M1134">
            <v>0</v>
          </cell>
          <cell r="P1134">
            <v>49614</v>
          </cell>
          <cell r="V1134" t="str">
            <v>Available</v>
          </cell>
        </row>
        <row r="1135">
          <cell r="E1135">
            <v>10030051</v>
          </cell>
          <cell r="H1135">
            <v>235.57999999999998</v>
          </cell>
          <cell r="I1135">
            <v>8442.57</v>
          </cell>
          <cell r="J1135">
            <v>0</v>
          </cell>
          <cell r="K1135">
            <v>0</v>
          </cell>
          <cell r="M1135">
            <v>0</v>
          </cell>
          <cell r="P1135">
            <v>8443</v>
          </cell>
          <cell r="V1135" t="str">
            <v>Available</v>
          </cell>
        </row>
        <row r="1136">
          <cell r="E1136">
            <v>10030051</v>
          </cell>
          <cell r="H1136">
            <v>813.50000000000011</v>
          </cell>
          <cell r="I1136">
            <v>31323.870000000006</v>
          </cell>
          <cell r="J1136">
            <v>0</v>
          </cell>
          <cell r="K1136">
            <v>0</v>
          </cell>
          <cell r="M1136">
            <v>0</v>
          </cell>
          <cell r="P1136">
            <v>31324</v>
          </cell>
          <cell r="V1136" t="str">
            <v>Available</v>
          </cell>
        </row>
        <row r="1137">
          <cell r="E1137">
            <v>10030051</v>
          </cell>
          <cell r="H1137">
            <v>36.120000000000005</v>
          </cell>
          <cell r="I1137">
            <v>1453.12</v>
          </cell>
          <cell r="J1137">
            <v>0</v>
          </cell>
          <cell r="K1137">
            <v>0</v>
          </cell>
          <cell r="M1137">
            <v>0</v>
          </cell>
          <cell r="P1137">
            <v>1453</v>
          </cell>
          <cell r="V1137" t="str">
            <v>Available</v>
          </cell>
        </row>
        <row r="1138">
          <cell r="E1138">
            <v>10030051</v>
          </cell>
          <cell r="H1138">
            <v>210.34</v>
          </cell>
          <cell r="I1138">
            <v>7605.4399999999987</v>
          </cell>
          <cell r="J1138">
            <v>0</v>
          </cell>
          <cell r="K1138">
            <v>0</v>
          </cell>
          <cell r="M1138">
            <v>0</v>
          </cell>
          <cell r="P1138">
            <v>7605</v>
          </cell>
          <cell r="V1138" t="str">
            <v>Available</v>
          </cell>
        </row>
        <row r="1139">
          <cell r="E1139">
            <v>10030051</v>
          </cell>
          <cell r="H1139">
            <v>184.60000000000002</v>
          </cell>
          <cell r="I1139">
            <v>6702.52</v>
          </cell>
          <cell r="J1139">
            <v>0</v>
          </cell>
          <cell r="K1139">
            <v>0</v>
          </cell>
          <cell r="M1139">
            <v>0</v>
          </cell>
          <cell r="P1139">
            <v>6703</v>
          </cell>
          <cell r="V1139" t="str">
            <v>Available</v>
          </cell>
        </row>
        <row r="1140">
          <cell r="E1140">
            <v>10030051</v>
          </cell>
          <cell r="H1140">
            <v>1056.72</v>
          </cell>
          <cell r="I1140">
            <v>38533.840000000004</v>
          </cell>
          <cell r="J1140">
            <v>0</v>
          </cell>
          <cell r="K1140">
            <v>0</v>
          </cell>
          <cell r="M1140">
            <v>0</v>
          </cell>
          <cell r="P1140">
            <v>38534</v>
          </cell>
          <cell r="V1140" t="str">
            <v>Not Available</v>
          </cell>
        </row>
        <row r="1141">
          <cell r="E1141">
            <v>10030053</v>
          </cell>
          <cell r="H1141">
            <v>21.95</v>
          </cell>
          <cell r="I1141">
            <v>849.16000000000008</v>
          </cell>
          <cell r="J1141">
            <v>0</v>
          </cell>
          <cell r="K1141">
            <v>0</v>
          </cell>
          <cell r="M1141">
            <v>0</v>
          </cell>
          <cell r="P1141">
            <v>849</v>
          </cell>
          <cell r="V1141" t="str">
            <v>Available</v>
          </cell>
        </row>
        <row r="1142">
          <cell r="E1142">
            <v>10030053</v>
          </cell>
          <cell r="H1142">
            <v>12.099999999999998</v>
          </cell>
          <cell r="I1142">
            <v>438.84000000000003</v>
          </cell>
          <cell r="J1142">
            <v>0</v>
          </cell>
          <cell r="K1142">
            <v>0</v>
          </cell>
          <cell r="M1142">
            <v>0</v>
          </cell>
          <cell r="P1142">
            <v>439</v>
          </cell>
          <cell r="V1142" t="str">
            <v>Available</v>
          </cell>
        </row>
        <row r="1143">
          <cell r="E1143">
            <v>10030053</v>
          </cell>
          <cell r="H1143">
            <v>144.70000000000002</v>
          </cell>
          <cell r="I1143">
            <v>5346.6800000000012</v>
          </cell>
          <cell r="J1143">
            <v>0</v>
          </cell>
          <cell r="K1143">
            <v>0</v>
          </cell>
          <cell r="M1143">
            <v>0</v>
          </cell>
          <cell r="P1143">
            <v>5347</v>
          </cell>
          <cell r="V1143" t="str">
            <v>Available</v>
          </cell>
        </row>
        <row r="1144">
          <cell r="E1144">
            <v>10030053</v>
          </cell>
          <cell r="H1144">
            <v>12.1</v>
          </cell>
          <cell r="I1144">
            <v>457.35</v>
          </cell>
          <cell r="J1144">
            <v>0</v>
          </cell>
          <cell r="K1144">
            <v>0</v>
          </cell>
          <cell r="M1144">
            <v>0</v>
          </cell>
          <cell r="P1144">
            <v>457</v>
          </cell>
          <cell r="V1144" t="str">
            <v>Available</v>
          </cell>
        </row>
        <row r="1145">
          <cell r="E1145">
            <v>10030053</v>
          </cell>
          <cell r="H1145">
            <v>12.35</v>
          </cell>
          <cell r="I1145">
            <v>672.68</v>
          </cell>
          <cell r="J1145">
            <v>0</v>
          </cell>
          <cell r="K1145">
            <v>0</v>
          </cell>
          <cell r="M1145">
            <v>0</v>
          </cell>
          <cell r="P1145">
            <v>673</v>
          </cell>
          <cell r="V1145" t="str">
            <v>Available</v>
          </cell>
        </row>
        <row r="1146">
          <cell r="E1146">
            <v>10030053</v>
          </cell>
          <cell r="H1146">
            <v>13.45</v>
          </cell>
          <cell r="I1146">
            <v>517.08999999999992</v>
          </cell>
          <cell r="J1146">
            <v>0</v>
          </cell>
          <cell r="K1146">
            <v>0</v>
          </cell>
          <cell r="M1146">
            <v>0</v>
          </cell>
          <cell r="P1146">
            <v>517</v>
          </cell>
          <cell r="V1146" t="str">
            <v>Available</v>
          </cell>
        </row>
        <row r="1147">
          <cell r="E1147">
            <v>10030053</v>
          </cell>
          <cell r="H1147">
            <v>16.8</v>
          </cell>
          <cell r="I1147">
            <v>613.97</v>
          </cell>
          <cell r="J1147">
            <v>0</v>
          </cell>
          <cell r="K1147">
            <v>0</v>
          </cell>
          <cell r="M1147">
            <v>0</v>
          </cell>
          <cell r="P1147">
            <v>614</v>
          </cell>
          <cell r="V1147" t="str">
            <v>Available</v>
          </cell>
        </row>
        <row r="1148">
          <cell r="E1148">
            <v>10030055</v>
          </cell>
          <cell r="H1148">
            <v>2.69</v>
          </cell>
          <cell r="I1148">
            <v>116.72</v>
          </cell>
          <cell r="J1148">
            <v>0</v>
          </cell>
          <cell r="K1148">
            <v>116.72</v>
          </cell>
          <cell r="M1148">
            <v>0</v>
          </cell>
          <cell r="P1148">
            <v>0</v>
          </cell>
          <cell r="V1148" t="str">
            <v>Not Available</v>
          </cell>
        </row>
        <row r="1149">
          <cell r="E1149">
            <v>10030055</v>
          </cell>
          <cell r="H1149">
            <v>18.32</v>
          </cell>
          <cell r="I1149">
            <v>797.35000000000014</v>
          </cell>
          <cell r="J1149">
            <v>0</v>
          </cell>
          <cell r="K1149">
            <v>0</v>
          </cell>
          <cell r="M1149">
            <v>0</v>
          </cell>
          <cell r="P1149">
            <v>704</v>
          </cell>
          <cell r="V1149" t="str">
            <v>Available</v>
          </cell>
        </row>
        <row r="1150">
          <cell r="E1150">
            <v>10030055</v>
          </cell>
          <cell r="H1150">
            <v>96.22</v>
          </cell>
          <cell r="I1150">
            <v>4146.3999999999996</v>
          </cell>
          <cell r="J1150">
            <v>0</v>
          </cell>
          <cell r="K1150">
            <v>0</v>
          </cell>
          <cell r="M1150">
            <v>0</v>
          </cell>
          <cell r="P1150">
            <v>4146</v>
          </cell>
          <cell r="V1150" t="str">
            <v>Available</v>
          </cell>
        </row>
        <row r="1151">
          <cell r="E1151">
            <v>10030055</v>
          </cell>
          <cell r="H1151">
            <v>62.43</v>
          </cell>
          <cell r="I1151">
            <v>2753.57</v>
          </cell>
          <cell r="J1151">
            <v>0</v>
          </cell>
          <cell r="K1151">
            <v>0</v>
          </cell>
          <cell r="M1151">
            <v>0</v>
          </cell>
          <cell r="P1151">
            <v>2754</v>
          </cell>
          <cell r="V1151" t="str">
            <v>Available</v>
          </cell>
        </row>
        <row r="1152">
          <cell r="E1152">
            <v>10030056</v>
          </cell>
          <cell r="H1152">
            <v>26</v>
          </cell>
          <cell r="I1152">
            <v>930.24</v>
          </cell>
          <cell r="J1152">
            <v>0</v>
          </cell>
          <cell r="K1152">
            <v>0</v>
          </cell>
          <cell r="M1152">
            <v>0</v>
          </cell>
          <cell r="P1152">
            <v>178</v>
          </cell>
          <cell r="V1152" t="str">
            <v>Available</v>
          </cell>
        </row>
        <row r="1153">
          <cell r="E1153">
            <v>10030056</v>
          </cell>
          <cell r="H1153">
            <v>124.79999999999998</v>
          </cell>
          <cell r="I1153">
            <v>4337.0700000000006</v>
          </cell>
          <cell r="J1153">
            <v>0</v>
          </cell>
          <cell r="K1153">
            <v>0</v>
          </cell>
          <cell r="M1153">
            <v>0</v>
          </cell>
          <cell r="P1153">
            <v>4337</v>
          </cell>
          <cell r="V1153" t="str">
            <v>Available</v>
          </cell>
        </row>
        <row r="1154">
          <cell r="E1154">
            <v>10030059</v>
          </cell>
          <cell r="H1154">
            <v>146.58000000000004</v>
          </cell>
          <cell r="I1154">
            <v>8008.42</v>
          </cell>
          <cell r="J1154">
            <v>0</v>
          </cell>
          <cell r="K1154">
            <v>0</v>
          </cell>
          <cell r="M1154">
            <v>0</v>
          </cell>
          <cell r="P1154">
            <v>6533</v>
          </cell>
          <cell r="V1154" t="str">
            <v>Available</v>
          </cell>
        </row>
        <row r="1155">
          <cell r="E1155">
            <v>10030059</v>
          </cell>
          <cell r="H1155">
            <v>320.14</v>
          </cell>
          <cell r="I1155">
            <v>12944.779999999999</v>
          </cell>
          <cell r="J1155">
            <v>0</v>
          </cell>
          <cell r="K1155">
            <v>0</v>
          </cell>
          <cell r="M1155">
            <v>0</v>
          </cell>
          <cell r="P1155">
            <v>12945</v>
          </cell>
          <cell r="V1155" t="str">
            <v>Available</v>
          </cell>
        </row>
        <row r="1156">
          <cell r="E1156">
            <v>10030059</v>
          </cell>
          <cell r="H1156">
            <v>10.75</v>
          </cell>
          <cell r="I1156">
            <v>420.69999999999993</v>
          </cell>
          <cell r="J1156">
            <v>0</v>
          </cell>
          <cell r="K1156">
            <v>0</v>
          </cell>
          <cell r="M1156">
            <v>0</v>
          </cell>
          <cell r="P1156">
            <v>421</v>
          </cell>
          <cell r="V1156" t="str">
            <v>Available</v>
          </cell>
        </row>
        <row r="1157">
          <cell r="E1157">
            <v>10030059</v>
          </cell>
          <cell r="H1157">
            <v>30.32</v>
          </cell>
          <cell r="I1157">
            <v>1358.9199999999998</v>
          </cell>
          <cell r="J1157">
            <v>0</v>
          </cell>
          <cell r="K1157">
            <v>0</v>
          </cell>
          <cell r="M1157">
            <v>0</v>
          </cell>
          <cell r="P1157">
            <v>1359</v>
          </cell>
          <cell r="V1157" t="str">
            <v>Available</v>
          </cell>
        </row>
        <row r="1158">
          <cell r="E1158">
            <v>10030059</v>
          </cell>
          <cell r="H1158">
            <v>35.879999999999995</v>
          </cell>
          <cell r="I1158">
            <v>1738.2</v>
          </cell>
          <cell r="J1158">
            <v>0</v>
          </cell>
          <cell r="K1158">
            <v>0</v>
          </cell>
          <cell r="M1158">
            <v>0</v>
          </cell>
          <cell r="P1158">
            <v>1738</v>
          </cell>
          <cell r="V1158" t="str">
            <v>Available</v>
          </cell>
        </row>
        <row r="1159">
          <cell r="E1159">
            <v>10030059</v>
          </cell>
          <cell r="H1159">
            <v>13.36</v>
          </cell>
          <cell r="I1159">
            <v>538.98</v>
          </cell>
          <cell r="J1159">
            <v>0</v>
          </cell>
          <cell r="K1159">
            <v>0</v>
          </cell>
          <cell r="M1159">
            <v>0</v>
          </cell>
          <cell r="P1159">
            <v>539</v>
          </cell>
          <cell r="V1159" t="str">
            <v>Available</v>
          </cell>
        </row>
        <row r="1160">
          <cell r="E1160">
            <v>10030059</v>
          </cell>
          <cell r="H1160">
            <v>40.28</v>
          </cell>
          <cell r="I1160">
            <v>1741.4699999999998</v>
          </cell>
          <cell r="J1160">
            <v>0</v>
          </cell>
          <cell r="K1160">
            <v>0</v>
          </cell>
          <cell r="M1160">
            <v>0</v>
          </cell>
          <cell r="P1160">
            <v>1741</v>
          </cell>
          <cell r="V1160" t="str">
            <v>Available</v>
          </cell>
        </row>
        <row r="1161">
          <cell r="E1161">
            <v>10030059</v>
          </cell>
          <cell r="H1161">
            <v>11.29</v>
          </cell>
          <cell r="I1161">
            <v>483.57000000000005</v>
          </cell>
          <cell r="J1161">
            <v>0</v>
          </cell>
          <cell r="K1161">
            <v>0</v>
          </cell>
          <cell r="M1161">
            <v>0</v>
          </cell>
          <cell r="P1161">
            <v>484</v>
          </cell>
          <cell r="V1161" t="str">
            <v>Available</v>
          </cell>
        </row>
        <row r="1162">
          <cell r="E1162">
            <v>10030059</v>
          </cell>
          <cell r="H1162">
            <v>6.3599999999999994</v>
          </cell>
          <cell r="I1162">
            <v>351.20000000000005</v>
          </cell>
          <cell r="J1162">
            <v>0</v>
          </cell>
          <cell r="K1162">
            <v>0</v>
          </cell>
          <cell r="M1162">
            <v>0</v>
          </cell>
          <cell r="P1162">
            <v>351</v>
          </cell>
          <cell r="V1162" t="str">
            <v>Available</v>
          </cell>
        </row>
        <row r="1163">
          <cell r="E1163">
            <v>10030059</v>
          </cell>
          <cell r="H1163">
            <v>68.899999999999991</v>
          </cell>
          <cell r="I1163">
            <v>3560.7999999999997</v>
          </cell>
          <cell r="J1163">
            <v>0</v>
          </cell>
          <cell r="K1163">
            <v>0</v>
          </cell>
          <cell r="M1163">
            <v>0</v>
          </cell>
          <cell r="P1163">
            <v>3561</v>
          </cell>
          <cell r="V1163" t="str">
            <v>Available</v>
          </cell>
        </row>
        <row r="1164">
          <cell r="E1164">
            <v>10030061</v>
          </cell>
          <cell r="H1164">
            <v>0.99</v>
          </cell>
          <cell r="I1164">
            <v>35.409999999999997</v>
          </cell>
          <cell r="J1164">
            <v>0</v>
          </cell>
          <cell r="K1164">
            <v>35.409999999999997</v>
          </cell>
          <cell r="M1164">
            <v>0</v>
          </cell>
          <cell r="P1164">
            <v>0</v>
          </cell>
          <cell r="V1164" t="str">
            <v>Not Available</v>
          </cell>
        </row>
        <row r="1165">
          <cell r="E1165">
            <v>10030061</v>
          </cell>
          <cell r="H1165">
            <v>178.40999999999997</v>
          </cell>
          <cell r="I1165">
            <v>6454.72</v>
          </cell>
          <cell r="J1165">
            <v>0</v>
          </cell>
          <cell r="K1165">
            <v>0</v>
          </cell>
          <cell r="M1165">
            <v>0</v>
          </cell>
          <cell r="P1165">
            <v>6455</v>
          </cell>
          <cell r="V1165" t="str">
            <v>Available</v>
          </cell>
        </row>
        <row r="1166">
          <cell r="E1166">
            <v>10030061</v>
          </cell>
          <cell r="H1166">
            <v>100.69999999999999</v>
          </cell>
          <cell r="I1166">
            <v>3372.49</v>
          </cell>
          <cell r="J1166">
            <v>0</v>
          </cell>
          <cell r="K1166">
            <v>0</v>
          </cell>
          <cell r="M1166">
            <v>0</v>
          </cell>
          <cell r="P1166">
            <v>3372</v>
          </cell>
          <cell r="V1166" t="str">
            <v>Available</v>
          </cell>
        </row>
        <row r="1167">
          <cell r="E1167">
            <v>10030061</v>
          </cell>
          <cell r="H1167">
            <v>111.78</v>
          </cell>
          <cell r="I1167">
            <v>3933.61</v>
          </cell>
          <cell r="J1167">
            <v>0</v>
          </cell>
          <cell r="K1167">
            <v>0</v>
          </cell>
          <cell r="M1167">
            <v>0</v>
          </cell>
          <cell r="P1167">
            <v>3934</v>
          </cell>
          <cell r="V1167" t="str">
            <v>Available</v>
          </cell>
        </row>
        <row r="1168">
          <cell r="E1168">
            <v>10030061</v>
          </cell>
          <cell r="H1168">
            <v>1.07</v>
          </cell>
          <cell r="I1168">
            <v>37.270000000000003</v>
          </cell>
          <cell r="J1168">
            <v>0</v>
          </cell>
          <cell r="K1168">
            <v>0</v>
          </cell>
          <cell r="M1168">
            <v>0</v>
          </cell>
          <cell r="P1168">
            <v>37</v>
          </cell>
          <cell r="V1168" t="str">
            <v>Available</v>
          </cell>
        </row>
        <row r="1169">
          <cell r="E1169">
            <v>10030061</v>
          </cell>
          <cell r="H1169">
            <v>4.28</v>
          </cell>
          <cell r="I1169">
            <v>154.69</v>
          </cell>
          <cell r="J1169">
            <v>0</v>
          </cell>
          <cell r="K1169">
            <v>0</v>
          </cell>
          <cell r="M1169">
            <v>0</v>
          </cell>
          <cell r="P1169">
            <v>155</v>
          </cell>
          <cell r="V1169" t="str">
            <v>Available</v>
          </cell>
        </row>
        <row r="1170">
          <cell r="E1170">
            <v>10030061</v>
          </cell>
          <cell r="H1170">
            <v>28.89</v>
          </cell>
          <cell r="I1170">
            <v>1025.49</v>
          </cell>
          <cell r="J1170">
            <v>0</v>
          </cell>
          <cell r="K1170">
            <v>0</v>
          </cell>
          <cell r="M1170">
            <v>0</v>
          </cell>
          <cell r="P1170">
            <v>1025</v>
          </cell>
          <cell r="V1170" t="str">
            <v>Available</v>
          </cell>
        </row>
        <row r="1171">
          <cell r="E1171">
            <v>10030061</v>
          </cell>
          <cell r="H1171">
            <v>9.34</v>
          </cell>
          <cell r="I1171">
            <v>330.24</v>
          </cell>
          <cell r="J1171">
            <v>0</v>
          </cell>
          <cell r="K1171">
            <v>0</v>
          </cell>
          <cell r="M1171">
            <v>0</v>
          </cell>
          <cell r="P1171">
            <v>330</v>
          </cell>
          <cell r="V1171" t="str">
            <v>Available</v>
          </cell>
        </row>
        <row r="1172">
          <cell r="E1172">
            <v>10030061</v>
          </cell>
          <cell r="H1172">
            <v>5.52</v>
          </cell>
          <cell r="I1172">
            <v>167.93</v>
          </cell>
          <cell r="J1172">
            <v>0</v>
          </cell>
          <cell r="K1172">
            <v>0</v>
          </cell>
          <cell r="M1172">
            <v>0</v>
          </cell>
          <cell r="P1172">
            <v>168</v>
          </cell>
          <cell r="V1172" t="str">
            <v>Available</v>
          </cell>
        </row>
        <row r="1173">
          <cell r="E1173">
            <v>10030063</v>
          </cell>
          <cell r="H1173">
            <v>17.059999999999999</v>
          </cell>
          <cell r="I1173">
            <v>742.20999999999992</v>
          </cell>
          <cell r="J1173">
            <v>0</v>
          </cell>
          <cell r="K1173">
            <v>742.20999999999992</v>
          </cell>
          <cell r="M1173">
            <v>0</v>
          </cell>
          <cell r="P1173">
            <v>0</v>
          </cell>
          <cell r="V1173" t="str">
            <v>Not Available</v>
          </cell>
        </row>
        <row r="1174">
          <cell r="E1174">
            <v>10030063</v>
          </cell>
          <cell r="H1174">
            <v>521.4</v>
          </cell>
          <cell r="I1174">
            <v>23796.619999999995</v>
          </cell>
          <cell r="J1174">
            <v>0</v>
          </cell>
          <cell r="K1174">
            <v>0</v>
          </cell>
          <cell r="M1174">
            <v>21672</v>
          </cell>
          <cell r="P1174">
            <v>0</v>
          </cell>
          <cell r="V1174" t="str">
            <v>Available</v>
          </cell>
        </row>
        <row r="1175">
          <cell r="E1175">
            <v>10030063</v>
          </cell>
          <cell r="H1175">
            <v>10.139999999999999</v>
          </cell>
          <cell r="I1175">
            <v>440.09000000000003</v>
          </cell>
          <cell r="J1175">
            <v>0</v>
          </cell>
          <cell r="K1175">
            <v>0</v>
          </cell>
          <cell r="M1175">
            <v>0</v>
          </cell>
          <cell r="P1175">
            <v>440</v>
          </cell>
          <cell r="V1175" t="str">
            <v>Available</v>
          </cell>
        </row>
        <row r="1176">
          <cell r="E1176">
            <v>10030063</v>
          </cell>
          <cell r="H1176">
            <v>412.81999999999994</v>
          </cell>
          <cell r="I1176">
            <v>16938.699999999997</v>
          </cell>
          <cell r="J1176">
            <v>0</v>
          </cell>
          <cell r="K1176">
            <v>0</v>
          </cell>
          <cell r="M1176">
            <v>8328</v>
          </cell>
          <cell r="P1176">
            <v>8611</v>
          </cell>
          <cell r="V1176" t="str">
            <v>Available</v>
          </cell>
        </row>
        <row r="1177">
          <cell r="E1177">
            <v>10030063</v>
          </cell>
          <cell r="H1177">
            <v>161.9</v>
          </cell>
          <cell r="I1177">
            <v>6859.2899999999991</v>
          </cell>
          <cell r="J1177">
            <v>0</v>
          </cell>
          <cell r="K1177">
            <v>0</v>
          </cell>
          <cell r="M1177">
            <v>0</v>
          </cell>
          <cell r="P1177">
            <v>6859</v>
          </cell>
          <cell r="V1177" t="str">
            <v>Available</v>
          </cell>
        </row>
        <row r="1178">
          <cell r="E1178">
            <v>10030063</v>
          </cell>
          <cell r="H1178">
            <v>54.839999999999996</v>
          </cell>
          <cell r="I1178">
            <v>2028.59</v>
          </cell>
          <cell r="J1178">
            <v>0</v>
          </cell>
          <cell r="K1178">
            <v>0</v>
          </cell>
          <cell r="M1178">
            <v>0</v>
          </cell>
          <cell r="P1178">
            <v>2029</v>
          </cell>
          <cell r="V1178" t="str">
            <v>Available</v>
          </cell>
        </row>
        <row r="1179">
          <cell r="E1179">
            <v>10030063</v>
          </cell>
          <cell r="H1179">
            <v>15.52</v>
          </cell>
          <cell r="I1179">
            <v>670.98</v>
          </cell>
          <cell r="J1179">
            <v>0</v>
          </cell>
          <cell r="K1179">
            <v>0</v>
          </cell>
          <cell r="M1179">
            <v>0</v>
          </cell>
          <cell r="P1179">
            <v>671</v>
          </cell>
          <cell r="V1179" t="str">
            <v>Available</v>
          </cell>
        </row>
        <row r="1180">
          <cell r="E1180">
            <v>10030063</v>
          </cell>
          <cell r="H1180">
            <v>90.539999999999978</v>
          </cell>
          <cell r="I1180">
            <v>3295.3399999999997</v>
          </cell>
          <cell r="J1180">
            <v>0</v>
          </cell>
          <cell r="K1180">
            <v>0</v>
          </cell>
          <cell r="M1180">
            <v>0</v>
          </cell>
          <cell r="P1180">
            <v>3295</v>
          </cell>
          <cell r="V1180" t="str">
            <v>Available</v>
          </cell>
        </row>
        <row r="1181">
          <cell r="E1181">
            <v>10030064</v>
          </cell>
          <cell r="H1181">
            <v>340.20000000000005</v>
          </cell>
          <cell r="I1181">
            <v>17359.459999999995</v>
          </cell>
          <cell r="J1181">
            <v>0</v>
          </cell>
          <cell r="K1181">
            <v>0</v>
          </cell>
          <cell r="M1181">
            <v>0</v>
          </cell>
          <cell r="P1181">
            <v>11507</v>
          </cell>
          <cell r="V1181" t="str">
            <v>Available</v>
          </cell>
        </row>
        <row r="1182">
          <cell r="E1182">
            <v>10030064</v>
          </cell>
          <cell r="H1182">
            <v>539.07000000000005</v>
          </cell>
          <cell r="I1182">
            <v>25240.25</v>
          </cell>
          <cell r="J1182">
            <v>0</v>
          </cell>
          <cell r="K1182">
            <v>0</v>
          </cell>
          <cell r="M1182">
            <v>0</v>
          </cell>
          <cell r="P1182">
            <v>25240</v>
          </cell>
          <cell r="V1182" t="str">
            <v>Available</v>
          </cell>
        </row>
        <row r="1183">
          <cell r="E1183">
            <v>10030064</v>
          </cell>
          <cell r="H1183">
            <v>39.97</v>
          </cell>
          <cell r="I1183">
            <v>1554.6400000000003</v>
          </cell>
          <cell r="J1183">
            <v>0</v>
          </cell>
          <cell r="K1183">
            <v>0</v>
          </cell>
          <cell r="M1183">
            <v>0</v>
          </cell>
          <cell r="P1183">
            <v>1555</v>
          </cell>
          <cell r="V1183" t="str">
            <v>Available</v>
          </cell>
        </row>
        <row r="1184">
          <cell r="E1184">
            <v>10030064</v>
          </cell>
          <cell r="H1184">
            <v>17.059999999999999</v>
          </cell>
          <cell r="I1184">
            <v>745.58999999999992</v>
          </cell>
          <cell r="J1184">
            <v>0</v>
          </cell>
          <cell r="K1184">
            <v>0</v>
          </cell>
          <cell r="M1184">
            <v>0</v>
          </cell>
          <cell r="P1184">
            <v>746</v>
          </cell>
          <cell r="V1184" t="str">
            <v>Available</v>
          </cell>
        </row>
        <row r="1185">
          <cell r="E1185">
            <v>10030064</v>
          </cell>
          <cell r="H1185">
            <v>79.819999999999993</v>
          </cell>
          <cell r="I1185">
            <v>3455.97</v>
          </cell>
          <cell r="J1185">
            <v>0</v>
          </cell>
          <cell r="K1185">
            <v>0</v>
          </cell>
          <cell r="M1185">
            <v>0</v>
          </cell>
          <cell r="P1185">
            <v>3456</v>
          </cell>
          <cell r="V1185" t="str">
            <v>Available</v>
          </cell>
        </row>
        <row r="1186">
          <cell r="E1186">
            <v>10030065</v>
          </cell>
          <cell r="H1186">
            <v>3.2599999999999989</v>
          </cell>
          <cell r="I1186">
            <v>123.66000000000001</v>
          </cell>
          <cell r="J1186">
            <v>0</v>
          </cell>
          <cell r="K1186">
            <v>123.66000000000001</v>
          </cell>
          <cell r="M1186">
            <v>0</v>
          </cell>
          <cell r="P1186">
            <v>0</v>
          </cell>
          <cell r="V1186" t="str">
            <v>Not Available</v>
          </cell>
        </row>
        <row r="1187">
          <cell r="E1187">
            <v>10030065</v>
          </cell>
          <cell r="H1187">
            <v>127.22000000000001</v>
          </cell>
          <cell r="I1187">
            <v>4831.6299999999992</v>
          </cell>
          <cell r="J1187">
            <v>0</v>
          </cell>
          <cell r="K1187">
            <v>0</v>
          </cell>
          <cell r="M1187">
            <v>0</v>
          </cell>
          <cell r="P1187">
            <v>4056</v>
          </cell>
          <cell r="V1187" t="str">
            <v>Available</v>
          </cell>
        </row>
        <row r="1188">
          <cell r="E1188">
            <v>10030065</v>
          </cell>
          <cell r="H1188">
            <v>69.359999999999985</v>
          </cell>
          <cell r="I1188">
            <v>2614.5000000000005</v>
          </cell>
          <cell r="J1188">
            <v>0</v>
          </cell>
          <cell r="K1188">
            <v>0</v>
          </cell>
          <cell r="M1188">
            <v>0</v>
          </cell>
          <cell r="P1188">
            <v>2615</v>
          </cell>
          <cell r="V1188" t="str">
            <v>Available</v>
          </cell>
        </row>
        <row r="1189">
          <cell r="E1189">
            <v>10030065</v>
          </cell>
          <cell r="H1189">
            <v>78.56</v>
          </cell>
          <cell r="I1189">
            <v>2984.96</v>
          </cell>
          <cell r="J1189">
            <v>0</v>
          </cell>
          <cell r="K1189">
            <v>0</v>
          </cell>
          <cell r="M1189">
            <v>0</v>
          </cell>
          <cell r="P1189">
            <v>2985</v>
          </cell>
          <cell r="V1189" t="str">
            <v>Available</v>
          </cell>
        </row>
        <row r="1190">
          <cell r="E1190">
            <v>10030066</v>
          </cell>
          <cell r="H1190">
            <v>30.25</v>
          </cell>
          <cell r="I1190">
            <v>1257.49</v>
          </cell>
          <cell r="J1190">
            <v>0</v>
          </cell>
          <cell r="K1190">
            <v>1257.49</v>
          </cell>
          <cell r="M1190">
            <v>0</v>
          </cell>
          <cell r="P1190">
            <v>0</v>
          </cell>
          <cell r="V1190" t="str">
            <v>Not Available</v>
          </cell>
        </row>
        <row r="1191">
          <cell r="E1191">
            <v>10030066</v>
          </cell>
          <cell r="H1191">
            <v>277.73</v>
          </cell>
          <cell r="I1191">
            <v>14868.679999999998</v>
          </cell>
          <cell r="J1191">
            <v>0</v>
          </cell>
          <cell r="K1191">
            <v>0</v>
          </cell>
          <cell r="M1191">
            <v>0</v>
          </cell>
          <cell r="P1191">
            <v>14330</v>
          </cell>
          <cell r="V1191" t="str">
            <v>Available</v>
          </cell>
        </row>
        <row r="1192">
          <cell r="E1192">
            <v>10030066</v>
          </cell>
          <cell r="H1192">
            <v>276.53000000000009</v>
          </cell>
          <cell r="I1192">
            <v>14304.55</v>
          </cell>
          <cell r="J1192">
            <v>0</v>
          </cell>
          <cell r="K1192">
            <v>0</v>
          </cell>
          <cell r="M1192">
            <v>0</v>
          </cell>
          <cell r="P1192">
            <v>14305</v>
          </cell>
          <cell r="V1192" t="str">
            <v>Available</v>
          </cell>
        </row>
        <row r="1193">
          <cell r="E1193">
            <v>10030066</v>
          </cell>
          <cell r="H1193">
            <v>276.2</v>
          </cell>
          <cell r="I1193">
            <v>12447.48</v>
          </cell>
          <cell r="J1193">
            <v>0</v>
          </cell>
          <cell r="K1193">
            <v>0</v>
          </cell>
          <cell r="M1193">
            <v>0</v>
          </cell>
          <cell r="P1193">
            <v>12447</v>
          </cell>
          <cell r="V1193" t="str">
            <v>Available</v>
          </cell>
        </row>
        <row r="1194">
          <cell r="E1194">
            <v>10030066</v>
          </cell>
          <cell r="H1194">
            <v>8.1300000000000008</v>
          </cell>
          <cell r="I1194">
            <v>265.39</v>
          </cell>
          <cell r="J1194">
            <v>0</v>
          </cell>
          <cell r="K1194">
            <v>0</v>
          </cell>
          <cell r="M1194">
            <v>0</v>
          </cell>
          <cell r="P1194">
            <v>265</v>
          </cell>
          <cell r="V1194" t="str">
            <v>Available</v>
          </cell>
        </row>
        <row r="1195">
          <cell r="E1195">
            <v>10030066</v>
          </cell>
          <cell r="H1195">
            <v>18.749999999999996</v>
          </cell>
          <cell r="I1195">
            <v>820.07000000000016</v>
          </cell>
          <cell r="J1195">
            <v>0</v>
          </cell>
          <cell r="K1195">
            <v>0</v>
          </cell>
          <cell r="M1195">
            <v>0</v>
          </cell>
          <cell r="P1195">
            <v>820</v>
          </cell>
          <cell r="V1195" t="str">
            <v>Available</v>
          </cell>
        </row>
        <row r="1196">
          <cell r="E1196">
            <v>10030066</v>
          </cell>
          <cell r="H1196">
            <v>281.16000000000003</v>
          </cell>
          <cell r="I1196">
            <v>10946.920000000002</v>
          </cell>
          <cell r="J1196">
            <v>0</v>
          </cell>
          <cell r="K1196">
            <v>0</v>
          </cell>
          <cell r="M1196">
            <v>0</v>
          </cell>
          <cell r="P1196">
            <v>10947</v>
          </cell>
          <cell r="V1196" t="str">
            <v>Available</v>
          </cell>
        </row>
        <row r="1197">
          <cell r="E1197">
            <v>10030066</v>
          </cell>
          <cell r="H1197">
            <v>1.66</v>
          </cell>
          <cell r="I1197">
            <v>65.3</v>
          </cell>
          <cell r="J1197">
            <v>0</v>
          </cell>
          <cell r="K1197">
            <v>0</v>
          </cell>
          <cell r="M1197">
            <v>0</v>
          </cell>
          <cell r="P1197">
            <v>65</v>
          </cell>
          <cell r="V1197" t="str">
            <v>Available</v>
          </cell>
        </row>
        <row r="1198">
          <cell r="E1198">
            <v>10030066</v>
          </cell>
          <cell r="H1198">
            <v>291.66999999999996</v>
          </cell>
          <cell r="I1198">
            <v>11777.52</v>
          </cell>
          <cell r="J1198">
            <v>0</v>
          </cell>
          <cell r="K1198">
            <v>0</v>
          </cell>
          <cell r="M1198">
            <v>0</v>
          </cell>
          <cell r="P1198">
            <v>11778</v>
          </cell>
          <cell r="V1198" t="str">
            <v>Available</v>
          </cell>
        </row>
        <row r="1199">
          <cell r="E1199">
            <v>10030066</v>
          </cell>
          <cell r="H1199">
            <v>274.68</v>
          </cell>
          <cell r="I1199">
            <v>11083.940000000002</v>
          </cell>
          <cell r="J1199">
            <v>0</v>
          </cell>
          <cell r="K1199">
            <v>0</v>
          </cell>
          <cell r="M1199">
            <v>0</v>
          </cell>
          <cell r="P1199">
            <v>11084</v>
          </cell>
          <cell r="V1199" t="str">
            <v>Available</v>
          </cell>
        </row>
        <row r="1200">
          <cell r="E1200">
            <v>10030066</v>
          </cell>
          <cell r="H1200">
            <v>273.56000000000006</v>
          </cell>
          <cell r="I1200">
            <v>11205.719999999998</v>
          </cell>
          <cell r="J1200">
            <v>0</v>
          </cell>
          <cell r="K1200">
            <v>0</v>
          </cell>
          <cell r="M1200">
            <v>0</v>
          </cell>
          <cell r="P1200">
            <v>11206</v>
          </cell>
          <cell r="V1200" t="str">
            <v>Not Available</v>
          </cell>
        </row>
        <row r="1201">
          <cell r="E1201">
            <v>10030066</v>
          </cell>
          <cell r="H1201">
            <v>263.41000000000003</v>
          </cell>
          <cell r="I1201">
            <v>10549.24</v>
          </cell>
          <cell r="J1201">
            <v>0</v>
          </cell>
          <cell r="K1201">
            <v>0</v>
          </cell>
          <cell r="M1201">
            <v>0</v>
          </cell>
          <cell r="P1201">
            <v>10549</v>
          </cell>
          <cell r="V1201" t="str">
            <v>Not Available</v>
          </cell>
        </row>
        <row r="1202">
          <cell r="E1202">
            <v>10030066</v>
          </cell>
          <cell r="H1202">
            <v>222.81</v>
          </cell>
          <cell r="I1202">
            <v>9011.5299999999988</v>
          </cell>
          <cell r="J1202">
            <v>0</v>
          </cell>
          <cell r="K1202">
            <v>0</v>
          </cell>
          <cell r="M1202">
            <v>0</v>
          </cell>
          <cell r="P1202">
            <v>9012</v>
          </cell>
          <cell r="V1202" t="str">
            <v>Not Available</v>
          </cell>
        </row>
        <row r="1203">
          <cell r="E1203">
            <v>10030066</v>
          </cell>
          <cell r="H1203">
            <v>213.2</v>
          </cell>
          <cell r="I1203">
            <v>8775.68</v>
          </cell>
          <cell r="J1203">
            <v>0</v>
          </cell>
          <cell r="K1203">
            <v>0</v>
          </cell>
          <cell r="M1203">
            <v>0</v>
          </cell>
          <cell r="P1203">
            <v>8776</v>
          </cell>
          <cell r="V1203" t="str">
            <v>Not Available</v>
          </cell>
        </row>
        <row r="1204">
          <cell r="E1204">
            <v>10030066</v>
          </cell>
          <cell r="H1204">
            <v>162.65</v>
          </cell>
          <cell r="I1204">
            <v>6769.53</v>
          </cell>
          <cell r="J1204">
            <v>0</v>
          </cell>
          <cell r="K1204">
            <v>0</v>
          </cell>
          <cell r="M1204">
            <v>0</v>
          </cell>
          <cell r="P1204">
            <v>6770</v>
          </cell>
          <cell r="V1204" t="str">
            <v>Not Available</v>
          </cell>
        </row>
        <row r="1205">
          <cell r="E1205">
            <v>10030066</v>
          </cell>
          <cell r="H1205">
            <v>90</v>
          </cell>
          <cell r="I1205">
            <v>3806.49</v>
          </cell>
          <cell r="J1205">
            <v>0</v>
          </cell>
          <cell r="K1205">
            <v>0</v>
          </cell>
          <cell r="M1205">
            <v>0</v>
          </cell>
          <cell r="P1205">
            <v>3806</v>
          </cell>
          <cell r="V1205" t="str">
            <v>Not Available</v>
          </cell>
        </row>
        <row r="1206">
          <cell r="E1206">
            <v>10030066</v>
          </cell>
          <cell r="H1206">
            <v>65.89</v>
          </cell>
          <cell r="I1206">
            <v>2805.93</v>
          </cell>
          <cell r="J1206">
            <v>0</v>
          </cell>
          <cell r="K1206">
            <v>0</v>
          </cell>
          <cell r="M1206">
            <v>0</v>
          </cell>
          <cell r="P1206">
            <v>2806</v>
          </cell>
          <cell r="V1206" t="str">
            <v>Not Available</v>
          </cell>
        </row>
        <row r="1207">
          <cell r="E1207">
            <v>10030066</v>
          </cell>
          <cell r="H1207">
            <v>22.57</v>
          </cell>
          <cell r="I1207">
            <v>950.2</v>
          </cell>
          <cell r="J1207">
            <v>0</v>
          </cell>
          <cell r="K1207">
            <v>0</v>
          </cell>
          <cell r="M1207">
            <v>0</v>
          </cell>
          <cell r="P1207">
            <v>950</v>
          </cell>
          <cell r="V1207" t="str">
            <v>Not Available</v>
          </cell>
        </row>
        <row r="1208">
          <cell r="E1208">
            <v>10030066</v>
          </cell>
          <cell r="H1208">
            <v>271.15999999999997</v>
          </cell>
          <cell r="I1208">
            <v>14264.399999999998</v>
          </cell>
          <cell r="J1208">
            <v>0</v>
          </cell>
          <cell r="K1208">
            <v>0</v>
          </cell>
          <cell r="M1208">
            <v>0</v>
          </cell>
          <cell r="P1208">
            <v>14264</v>
          </cell>
          <cell r="V1208" t="str">
            <v>Available</v>
          </cell>
        </row>
        <row r="1209">
          <cell r="E1209">
            <v>10030066</v>
          </cell>
          <cell r="H1209">
            <v>254.38</v>
          </cell>
          <cell r="I1209">
            <v>12927.54</v>
          </cell>
          <cell r="J1209">
            <v>0</v>
          </cell>
          <cell r="K1209">
            <v>0</v>
          </cell>
          <cell r="M1209">
            <v>0</v>
          </cell>
          <cell r="P1209">
            <v>12928</v>
          </cell>
          <cell r="V1209" t="str">
            <v>Available</v>
          </cell>
        </row>
        <row r="1210">
          <cell r="E1210">
            <v>10030068</v>
          </cell>
          <cell r="H1210">
            <v>29.769999999999996</v>
          </cell>
          <cell r="I1210">
            <v>1443.1599999999999</v>
          </cell>
          <cell r="J1210">
            <v>0</v>
          </cell>
          <cell r="K1210">
            <v>1443.1599999999999</v>
          </cell>
          <cell r="M1210">
            <v>0</v>
          </cell>
          <cell r="P1210">
            <v>0</v>
          </cell>
          <cell r="V1210" t="str">
            <v>Not Available</v>
          </cell>
        </row>
        <row r="1211">
          <cell r="E1211">
            <v>10030068</v>
          </cell>
          <cell r="H1211">
            <v>293.49</v>
          </cell>
          <cell r="I1211">
            <v>11783.410000000002</v>
          </cell>
          <cell r="J1211">
            <v>0</v>
          </cell>
          <cell r="K1211">
            <v>0</v>
          </cell>
          <cell r="M1211">
            <v>0</v>
          </cell>
          <cell r="P1211">
            <v>8075</v>
          </cell>
          <cell r="V1211" t="str">
            <v>Available</v>
          </cell>
        </row>
        <row r="1212">
          <cell r="E1212">
            <v>10030068</v>
          </cell>
          <cell r="H1212">
            <v>213.38</v>
          </cell>
          <cell r="I1212">
            <v>8745.2199999999993</v>
          </cell>
          <cell r="J1212">
            <v>0</v>
          </cell>
          <cell r="K1212">
            <v>0</v>
          </cell>
          <cell r="M1212">
            <v>0</v>
          </cell>
          <cell r="P1212">
            <v>8745</v>
          </cell>
          <cell r="V1212" t="str">
            <v>Available</v>
          </cell>
        </row>
        <row r="1213">
          <cell r="E1213">
            <v>10030068</v>
          </cell>
          <cell r="H1213">
            <v>39.03</v>
          </cell>
          <cell r="I1213">
            <v>1561.35</v>
          </cell>
          <cell r="J1213">
            <v>0</v>
          </cell>
          <cell r="K1213">
            <v>0</v>
          </cell>
          <cell r="M1213">
            <v>0</v>
          </cell>
          <cell r="P1213">
            <v>1561</v>
          </cell>
          <cell r="V1213" t="str">
            <v>Available</v>
          </cell>
        </row>
        <row r="1214">
          <cell r="E1214">
            <v>10030068</v>
          </cell>
          <cell r="H1214">
            <v>15.720000000000002</v>
          </cell>
          <cell r="I1214">
            <v>599.75</v>
          </cell>
          <cell r="J1214">
            <v>0</v>
          </cell>
          <cell r="K1214">
            <v>0</v>
          </cell>
          <cell r="M1214">
            <v>0</v>
          </cell>
          <cell r="P1214">
            <v>600</v>
          </cell>
          <cell r="V1214" t="str">
            <v>Available</v>
          </cell>
        </row>
        <row r="1215">
          <cell r="E1215">
            <v>10030068</v>
          </cell>
          <cell r="H1215">
            <v>21.85</v>
          </cell>
          <cell r="I1215">
            <v>832.81</v>
          </cell>
          <cell r="J1215">
            <v>0</v>
          </cell>
          <cell r="K1215">
            <v>0</v>
          </cell>
          <cell r="M1215">
            <v>0</v>
          </cell>
          <cell r="P1215">
            <v>833</v>
          </cell>
          <cell r="V1215" t="str">
            <v>Available</v>
          </cell>
        </row>
        <row r="1216">
          <cell r="E1216">
            <v>10030068</v>
          </cell>
          <cell r="H1216">
            <v>11.34</v>
          </cell>
          <cell r="I1216">
            <v>506.00000000000006</v>
          </cell>
          <cell r="J1216">
            <v>0</v>
          </cell>
          <cell r="K1216">
            <v>0</v>
          </cell>
          <cell r="M1216">
            <v>0</v>
          </cell>
          <cell r="P1216">
            <v>506</v>
          </cell>
          <cell r="V1216" t="str">
            <v>Available</v>
          </cell>
        </row>
        <row r="1217">
          <cell r="E1217">
            <v>10030068</v>
          </cell>
          <cell r="H1217">
            <v>8.2999999999999989</v>
          </cell>
          <cell r="I1217">
            <v>338.19</v>
          </cell>
          <cell r="J1217">
            <v>0</v>
          </cell>
          <cell r="K1217">
            <v>0</v>
          </cell>
          <cell r="M1217">
            <v>0</v>
          </cell>
          <cell r="P1217">
            <v>338</v>
          </cell>
          <cell r="V1217" t="str">
            <v>Available</v>
          </cell>
        </row>
        <row r="1218">
          <cell r="E1218">
            <v>10030068</v>
          </cell>
          <cell r="H1218">
            <v>11.66</v>
          </cell>
          <cell r="I1218">
            <v>478.07</v>
          </cell>
          <cell r="J1218">
            <v>0</v>
          </cell>
          <cell r="K1218">
            <v>0</v>
          </cell>
          <cell r="M1218">
            <v>0</v>
          </cell>
          <cell r="P1218">
            <v>478</v>
          </cell>
          <cell r="V1218" t="str">
            <v>Available</v>
          </cell>
        </row>
        <row r="1219">
          <cell r="E1219">
            <v>10030070</v>
          </cell>
          <cell r="H1219">
            <v>14.2</v>
          </cell>
          <cell r="I1219">
            <v>739.84000000000015</v>
          </cell>
          <cell r="J1219">
            <v>0</v>
          </cell>
          <cell r="K1219">
            <v>739.84000000000015</v>
          </cell>
          <cell r="M1219">
            <v>0</v>
          </cell>
          <cell r="P1219">
            <v>0</v>
          </cell>
          <cell r="V1219" t="str">
            <v>Not Available</v>
          </cell>
        </row>
        <row r="1220">
          <cell r="E1220">
            <v>10030070</v>
          </cell>
          <cell r="H1220">
            <v>165.2</v>
          </cell>
          <cell r="I1220">
            <v>7626.41</v>
          </cell>
          <cell r="J1220">
            <v>0</v>
          </cell>
          <cell r="K1220">
            <v>0</v>
          </cell>
          <cell r="M1220">
            <v>0</v>
          </cell>
          <cell r="P1220">
            <v>4584</v>
          </cell>
          <cell r="V1220" t="str">
            <v>Available</v>
          </cell>
        </row>
        <row r="1221">
          <cell r="E1221">
            <v>10030070</v>
          </cell>
          <cell r="H1221">
            <v>163.5</v>
          </cell>
          <cell r="I1221">
            <v>7454.9199999999992</v>
          </cell>
          <cell r="J1221">
            <v>0</v>
          </cell>
          <cell r="K1221">
            <v>0</v>
          </cell>
          <cell r="M1221">
            <v>0</v>
          </cell>
          <cell r="P1221">
            <v>7455</v>
          </cell>
          <cell r="V1221" t="str">
            <v>Available</v>
          </cell>
        </row>
        <row r="1222">
          <cell r="E1222">
            <v>10030070</v>
          </cell>
          <cell r="H1222">
            <v>144.59999999999997</v>
          </cell>
          <cell r="I1222">
            <v>6662.11</v>
          </cell>
          <cell r="J1222">
            <v>0</v>
          </cell>
          <cell r="K1222">
            <v>0</v>
          </cell>
          <cell r="M1222">
            <v>0</v>
          </cell>
          <cell r="P1222">
            <v>6662</v>
          </cell>
          <cell r="V1222" t="str">
            <v>Available</v>
          </cell>
        </row>
        <row r="1223">
          <cell r="E1223">
            <v>10030070</v>
          </cell>
          <cell r="H1223">
            <v>129.70000000000002</v>
          </cell>
          <cell r="I1223">
            <v>5953.0300000000007</v>
          </cell>
          <cell r="J1223">
            <v>0</v>
          </cell>
          <cell r="K1223">
            <v>0</v>
          </cell>
          <cell r="M1223">
            <v>0</v>
          </cell>
          <cell r="P1223">
            <v>5953</v>
          </cell>
          <cell r="V1223" t="str">
            <v>Available</v>
          </cell>
        </row>
        <row r="1224">
          <cell r="E1224">
            <v>10030071</v>
          </cell>
          <cell r="H1224">
            <v>5.5</v>
          </cell>
          <cell r="I1224">
            <v>231.66</v>
          </cell>
          <cell r="J1224">
            <v>0</v>
          </cell>
          <cell r="K1224">
            <v>0</v>
          </cell>
          <cell r="M1224">
            <v>0</v>
          </cell>
          <cell r="P1224">
            <v>0</v>
          </cell>
          <cell r="V1224" t="str">
            <v>Available</v>
          </cell>
        </row>
        <row r="1225">
          <cell r="E1225">
            <v>10030071</v>
          </cell>
          <cell r="H1225">
            <v>157.01999999999998</v>
          </cell>
          <cell r="I1225">
            <v>6607.369999999999</v>
          </cell>
          <cell r="J1225">
            <v>0</v>
          </cell>
          <cell r="K1225">
            <v>0</v>
          </cell>
          <cell r="M1225">
            <v>0</v>
          </cell>
          <cell r="P1225">
            <v>6607</v>
          </cell>
          <cell r="V1225" t="str">
            <v>Available</v>
          </cell>
        </row>
        <row r="1226">
          <cell r="E1226">
            <v>10030071</v>
          </cell>
          <cell r="H1226">
            <v>1.18</v>
          </cell>
          <cell r="I1226">
            <v>41.5</v>
          </cell>
          <cell r="J1226">
            <v>0</v>
          </cell>
          <cell r="K1226">
            <v>0</v>
          </cell>
          <cell r="M1226">
            <v>0</v>
          </cell>
          <cell r="P1226">
            <v>42</v>
          </cell>
          <cell r="V1226" t="str">
            <v>Available</v>
          </cell>
        </row>
        <row r="1227">
          <cell r="E1227">
            <v>10030071</v>
          </cell>
          <cell r="H1227">
            <v>8.4600000000000009</v>
          </cell>
          <cell r="I1227">
            <v>549.8900000000001</v>
          </cell>
          <cell r="J1227">
            <v>0</v>
          </cell>
          <cell r="K1227">
            <v>0</v>
          </cell>
          <cell r="M1227">
            <v>0</v>
          </cell>
          <cell r="P1227">
            <v>550</v>
          </cell>
          <cell r="V1227" t="str">
            <v>Available</v>
          </cell>
        </row>
        <row r="1228">
          <cell r="E1228">
            <v>10030072</v>
          </cell>
          <cell r="H1228">
            <v>12.95</v>
          </cell>
          <cell r="I1228">
            <v>537.29000000000008</v>
          </cell>
          <cell r="J1228">
            <v>0</v>
          </cell>
          <cell r="K1228">
            <v>537.29000000000008</v>
          </cell>
          <cell r="M1228">
            <v>0</v>
          </cell>
          <cell r="P1228">
            <v>0</v>
          </cell>
          <cell r="V1228" t="str">
            <v>Not Available</v>
          </cell>
        </row>
        <row r="1229">
          <cell r="E1229">
            <v>10030072</v>
          </cell>
          <cell r="H1229">
            <v>207.36999999999998</v>
          </cell>
          <cell r="I1229">
            <v>9955.42</v>
          </cell>
          <cell r="J1229">
            <v>0</v>
          </cell>
          <cell r="K1229">
            <v>0</v>
          </cell>
          <cell r="M1229">
            <v>0</v>
          </cell>
          <cell r="P1229">
            <v>9840</v>
          </cell>
          <cell r="V1229" t="str">
            <v>Available</v>
          </cell>
        </row>
        <row r="1230">
          <cell r="E1230">
            <v>10030072</v>
          </cell>
          <cell r="H1230">
            <v>9.5300000000000011</v>
          </cell>
          <cell r="I1230">
            <v>403.27</v>
          </cell>
          <cell r="J1230">
            <v>0</v>
          </cell>
          <cell r="K1230">
            <v>0</v>
          </cell>
          <cell r="M1230">
            <v>0</v>
          </cell>
          <cell r="P1230">
            <v>403</v>
          </cell>
          <cell r="V1230" t="str">
            <v>Available</v>
          </cell>
        </row>
        <row r="1231">
          <cell r="E1231">
            <v>10030072</v>
          </cell>
          <cell r="H1231">
            <v>10.6</v>
          </cell>
          <cell r="I1231">
            <v>468.93</v>
          </cell>
          <cell r="J1231">
            <v>0</v>
          </cell>
          <cell r="K1231">
            <v>0</v>
          </cell>
          <cell r="M1231">
            <v>0</v>
          </cell>
          <cell r="P1231">
            <v>469</v>
          </cell>
          <cell r="V1231" t="str">
            <v>Available</v>
          </cell>
        </row>
        <row r="1232">
          <cell r="E1232">
            <v>10030072</v>
          </cell>
          <cell r="H1232">
            <v>51.08</v>
          </cell>
          <cell r="I1232">
            <v>1876.4299999999998</v>
          </cell>
          <cell r="J1232">
            <v>0</v>
          </cell>
          <cell r="K1232">
            <v>0</v>
          </cell>
          <cell r="M1232">
            <v>0</v>
          </cell>
          <cell r="P1232">
            <v>1876</v>
          </cell>
          <cell r="V1232" t="str">
            <v>Available</v>
          </cell>
        </row>
        <row r="1233">
          <cell r="E1233">
            <v>10030072</v>
          </cell>
          <cell r="H1233">
            <v>6.65</v>
          </cell>
          <cell r="I1233">
            <v>284.03999999999996</v>
          </cell>
          <cell r="J1233">
            <v>0</v>
          </cell>
          <cell r="K1233">
            <v>0</v>
          </cell>
          <cell r="M1233">
            <v>0</v>
          </cell>
          <cell r="P1233">
            <v>284</v>
          </cell>
          <cell r="V1233" t="str">
            <v>Available</v>
          </cell>
        </row>
        <row r="1234">
          <cell r="E1234">
            <v>10030072</v>
          </cell>
          <cell r="H1234">
            <v>65.39</v>
          </cell>
          <cell r="I1234">
            <v>2192.1600000000003</v>
          </cell>
          <cell r="J1234">
            <v>0</v>
          </cell>
          <cell r="K1234">
            <v>0</v>
          </cell>
          <cell r="M1234">
            <v>0</v>
          </cell>
          <cell r="P1234">
            <v>2192</v>
          </cell>
          <cell r="V1234" t="str">
            <v>Available</v>
          </cell>
        </row>
        <row r="1235">
          <cell r="E1235">
            <v>10030072</v>
          </cell>
          <cell r="H1235">
            <v>79.56</v>
          </cell>
          <cell r="I1235">
            <v>2845.4799999999996</v>
          </cell>
          <cell r="J1235">
            <v>0</v>
          </cell>
          <cell r="K1235">
            <v>0</v>
          </cell>
          <cell r="M1235">
            <v>0</v>
          </cell>
          <cell r="P1235">
            <v>2845</v>
          </cell>
          <cell r="V1235" t="str">
            <v>Available</v>
          </cell>
        </row>
        <row r="1236">
          <cell r="E1236">
            <v>10030072</v>
          </cell>
          <cell r="H1236">
            <v>217.15000000000003</v>
          </cell>
          <cell r="I1236">
            <v>8708.0600000000013</v>
          </cell>
          <cell r="J1236">
            <v>0</v>
          </cell>
          <cell r="K1236">
            <v>0</v>
          </cell>
          <cell r="M1236">
            <v>0</v>
          </cell>
          <cell r="P1236">
            <v>8708</v>
          </cell>
          <cell r="V1236" t="str">
            <v>Available</v>
          </cell>
        </row>
        <row r="1237">
          <cell r="E1237">
            <v>10030072</v>
          </cell>
          <cell r="H1237">
            <v>97.300000000000011</v>
          </cell>
          <cell r="I1237">
            <v>3810.0599999999995</v>
          </cell>
          <cell r="J1237">
            <v>0</v>
          </cell>
          <cell r="K1237">
            <v>0</v>
          </cell>
          <cell r="M1237">
            <v>0</v>
          </cell>
          <cell r="P1237">
            <v>3810</v>
          </cell>
          <cell r="V1237" t="str">
            <v>Available</v>
          </cell>
        </row>
        <row r="1238">
          <cell r="E1238">
            <v>10030072</v>
          </cell>
          <cell r="H1238">
            <v>46.06</v>
          </cell>
          <cell r="I1238">
            <v>1748</v>
          </cell>
          <cell r="J1238">
            <v>0</v>
          </cell>
          <cell r="K1238">
            <v>0</v>
          </cell>
          <cell r="M1238">
            <v>0</v>
          </cell>
          <cell r="P1238">
            <v>1748</v>
          </cell>
          <cell r="V1238" t="str">
            <v>Available</v>
          </cell>
        </row>
        <row r="1239">
          <cell r="E1239">
            <v>10030072</v>
          </cell>
          <cell r="H1239">
            <v>65.97</v>
          </cell>
          <cell r="I1239">
            <v>2347.0299999999997</v>
          </cell>
          <cell r="J1239">
            <v>0</v>
          </cell>
          <cell r="K1239">
            <v>0</v>
          </cell>
          <cell r="M1239">
            <v>0</v>
          </cell>
          <cell r="P1239">
            <v>2347</v>
          </cell>
          <cell r="V1239" t="str">
            <v>Available</v>
          </cell>
        </row>
        <row r="1240">
          <cell r="E1240">
            <v>10030072</v>
          </cell>
          <cell r="H1240">
            <v>75.09</v>
          </cell>
          <cell r="I1240">
            <v>2892.96</v>
          </cell>
          <cell r="J1240">
            <v>0</v>
          </cell>
          <cell r="K1240">
            <v>0</v>
          </cell>
          <cell r="M1240">
            <v>0</v>
          </cell>
          <cell r="P1240">
            <v>2893</v>
          </cell>
          <cell r="V1240" t="str">
            <v>Available</v>
          </cell>
        </row>
        <row r="1241">
          <cell r="E1241">
            <v>10030072</v>
          </cell>
          <cell r="H1241">
            <v>51.739999999999988</v>
          </cell>
          <cell r="I1241">
            <v>1716.0700000000002</v>
          </cell>
          <cell r="J1241">
            <v>0</v>
          </cell>
          <cell r="K1241">
            <v>0</v>
          </cell>
          <cell r="M1241">
            <v>0</v>
          </cell>
          <cell r="P1241">
            <v>1716</v>
          </cell>
          <cell r="V1241" t="str">
            <v>Available</v>
          </cell>
        </row>
        <row r="1242">
          <cell r="E1242">
            <v>10030072</v>
          </cell>
          <cell r="H1242">
            <v>16.7</v>
          </cell>
          <cell r="I1242">
            <v>770.6</v>
          </cell>
          <cell r="J1242">
            <v>0</v>
          </cell>
          <cell r="K1242">
            <v>0</v>
          </cell>
          <cell r="M1242">
            <v>0</v>
          </cell>
          <cell r="P1242">
            <v>771</v>
          </cell>
          <cell r="V1242" t="str">
            <v>Available</v>
          </cell>
        </row>
        <row r="1243">
          <cell r="E1243">
            <v>10030072</v>
          </cell>
          <cell r="H1243">
            <v>21.090000000000003</v>
          </cell>
          <cell r="I1243">
            <v>804.46999999999991</v>
          </cell>
          <cell r="J1243">
            <v>0</v>
          </cell>
          <cell r="K1243">
            <v>0</v>
          </cell>
          <cell r="M1243">
            <v>0</v>
          </cell>
          <cell r="P1243">
            <v>804</v>
          </cell>
          <cell r="V1243" t="str">
            <v>Available</v>
          </cell>
        </row>
        <row r="1244">
          <cell r="E1244">
            <v>10030072</v>
          </cell>
          <cell r="H1244">
            <v>6.66</v>
          </cell>
          <cell r="I1244">
            <v>263.77999999999997</v>
          </cell>
          <cell r="J1244">
            <v>0</v>
          </cell>
          <cell r="K1244">
            <v>0</v>
          </cell>
          <cell r="M1244">
            <v>0</v>
          </cell>
          <cell r="P1244">
            <v>264</v>
          </cell>
          <cell r="V1244" t="str">
            <v>Available</v>
          </cell>
        </row>
        <row r="1245">
          <cell r="E1245">
            <v>10030072</v>
          </cell>
          <cell r="H1245">
            <v>48.47</v>
          </cell>
          <cell r="I1245">
            <v>1817.24</v>
          </cell>
          <cell r="J1245">
            <v>0</v>
          </cell>
          <cell r="K1245">
            <v>0</v>
          </cell>
          <cell r="M1245">
            <v>0</v>
          </cell>
          <cell r="P1245">
            <v>1817</v>
          </cell>
          <cell r="V1245" t="str">
            <v>Available</v>
          </cell>
        </row>
        <row r="1246">
          <cell r="E1246">
            <v>10030072</v>
          </cell>
          <cell r="H1246">
            <v>47.510000000000005</v>
          </cell>
          <cell r="I1246">
            <v>3124.57</v>
          </cell>
          <cell r="J1246">
            <v>0</v>
          </cell>
          <cell r="K1246">
            <v>0</v>
          </cell>
          <cell r="M1246">
            <v>0</v>
          </cell>
          <cell r="P1246">
            <v>3125</v>
          </cell>
          <cell r="V1246" t="str">
            <v>Available</v>
          </cell>
        </row>
        <row r="1247">
          <cell r="E1247">
            <v>10030072</v>
          </cell>
          <cell r="H1247">
            <v>10.49</v>
          </cell>
          <cell r="I1247">
            <v>439.47999999999996</v>
          </cell>
          <cell r="J1247">
            <v>0</v>
          </cell>
          <cell r="K1247">
            <v>0</v>
          </cell>
          <cell r="M1247">
            <v>0</v>
          </cell>
          <cell r="P1247">
            <v>439</v>
          </cell>
          <cell r="V1247" t="str">
            <v>Available</v>
          </cell>
        </row>
        <row r="1248">
          <cell r="E1248">
            <v>10030072</v>
          </cell>
          <cell r="H1248">
            <v>9.76</v>
          </cell>
          <cell r="I1248">
            <v>418.96999999999997</v>
          </cell>
          <cell r="J1248">
            <v>0</v>
          </cell>
          <cell r="K1248">
            <v>0</v>
          </cell>
          <cell r="M1248">
            <v>0</v>
          </cell>
          <cell r="P1248">
            <v>419</v>
          </cell>
          <cell r="V1248" t="str">
            <v>Available</v>
          </cell>
        </row>
        <row r="1249">
          <cell r="E1249">
            <v>10030072</v>
          </cell>
          <cell r="H1249">
            <v>27.31</v>
          </cell>
          <cell r="I1249">
            <v>1544.14</v>
          </cell>
          <cell r="J1249">
            <v>0</v>
          </cell>
          <cell r="K1249">
            <v>0</v>
          </cell>
          <cell r="M1249">
            <v>0</v>
          </cell>
          <cell r="P1249">
            <v>1544</v>
          </cell>
          <cell r="V1249" t="str">
            <v>Available</v>
          </cell>
        </row>
        <row r="1250">
          <cell r="E1250">
            <v>10030072</v>
          </cell>
          <cell r="H1250">
            <v>10.760000000000002</v>
          </cell>
          <cell r="I1250">
            <v>402.43</v>
          </cell>
          <cell r="J1250">
            <v>0</v>
          </cell>
          <cell r="K1250">
            <v>0</v>
          </cell>
          <cell r="M1250">
            <v>0</v>
          </cell>
          <cell r="P1250">
            <v>402</v>
          </cell>
          <cell r="V1250" t="str">
            <v>Available</v>
          </cell>
        </row>
        <row r="1251">
          <cell r="E1251">
            <v>10030072</v>
          </cell>
          <cell r="H1251">
            <v>15.299999999999999</v>
          </cell>
          <cell r="I1251">
            <v>494.28000000000003</v>
          </cell>
          <cell r="J1251">
            <v>0</v>
          </cell>
          <cell r="K1251">
            <v>0</v>
          </cell>
          <cell r="M1251">
            <v>0</v>
          </cell>
          <cell r="P1251">
            <v>494</v>
          </cell>
          <cell r="V1251" t="str">
            <v>Available</v>
          </cell>
        </row>
        <row r="1252">
          <cell r="E1252">
            <v>10030074</v>
          </cell>
          <cell r="H1252">
            <v>455.93</v>
          </cell>
          <cell r="I1252">
            <v>19125.86</v>
          </cell>
          <cell r="J1252">
            <v>0</v>
          </cell>
          <cell r="K1252">
            <v>0</v>
          </cell>
          <cell r="M1252">
            <v>0</v>
          </cell>
          <cell r="P1252">
            <v>12712</v>
          </cell>
          <cell r="V1252" t="str">
            <v>Available</v>
          </cell>
        </row>
        <row r="1253">
          <cell r="E1253">
            <v>10030074</v>
          </cell>
          <cell r="H1253">
            <v>577.93999999999983</v>
          </cell>
          <cell r="I1253">
            <v>25674</v>
          </cell>
          <cell r="J1253">
            <v>0</v>
          </cell>
          <cell r="K1253">
            <v>0</v>
          </cell>
          <cell r="M1253">
            <v>0</v>
          </cell>
          <cell r="P1253">
            <v>25674</v>
          </cell>
          <cell r="V1253" t="str">
            <v>Available</v>
          </cell>
        </row>
        <row r="1254">
          <cell r="E1254">
            <v>10030074</v>
          </cell>
          <cell r="H1254">
            <v>386.78</v>
          </cell>
          <cell r="I1254">
            <v>17721.570000000003</v>
          </cell>
          <cell r="J1254">
            <v>0</v>
          </cell>
          <cell r="K1254">
            <v>0</v>
          </cell>
          <cell r="M1254">
            <v>0</v>
          </cell>
          <cell r="P1254">
            <v>17722</v>
          </cell>
          <cell r="V1254" t="str">
            <v>Available</v>
          </cell>
        </row>
        <row r="1255">
          <cell r="E1255">
            <v>10030075</v>
          </cell>
          <cell r="H1255">
            <v>50.9</v>
          </cell>
          <cell r="I1255">
            <v>2415.96</v>
          </cell>
          <cell r="J1255">
            <v>0</v>
          </cell>
          <cell r="K1255">
            <v>0</v>
          </cell>
          <cell r="M1255">
            <v>0</v>
          </cell>
          <cell r="P1255">
            <v>0</v>
          </cell>
          <cell r="V1255" t="str">
            <v>Available</v>
          </cell>
        </row>
        <row r="1256">
          <cell r="E1256">
            <v>10030075</v>
          </cell>
          <cell r="H1256">
            <v>20.5</v>
          </cell>
          <cell r="I1256">
            <v>861.1</v>
          </cell>
          <cell r="J1256">
            <v>0</v>
          </cell>
          <cell r="K1256">
            <v>0</v>
          </cell>
          <cell r="M1256">
            <v>0</v>
          </cell>
          <cell r="P1256">
            <v>861</v>
          </cell>
          <cell r="V1256" t="str">
            <v>Available</v>
          </cell>
        </row>
        <row r="1257">
          <cell r="E1257">
            <v>10030075</v>
          </cell>
          <cell r="H1257">
            <v>6.72</v>
          </cell>
          <cell r="I1257">
            <v>313.91999999999996</v>
          </cell>
          <cell r="J1257">
            <v>0</v>
          </cell>
          <cell r="K1257">
            <v>0</v>
          </cell>
          <cell r="M1257">
            <v>0</v>
          </cell>
          <cell r="P1257">
            <v>314</v>
          </cell>
          <cell r="V1257" t="str">
            <v>Available</v>
          </cell>
        </row>
        <row r="1258">
          <cell r="E1258">
            <v>10030075</v>
          </cell>
          <cell r="H1258">
            <v>72.69</v>
          </cell>
          <cell r="I1258">
            <v>3328.8300000000004</v>
          </cell>
          <cell r="J1258">
            <v>0</v>
          </cell>
          <cell r="K1258">
            <v>0</v>
          </cell>
          <cell r="M1258">
            <v>0</v>
          </cell>
          <cell r="P1258">
            <v>3329</v>
          </cell>
          <cell r="V1258" t="str">
            <v>Available</v>
          </cell>
        </row>
        <row r="1259">
          <cell r="E1259">
            <v>10030075</v>
          </cell>
          <cell r="H1259">
            <v>27.830000000000002</v>
          </cell>
          <cell r="I1259">
            <v>1011.03</v>
          </cell>
          <cell r="J1259">
            <v>0</v>
          </cell>
          <cell r="K1259">
            <v>0</v>
          </cell>
          <cell r="M1259">
            <v>0</v>
          </cell>
          <cell r="P1259">
            <v>1011</v>
          </cell>
          <cell r="V1259" t="str">
            <v>Available</v>
          </cell>
        </row>
        <row r="1260">
          <cell r="E1260">
            <v>10030075</v>
          </cell>
          <cell r="H1260">
            <v>54.66</v>
          </cell>
          <cell r="I1260">
            <v>3651.9</v>
          </cell>
          <cell r="J1260">
            <v>0</v>
          </cell>
          <cell r="K1260">
            <v>0</v>
          </cell>
          <cell r="M1260">
            <v>0</v>
          </cell>
          <cell r="P1260">
            <v>3652</v>
          </cell>
          <cell r="V1260" t="str">
            <v>Available</v>
          </cell>
        </row>
        <row r="1261">
          <cell r="E1261">
            <v>10030075</v>
          </cell>
          <cell r="H1261">
            <v>17.190000000000001</v>
          </cell>
          <cell r="I1261">
            <v>677.27</v>
          </cell>
          <cell r="J1261">
            <v>0</v>
          </cell>
          <cell r="K1261">
            <v>0</v>
          </cell>
          <cell r="M1261">
            <v>0</v>
          </cell>
          <cell r="P1261">
            <v>677</v>
          </cell>
          <cell r="V1261" t="str">
            <v>Available</v>
          </cell>
        </row>
        <row r="1262">
          <cell r="E1262">
            <v>10030075</v>
          </cell>
          <cell r="H1262">
            <v>3.77</v>
          </cell>
          <cell r="I1262">
            <v>179.75</v>
          </cell>
          <cell r="J1262">
            <v>0</v>
          </cell>
          <cell r="K1262">
            <v>0</v>
          </cell>
          <cell r="M1262">
            <v>0</v>
          </cell>
          <cell r="P1262">
            <v>180</v>
          </cell>
          <cell r="V1262" t="str">
            <v>Available</v>
          </cell>
        </row>
        <row r="1263">
          <cell r="E1263">
            <v>10030075</v>
          </cell>
          <cell r="H1263">
            <v>54.840000000000011</v>
          </cell>
          <cell r="I1263">
            <v>3107.4700000000003</v>
          </cell>
          <cell r="J1263">
            <v>0</v>
          </cell>
          <cell r="K1263">
            <v>0</v>
          </cell>
          <cell r="M1263">
            <v>0</v>
          </cell>
          <cell r="P1263">
            <v>3107</v>
          </cell>
          <cell r="V1263" t="str">
            <v>Available</v>
          </cell>
        </row>
        <row r="1264">
          <cell r="E1264">
            <v>10030078</v>
          </cell>
          <cell r="H1264">
            <v>174.5</v>
          </cell>
          <cell r="I1264">
            <v>9269.01</v>
          </cell>
          <cell r="J1264">
            <v>0</v>
          </cell>
          <cell r="K1264">
            <v>0</v>
          </cell>
          <cell r="M1264">
            <v>0</v>
          </cell>
          <cell r="P1264">
            <v>0</v>
          </cell>
          <cell r="V1264" t="str">
            <v>Available</v>
          </cell>
        </row>
        <row r="1265">
          <cell r="E1265">
            <v>10030078</v>
          </cell>
          <cell r="H1265">
            <v>420</v>
          </cell>
          <cell r="I1265">
            <v>22218</v>
          </cell>
          <cell r="J1265">
            <v>0</v>
          </cell>
          <cell r="K1265">
            <v>0</v>
          </cell>
          <cell r="M1265">
            <v>0</v>
          </cell>
          <cell r="P1265">
            <v>22218</v>
          </cell>
          <cell r="V1265" t="str">
            <v>Available</v>
          </cell>
        </row>
        <row r="1266">
          <cell r="E1266">
            <v>10030078</v>
          </cell>
          <cell r="H1266">
            <v>348</v>
          </cell>
          <cell r="I1266">
            <v>19316.580000000002</v>
          </cell>
          <cell r="J1266">
            <v>0</v>
          </cell>
          <cell r="K1266">
            <v>0</v>
          </cell>
          <cell r="M1266">
            <v>0</v>
          </cell>
          <cell r="P1266">
            <v>19317</v>
          </cell>
          <cell r="V1266" t="str">
            <v>Available</v>
          </cell>
        </row>
        <row r="1267">
          <cell r="E1267">
            <v>10030078</v>
          </cell>
          <cell r="H1267">
            <v>57.5</v>
          </cell>
          <cell r="I1267">
            <v>3119.83</v>
          </cell>
          <cell r="J1267">
            <v>0</v>
          </cell>
          <cell r="K1267">
            <v>0</v>
          </cell>
          <cell r="M1267">
            <v>0</v>
          </cell>
          <cell r="P1267">
            <v>3120</v>
          </cell>
          <cell r="V1267" t="str">
            <v>Available</v>
          </cell>
        </row>
        <row r="1268">
          <cell r="E1268">
            <v>10030080</v>
          </cell>
          <cell r="H1268">
            <v>71.59</v>
          </cell>
          <cell r="I1268">
            <v>2903.84</v>
          </cell>
          <cell r="J1268">
            <v>0</v>
          </cell>
          <cell r="K1268">
            <v>0</v>
          </cell>
          <cell r="M1268">
            <v>0</v>
          </cell>
          <cell r="P1268">
            <v>2904</v>
          </cell>
          <cell r="V1268" t="str">
            <v>Available</v>
          </cell>
        </row>
        <row r="1269">
          <cell r="E1269">
            <v>10030080</v>
          </cell>
          <cell r="H1269">
            <v>82.03</v>
          </cell>
          <cell r="I1269">
            <v>3536.96</v>
          </cell>
          <cell r="J1269">
            <v>0</v>
          </cell>
          <cell r="K1269">
            <v>0</v>
          </cell>
          <cell r="M1269">
            <v>0</v>
          </cell>
          <cell r="P1269">
            <v>3537</v>
          </cell>
          <cell r="V1269" t="str">
            <v>Available</v>
          </cell>
        </row>
        <row r="1270">
          <cell r="E1270">
            <v>10030080</v>
          </cell>
          <cell r="H1270">
            <v>10.67</v>
          </cell>
          <cell r="I1270">
            <v>439.84999999999997</v>
          </cell>
          <cell r="J1270">
            <v>0</v>
          </cell>
          <cell r="K1270">
            <v>0</v>
          </cell>
          <cell r="M1270">
            <v>0</v>
          </cell>
          <cell r="P1270">
            <v>440</v>
          </cell>
          <cell r="V1270" t="str">
            <v>Available</v>
          </cell>
        </row>
        <row r="1271">
          <cell r="E1271">
            <v>10030080</v>
          </cell>
          <cell r="H1271">
            <v>17.970000000000002</v>
          </cell>
          <cell r="I1271">
            <v>692.13000000000011</v>
          </cell>
          <cell r="J1271">
            <v>0</v>
          </cell>
          <cell r="K1271">
            <v>0</v>
          </cell>
          <cell r="M1271">
            <v>0</v>
          </cell>
          <cell r="P1271">
            <v>692</v>
          </cell>
          <cell r="V1271" t="str">
            <v>Available</v>
          </cell>
        </row>
        <row r="1272">
          <cell r="E1272">
            <v>10030080</v>
          </cell>
          <cell r="H1272">
            <v>10.18</v>
          </cell>
          <cell r="I1272">
            <v>464.81000000000006</v>
          </cell>
          <cell r="J1272">
            <v>0</v>
          </cell>
          <cell r="K1272">
            <v>0</v>
          </cell>
          <cell r="M1272">
            <v>0</v>
          </cell>
          <cell r="P1272">
            <v>465</v>
          </cell>
          <cell r="V1272" t="str">
            <v>Available</v>
          </cell>
        </row>
        <row r="1273">
          <cell r="E1273">
            <v>10030080</v>
          </cell>
          <cell r="H1273">
            <v>24.470000000000002</v>
          </cell>
          <cell r="I1273">
            <v>963.81</v>
          </cell>
          <cell r="J1273">
            <v>0</v>
          </cell>
          <cell r="K1273">
            <v>0</v>
          </cell>
          <cell r="M1273">
            <v>0</v>
          </cell>
          <cell r="P1273">
            <v>964</v>
          </cell>
          <cell r="V1273" t="str">
            <v>Available</v>
          </cell>
        </row>
        <row r="1274">
          <cell r="E1274">
            <v>10030080</v>
          </cell>
          <cell r="H1274">
            <v>44.900000000000006</v>
          </cell>
          <cell r="I1274">
            <v>1625.0300000000002</v>
          </cell>
          <cell r="J1274">
            <v>0</v>
          </cell>
          <cell r="K1274">
            <v>0</v>
          </cell>
          <cell r="M1274">
            <v>0</v>
          </cell>
          <cell r="P1274">
            <v>1625</v>
          </cell>
          <cell r="V1274" t="str">
            <v>Available</v>
          </cell>
        </row>
        <row r="1275">
          <cell r="E1275">
            <v>10030080</v>
          </cell>
          <cell r="H1275">
            <v>15.140000000000004</v>
          </cell>
          <cell r="I1275">
            <v>646.01</v>
          </cell>
          <cell r="J1275">
            <v>0</v>
          </cell>
          <cell r="K1275">
            <v>0</v>
          </cell>
          <cell r="M1275">
            <v>0</v>
          </cell>
          <cell r="P1275">
            <v>646</v>
          </cell>
          <cell r="V1275" t="str">
            <v>Available</v>
          </cell>
        </row>
        <row r="1276">
          <cell r="E1276">
            <v>10030080</v>
          </cell>
          <cell r="H1276">
            <v>9.06</v>
          </cell>
          <cell r="I1276">
            <v>369.29999999999995</v>
          </cell>
          <cell r="J1276">
            <v>0</v>
          </cell>
          <cell r="K1276">
            <v>0</v>
          </cell>
          <cell r="M1276">
            <v>0</v>
          </cell>
          <cell r="P1276">
            <v>369</v>
          </cell>
          <cell r="V1276" t="str">
            <v>Available</v>
          </cell>
        </row>
        <row r="1277">
          <cell r="E1277">
            <v>10030080</v>
          </cell>
          <cell r="H1277">
            <v>37.44</v>
          </cell>
          <cell r="I1277">
            <v>1207.1899999999998</v>
          </cell>
          <cell r="J1277">
            <v>0</v>
          </cell>
          <cell r="K1277">
            <v>0</v>
          </cell>
          <cell r="M1277">
            <v>0</v>
          </cell>
          <cell r="P1277">
            <v>1207</v>
          </cell>
          <cell r="V1277" t="str">
            <v>Available</v>
          </cell>
        </row>
        <row r="1278">
          <cell r="E1278">
            <v>10030080</v>
          </cell>
          <cell r="H1278">
            <v>23.990000000000002</v>
          </cell>
          <cell r="I1278">
            <v>955.91</v>
          </cell>
          <cell r="J1278">
            <v>0</v>
          </cell>
          <cell r="K1278">
            <v>0</v>
          </cell>
          <cell r="M1278">
            <v>0</v>
          </cell>
          <cell r="P1278">
            <v>956</v>
          </cell>
          <cell r="V1278" t="str">
            <v>Available</v>
          </cell>
        </row>
        <row r="1279">
          <cell r="E1279">
            <v>10030080</v>
          </cell>
          <cell r="H1279">
            <v>30.86</v>
          </cell>
          <cell r="I1279">
            <v>1301.3399999999999</v>
          </cell>
          <cell r="J1279">
            <v>0</v>
          </cell>
          <cell r="K1279">
            <v>0</v>
          </cell>
          <cell r="M1279">
            <v>0</v>
          </cell>
          <cell r="P1279">
            <v>1301</v>
          </cell>
          <cell r="V1279" t="str">
            <v>Available</v>
          </cell>
        </row>
        <row r="1280">
          <cell r="E1280">
            <v>10030080</v>
          </cell>
          <cell r="H1280">
            <v>21.93</v>
          </cell>
          <cell r="I1280">
            <v>892.86000000000013</v>
          </cell>
          <cell r="J1280">
            <v>0</v>
          </cell>
          <cell r="K1280">
            <v>0</v>
          </cell>
          <cell r="M1280">
            <v>0</v>
          </cell>
          <cell r="P1280">
            <v>893</v>
          </cell>
          <cell r="V1280" t="str">
            <v>Available</v>
          </cell>
        </row>
        <row r="1281">
          <cell r="E1281">
            <v>10030080</v>
          </cell>
          <cell r="H1281">
            <v>21.79</v>
          </cell>
          <cell r="I1281">
            <v>744.19</v>
          </cell>
          <cell r="J1281">
            <v>0</v>
          </cell>
          <cell r="K1281">
            <v>0</v>
          </cell>
          <cell r="M1281">
            <v>0</v>
          </cell>
          <cell r="P1281">
            <v>744</v>
          </cell>
          <cell r="V1281" t="str">
            <v>Available</v>
          </cell>
        </row>
        <row r="1282">
          <cell r="E1282">
            <v>10030080</v>
          </cell>
          <cell r="H1282">
            <v>9.3000000000000007</v>
          </cell>
          <cell r="I1282">
            <v>407.46999999999997</v>
          </cell>
          <cell r="J1282">
            <v>0</v>
          </cell>
          <cell r="K1282">
            <v>0</v>
          </cell>
          <cell r="M1282">
            <v>0</v>
          </cell>
          <cell r="P1282">
            <v>407</v>
          </cell>
          <cell r="V1282" t="str">
            <v>Available</v>
          </cell>
        </row>
        <row r="1283">
          <cell r="E1283">
            <v>10030080</v>
          </cell>
          <cell r="H1283">
            <v>27.09</v>
          </cell>
          <cell r="I1283">
            <v>1035.1099999999999</v>
          </cell>
          <cell r="J1283">
            <v>0</v>
          </cell>
          <cell r="K1283">
            <v>0</v>
          </cell>
          <cell r="M1283">
            <v>0</v>
          </cell>
          <cell r="P1283">
            <v>1035</v>
          </cell>
          <cell r="V1283" t="str">
            <v>Available</v>
          </cell>
        </row>
        <row r="1284">
          <cell r="E1284">
            <v>10030080</v>
          </cell>
          <cell r="H1284">
            <v>20.369999999999997</v>
          </cell>
          <cell r="I1284">
            <v>739.79</v>
          </cell>
          <cell r="J1284">
            <v>0</v>
          </cell>
          <cell r="K1284">
            <v>0</v>
          </cell>
          <cell r="M1284">
            <v>0</v>
          </cell>
          <cell r="P1284">
            <v>740</v>
          </cell>
          <cell r="V1284" t="str">
            <v>Available</v>
          </cell>
        </row>
        <row r="1285">
          <cell r="E1285">
            <v>10030080</v>
          </cell>
          <cell r="H1285">
            <v>38.51</v>
          </cell>
          <cell r="I1285">
            <v>1473.27</v>
          </cell>
          <cell r="J1285">
            <v>0</v>
          </cell>
          <cell r="K1285">
            <v>0</v>
          </cell>
          <cell r="M1285">
            <v>0</v>
          </cell>
          <cell r="P1285">
            <v>1473</v>
          </cell>
          <cell r="V1285" t="str">
            <v>Available</v>
          </cell>
        </row>
        <row r="1286">
          <cell r="E1286">
            <v>10030080</v>
          </cell>
          <cell r="H1286">
            <v>8.8099999999999987</v>
          </cell>
          <cell r="I1286">
            <v>424.28999999999996</v>
          </cell>
          <cell r="J1286">
            <v>0</v>
          </cell>
          <cell r="K1286">
            <v>0</v>
          </cell>
          <cell r="M1286">
            <v>0</v>
          </cell>
          <cell r="P1286">
            <v>424</v>
          </cell>
          <cell r="V1286" t="str">
            <v>Available</v>
          </cell>
        </row>
        <row r="1287">
          <cell r="E1287">
            <v>10030080</v>
          </cell>
          <cell r="H1287">
            <v>24.1</v>
          </cell>
          <cell r="I1287">
            <v>952.90000000000009</v>
          </cell>
          <cell r="J1287">
            <v>0</v>
          </cell>
          <cell r="K1287">
            <v>0</v>
          </cell>
          <cell r="M1287">
            <v>0</v>
          </cell>
          <cell r="P1287">
            <v>953</v>
          </cell>
          <cell r="V1287" t="str">
            <v>Available</v>
          </cell>
        </row>
        <row r="1288">
          <cell r="E1288">
            <v>10030080</v>
          </cell>
          <cell r="H1288">
            <v>76.040000000000006</v>
          </cell>
          <cell r="I1288">
            <v>3241.4100000000003</v>
          </cell>
          <cell r="J1288">
            <v>0</v>
          </cell>
          <cell r="K1288">
            <v>0</v>
          </cell>
          <cell r="M1288">
            <v>0</v>
          </cell>
          <cell r="P1288">
            <v>3241</v>
          </cell>
          <cell r="V1288" t="str">
            <v>Available</v>
          </cell>
        </row>
        <row r="1289">
          <cell r="E1289">
            <v>10030080</v>
          </cell>
          <cell r="H1289">
            <v>13.250000000000002</v>
          </cell>
          <cell r="I1289">
            <v>528.03</v>
          </cell>
          <cell r="J1289">
            <v>0</v>
          </cell>
          <cell r="K1289">
            <v>0</v>
          </cell>
          <cell r="M1289">
            <v>0</v>
          </cell>
          <cell r="P1289">
            <v>528</v>
          </cell>
          <cell r="V1289" t="str">
            <v>Available</v>
          </cell>
        </row>
        <row r="1290">
          <cell r="E1290">
            <v>10030080</v>
          </cell>
          <cell r="H1290">
            <v>25.89</v>
          </cell>
          <cell r="I1290">
            <v>801.14999999999986</v>
          </cell>
          <cell r="J1290">
            <v>0</v>
          </cell>
          <cell r="K1290">
            <v>0</v>
          </cell>
          <cell r="M1290">
            <v>0</v>
          </cell>
          <cell r="P1290">
            <v>801</v>
          </cell>
          <cell r="V1290" t="str">
            <v>Available</v>
          </cell>
        </row>
        <row r="1291">
          <cell r="E1291">
            <v>10030080</v>
          </cell>
          <cell r="H1291">
            <v>7.4500000000000011</v>
          </cell>
          <cell r="I1291">
            <v>246.76999999999998</v>
          </cell>
          <cell r="J1291">
            <v>0</v>
          </cell>
          <cell r="K1291">
            <v>0</v>
          </cell>
          <cell r="M1291">
            <v>0</v>
          </cell>
          <cell r="P1291">
            <v>247</v>
          </cell>
          <cell r="V1291" t="str">
            <v>Available</v>
          </cell>
        </row>
        <row r="1292">
          <cell r="E1292">
            <v>10030080</v>
          </cell>
          <cell r="H1292">
            <v>26.369999999999997</v>
          </cell>
          <cell r="I1292">
            <v>958.22999999999979</v>
          </cell>
          <cell r="J1292">
            <v>0</v>
          </cell>
          <cell r="K1292">
            <v>0</v>
          </cell>
          <cell r="M1292">
            <v>0</v>
          </cell>
          <cell r="P1292">
            <v>958</v>
          </cell>
          <cell r="V1292" t="str">
            <v>Available</v>
          </cell>
        </row>
        <row r="1293">
          <cell r="E1293">
            <v>10030080</v>
          </cell>
          <cell r="H1293">
            <v>13.399999999999999</v>
          </cell>
          <cell r="I1293">
            <v>547.89</v>
          </cell>
          <cell r="J1293">
            <v>0</v>
          </cell>
          <cell r="K1293">
            <v>0</v>
          </cell>
          <cell r="M1293">
            <v>0</v>
          </cell>
          <cell r="P1293">
            <v>548</v>
          </cell>
          <cell r="V1293" t="str">
            <v>Available</v>
          </cell>
        </row>
        <row r="1294">
          <cell r="E1294">
            <v>10030080</v>
          </cell>
          <cell r="H1294">
            <v>9.9600000000000009</v>
          </cell>
          <cell r="I1294">
            <v>398.24</v>
          </cell>
          <cell r="J1294">
            <v>0</v>
          </cell>
          <cell r="K1294">
            <v>0</v>
          </cell>
          <cell r="M1294">
            <v>0</v>
          </cell>
          <cell r="P1294">
            <v>398</v>
          </cell>
          <cell r="V1294" t="str">
            <v>Available</v>
          </cell>
        </row>
        <row r="1295">
          <cell r="E1295">
            <v>10030080</v>
          </cell>
          <cell r="H1295">
            <v>12.32</v>
          </cell>
          <cell r="I1295">
            <v>452.02</v>
          </cell>
          <cell r="J1295">
            <v>0</v>
          </cell>
          <cell r="K1295">
            <v>0</v>
          </cell>
          <cell r="M1295">
            <v>0</v>
          </cell>
          <cell r="P1295">
            <v>452</v>
          </cell>
          <cell r="V1295" t="str">
            <v>Available</v>
          </cell>
        </row>
        <row r="1296">
          <cell r="E1296">
            <v>10030080</v>
          </cell>
          <cell r="H1296">
            <v>23.14</v>
          </cell>
          <cell r="I1296">
            <v>844.16</v>
          </cell>
          <cell r="J1296">
            <v>0</v>
          </cell>
          <cell r="K1296">
            <v>0</v>
          </cell>
          <cell r="M1296">
            <v>0</v>
          </cell>
          <cell r="P1296">
            <v>844</v>
          </cell>
          <cell r="V1296" t="str">
            <v>Available</v>
          </cell>
        </row>
        <row r="1297">
          <cell r="E1297">
            <v>10030080</v>
          </cell>
          <cell r="H1297">
            <v>17.009999999999998</v>
          </cell>
          <cell r="I1297">
            <v>708.42</v>
          </cell>
          <cell r="J1297">
            <v>0</v>
          </cell>
          <cell r="K1297">
            <v>0</v>
          </cell>
          <cell r="M1297">
            <v>0</v>
          </cell>
          <cell r="P1297">
            <v>708</v>
          </cell>
          <cell r="V1297" t="str">
            <v>Available</v>
          </cell>
        </row>
        <row r="1298">
          <cell r="E1298">
            <v>10030082</v>
          </cell>
          <cell r="H1298">
            <v>310.10000000000002</v>
          </cell>
          <cell r="I1298">
            <v>12615.490000000003</v>
          </cell>
          <cell r="J1298">
            <v>0</v>
          </cell>
          <cell r="K1298">
            <v>0</v>
          </cell>
          <cell r="M1298">
            <v>0</v>
          </cell>
          <cell r="P1298">
            <v>12037</v>
          </cell>
          <cell r="V1298" t="str">
            <v>Available</v>
          </cell>
        </row>
        <row r="1299">
          <cell r="E1299">
            <v>10030082</v>
          </cell>
          <cell r="H1299">
            <v>167.69000000000003</v>
          </cell>
          <cell r="I1299">
            <v>6872.83</v>
          </cell>
          <cell r="J1299">
            <v>0</v>
          </cell>
          <cell r="K1299">
            <v>0</v>
          </cell>
          <cell r="M1299">
            <v>0</v>
          </cell>
          <cell r="P1299">
            <v>6873</v>
          </cell>
          <cell r="V1299" t="str">
            <v>Available</v>
          </cell>
        </row>
        <row r="1300">
          <cell r="E1300">
            <v>10030084</v>
          </cell>
          <cell r="H1300">
            <v>293.32</v>
          </cell>
          <cell r="I1300">
            <v>16368.630000000001</v>
          </cell>
          <cell r="J1300">
            <v>0</v>
          </cell>
          <cell r="K1300">
            <v>0</v>
          </cell>
          <cell r="M1300">
            <v>0</v>
          </cell>
          <cell r="P1300">
            <v>16369</v>
          </cell>
          <cell r="V1300" t="str">
            <v>Available</v>
          </cell>
        </row>
        <row r="1301">
          <cell r="E1301">
            <v>10030085</v>
          </cell>
          <cell r="H1301">
            <v>873.74</v>
          </cell>
          <cell r="I1301">
            <v>45696.470000000016</v>
          </cell>
          <cell r="J1301">
            <v>0</v>
          </cell>
          <cell r="K1301">
            <v>0</v>
          </cell>
          <cell r="M1301">
            <v>0</v>
          </cell>
          <cell r="P1301">
            <v>43368</v>
          </cell>
          <cell r="V1301" t="str">
            <v>Available</v>
          </cell>
        </row>
        <row r="1302">
          <cell r="E1302">
            <v>10030087</v>
          </cell>
          <cell r="H1302">
            <v>379.78</v>
          </cell>
          <cell r="I1302">
            <v>21057.299999999996</v>
          </cell>
          <cell r="J1302">
            <v>0</v>
          </cell>
          <cell r="K1302">
            <v>0</v>
          </cell>
          <cell r="M1302">
            <v>0</v>
          </cell>
          <cell r="P1302">
            <v>20452</v>
          </cell>
          <cell r="V1302" t="str">
            <v>Available</v>
          </cell>
        </row>
        <row r="1303">
          <cell r="E1303">
            <v>10030088</v>
          </cell>
          <cell r="H1303">
            <v>356.50000000000006</v>
          </cell>
          <cell r="I1303">
            <v>13057.939999999999</v>
          </cell>
          <cell r="J1303">
            <v>0</v>
          </cell>
          <cell r="K1303">
            <v>0</v>
          </cell>
          <cell r="M1303">
            <v>0</v>
          </cell>
          <cell r="P1303">
            <v>13058</v>
          </cell>
          <cell r="V1303" t="str">
            <v>Available</v>
          </cell>
        </row>
        <row r="1304">
          <cell r="E1304">
            <v>10030089</v>
          </cell>
          <cell r="H1304">
            <v>416.96999999999997</v>
          </cell>
          <cell r="I1304">
            <v>22757.100000000002</v>
          </cell>
          <cell r="J1304">
            <v>0</v>
          </cell>
          <cell r="K1304">
            <v>0</v>
          </cell>
          <cell r="M1304">
            <v>0</v>
          </cell>
          <cell r="P1304">
            <v>22757</v>
          </cell>
          <cell r="V1304" t="str">
            <v>Available</v>
          </cell>
        </row>
        <row r="1305">
          <cell r="E1305">
            <v>10030089</v>
          </cell>
          <cell r="H1305">
            <v>206.11</v>
          </cell>
          <cell r="I1305">
            <v>8688.8599999999988</v>
          </cell>
          <cell r="J1305">
            <v>0</v>
          </cell>
          <cell r="K1305">
            <v>0</v>
          </cell>
          <cell r="M1305">
            <v>0</v>
          </cell>
          <cell r="P1305">
            <v>8689</v>
          </cell>
          <cell r="V1305" t="str">
            <v>Available</v>
          </cell>
        </row>
        <row r="1306">
          <cell r="E1306">
            <v>10030090</v>
          </cell>
          <cell r="H1306">
            <v>215.4</v>
          </cell>
          <cell r="I1306">
            <v>9942.5399999999991</v>
          </cell>
          <cell r="J1306">
            <v>0</v>
          </cell>
          <cell r="K1306">
            <v>0</v>
          </cell>
          <cell r="M1306">
            <v>0</v>
          </cell>
          <cell r="P1306">
            <v>8893</v>
          </cell>
          <cell r="V1306" t="str">
            <v>Available</v>
          </cell>
        </row>
        <row r="1307">
          <cell r="E1307">
            <v>10060011</v>
          </cell>
          <cell r="H1307">
            <v>7.86</v>
          </cell>
          <cell r="I1307">
            <v>369.46</v>
          </cell>
          <cell r="J1307">
            <v>0</v>
          </cell>
          <cell r="K1307">
            <v>369.46</v>
          </cell>
          <cell r="M1307">
            <v>0</v>
          </cell>
          <cell r="P1307">
            <v>0</v>
          </cell>
          <cell r="V1307" t="str">
            <v>Not Available</v>
          </cell>
        </row>
        <row r="1308">
          <cell r="E1308">
            <v>10060011</v>
          </cell>
          <cell r="H1308">
            <v>32.409999999999997</v>
          </cell>
          <cell r="I1308">
            <v>1939.03</v>
          </cell>
          <cell r="J1308">
            <v>0</v>
          </cell>
          <cell r="K1308">
            <v>0</v>
          </cell>
          <cell r="M1308">
            <v>0</v>
          </cell>
          <cell r="P1308">
            <v>1350</v>
          </cell>
          <cell r="V1308" t="str">
            <v>Available</v>
          </cell>
        </row>
        <row r="1309">
          <cell r="E1309">
            <v>10060011</v>
          </cell>
          <cell r="H1309">
            <v>16.73</v>
          </cell>
          <cell r="I1309">
            <v>607.96</v>
          </cell>
          <cell r="J1309">
            <v>0</v>
          </cell>
          <cell r="K1309">
            <v>0</v>
          </cell>
          <cell r="M1309">
            <v>0</v>
          </cell>
          <cell r="P1309">
            <v>608</v>
          </cell>
          <cell r="V1309" t="str">
            <v>Available</v>
          </cell>
        </row>
        <row r="1310">
          <cell r="E1310">
            <v>10060011</v>
          </cell>
          <cell r="H1310">
            <v>31.130000000000003</v>
          </cell>
          <cell r="I1310">
            <v>1146.8900000000001</v>
          </cell>
          <cell r="J1310">
            <v>0</v>
          </cell>
          <cell r="K1310">
            <v>0</v>
          </cell>
          <cell r="M1310">
            <v>0</v>
          </cell>
          <cell r="P1310">
            <v>1147</v>
          </cell>
          <cell r="V1310" t="str">
            <v>Available</v>
          </cell>
        </row>
        <row r="1311">
          <cell r="E1311">
            <v>10060011</v>
          </cell>
          <cell r="H1311">
            <v>12.42</v>
          </cell>
          <cell r="I1311">
            <v>864.29</v>
          </cell>
          <cell r="J1311">
            <v>0</v>
          </cell>
          <cell r="K1311">
            <v>0</v>
          </cell>
          <cell r="M1311">
            <v>0</v>
          </cell>
          <cell r="P1311">
            <v>864</v>
          </cell>
          <cell r="V1311" t="str">
            <v>Available</v>
          </cell>
        </row>
        <row r="1312">
          <cell r="E1312">
            <v>10060011</v>
          </cell>
          <cell r="H1312">
            <v>8.66</v>
          </cell>
          <cell r="I1312">
            <v>563.87999999999988</v>
          </cell>
          <cell r="J1312">
            <v>0</v>
          </cell>
          <cell r="K1312">
            <v>0</v>
          </cell>
          <cell r="M1312">
            <v>0</v>
          </cell>
          <cell r="P1312">
            <v>564</v>
          </cell>
          <cell r="V1312" t="str">
            <v>Available</v>
          </cell>
        </row>
        <row r="1313">
          <cell r="E1313">
            <v>10060011</v>
          </cell>
          <cell r="H1313">
            <v>6.91</v>
          </cell>
          <cell r="I1313">
            <v>462.16</v>
          </cell>
          <cell r="J1313">
            <v>0</v>
          </cell>
          <cell r="K1313">
            <v>0</v>
          </cell>
          <cell r="M1313">
            <v>0</v>
          </cell>
          <cell r="P1313">
            <v>462</v>
          </cell>
          <cell r="V1313" t="str">
            <v>Available</v>
          </cell>
        </row>
        <row r="1314">
          <cell r="E1314">
            <v>10060011</v>
          </cell>
          <cell r="H1314">
            <v>23.810000000000002</v>
          </cell>
          <cell r="I1314">
            <v>1213.4799999999998</v>
          </cell>
          <cell r="J1314">
            <v>0</v>
          </cell>
          <cell r="K1314">
            <v>0</v>
          </cell>
          <cell r="M1314">
            <v>0</v>
          </cell>
          <cell r="P1314">
            <v>1213</v>
          </cell>
          <cell r="V1314" t="str">
            <v>Available</v>
          </cell>
        </row>
        <row r="1315">
          <cell r="E1315">
            <v>10060011</v>
          </cell>
          <cell r="H1315">
            <v>16.77</v>
          </cell>
          <cell r="I1315">
            <v>700.11999999999989</v>
          </cell>
          <cell r="J1315">
            <v>0</v>
          </cell>
          <cell r="K1315">
            <v>0</v>
          </cell>
          <cell r="M1315">
            <v>0</v>
          </cell>
          <cell r="P1315">
            <v>700</v>
          </cell>
          <cell r="V1315" t="str">
            <v>Available</v>
          </cell>
        </row>
        <row r="1316">
          <cell r="E1316">
            <v>10060011</v>
          </cell>
          <cell r="H1316">
            <v>5.47</v>
          </cell>
          <cell r="I1316">
            <v>348.71000000000004</v>
          </cell>
          <cell r="J1316">
            <v>0</v>
          </cell>
          <cell r="K1316">
            <v>0</v>
          </cell>
          <cell r="M1316">
            <v>0</v>
          </cell>
          <cell r="P1316">
            <v>349</v>
          </cell>
          <cell r="V1316" t="str">
            <v>Available</v>
          </cell>
        </row>
        <row r="1317">
          <cell r="E1317">
            <v>10060011</v>
          </cell>
          <cell r="H1317">
            <v>8.01</v>
          </cell>
          <cell r="I1317">
            <v>302.79000000000002</v>
          </cell>
          <cell r="J1317">
            <v>0</v>
          </cell>
          <cell r="K1317">
            <v>0</v>
          </cell>
          <cell r="M1317">
            <v>0</v>
          </cell>
          <cell r="P1317">
            <v>303</v>
          </cell>
          <cell r="V1317" t="str">
            <v>Available</v>
          </cell>
        </row>
        <row r="1318">
          <cell r="E1318">
            <v>10060011</v>
          </cell>
          <cell r="H1318">
            <v>5.65</v>
          </cell>
          <cell r="I1318">
            <v>216.51000000000002</v>
          </cell>
          <cell r="J1318">
            <v>0</v>
          </cell>
          <cell r="K1318">
            <v>0</v>
          </cell>
          <cell r="M1318">
            <v>0</v>
          </cell>
          <cell r="P1318">
            <v>217</v>
          </cell>
          <cell r="V1318" t="str">
            <v>Available</v>
          </cell>
        </row>
        <row r="1319">
          <cell r="E1319">
            <v>10060011</v>
          </cell>
          <cell r="H1319">
            <v>34.81</v>
          </cell>
          <cell r="I1319">
            <v>1349.69</v>
          </cell>
          <cell r="J1319">
            <v>0</v>
          </cell>
          <cell r="K1319">
            <v>0</v>
          </cell>
          <cell r="M1319">
            <v>0</v>
          </cell>
          <cell r="P1319">
            <v>1350</v>
          </cell>
          <cell r="V1319" t="str">
            <v>Available</v>
          </cell>
        </row>
        <row r="1320">
          <cell r="E1320">
            <v>10060011</v>
          </cell>
          <cell r="H1320">
            <v>15.030000000000003</v>
          </cell>
          <cell r="I1320">
            <v>598.44000000000005</v>
          </cell>
          <cell r="J1320">
            <v>0</v>
          </cell>
          <cell r="K1320">
            <v>0</v>
          </cell>
          <cell r="M1320">
            <v>0</v>
          </cell>
          <cell r="P1320">
            <v>598</v>
          </cell>
          <cell r="V1320" t="str">
            <v>Available</v>
          </cell>
        </row>
        <row r="1321">
          <cell r="E1321">
            <v>10060011</v>
          </cell>
          <cell r="H1321">
            <v>22.03</v>
          </cell>
          <cell r="I1321">
            <v>899.55000000000007</v>
          </cell>
          <cell r="J1321">
            <v>0</v>
          </cell>
          <cell r="K1321">
            <v>0</v>
          </cell>
          <cell r="M1321">
            <v>0</v>
          </cell>
          <cell r="P1321">
            <v>900</v>
          </cell>
          <cell r="V1321" t="str">
            <v>Available</v>
          </cell>
        </row>
        <row r="1322">
          <cell r="E1322">
            <v>10060011</v>
          </cell>
          <cell r="H1322">
            <v>8.0399999999999991</v>
          </cell>
          <cell r="I1322">
            <v>325.72000000000003</v>
          </cell>
          <cell r="J1322">
            <v>0</v>
          </cell>
          <cell r="K1322">
            <v>0</v>
          </cell>
          <cell r="M1322">
            <v>0</v>
          </cell>
          <cell r="P1322">
            <v>326</v>
          </cell>
          <cell r="V1322" t="str">
            <v>Available</v>
          </cell>
        </row>
        <row r="1323">
          <cell r="E1323">
            <v>10060011</v>
          </cell>
          <cell r="H1323">
            <v>22.919999999999998</v>
          </cell>
          <cell r="I1323">
            <v>897.07000000000016</v>
          </cell>
          <cell r="J1323">
            <v>0</v>
          </cell>
          <cell r="K1323">
            <v>0</v>
          </cell>
          <cell r="M1323">
            <v>0</v>
          </cell>
          <cell r="P1323">
            <v>897</v>
          </cell>
          <cell r="V1323" t="str">
            <v>Available</v>
          </cell>
        </row>
        <row r="1324">
          <cell r="E1324">
            <v>10060011</v>
          </cell>
          <cell r="H1324">
            <v>14.999999999999998</v>
          </cell>
          <cell r="I1324">
            <v>650.07999999999993</v>
          </cell>
          <cell r="J1324">
            <v>0</v>
          </cell>
          <cell r="K1324">
            <v>0</v>
          </cell>
          <cell r="M1324">
            <v>0</v>
          </cell>
          <cell r="P1324">
            <v>650</v>
          </cell>
          <cell r="V1324" t="str">
            <v>Available</v>
          </cell>
        </row>
        <row r="1325">
          <cell r="E1325">
            <v>10060011</v>
          </cell>
          <cell r="H1325">
            <v>14.8</v>
          </cell>
          <cell r="I1325">
            <v>626.42000000000007</v>
          </cell>
          <cell r="J1325">
            <v>0</v>
          </cell>
          <cell r="K1325">
            <v>0</v>
          </cell>
          <cell r="M1325">
            <v>0</v>
          </cell>
          <cell r="P1325">
            <v>626</v>
          </cell>
          <cell r="V1325" t="str">
            <v>Available</v>
          </cell>
        </row>
        <row r="1326">
          <cell r="E1326">
            <v>10060011</v>
          </cell>
          <cell r="H1326">
            <v>15.439999999999998</v>
          </cell>
          <cell r="I1326">
            <v>604.19000000000005</v>
          </cell>
          <cell r="J1326">
            <v>0</v>
          </cell>
          <cell r="K1326">
            <v>0</v>
          </cell>
          <cell r="M1326">
            <v>0</v>
          </cell>
          <cell r="P1326">
            <v>604</v>
          </cell>
          <cell r="V1326" t="str">
            <v>Available</v>
          </cell>
        </row>
        <row r="1327">
          <cell r="E1327">
            <v>10060011</v>
          </cell>
          <cell r="H1327">
            <v>22.14</v>
          </cell>
          <cell r="I1327">
            <v>1378.4900000000002</v>
          </cell>
          <cell r="J1327">
            <v>0</v>
          </cell>
          <cell r="K1327">
            <v>0</v>
          </cell>
          <cell r="M1327">
            <v>0</v>
          </cell>
          <cell r="P1327">
            <v>1378</v>
          </cell>
          <cell r="V1327" t="str">
            <v>Available</v>
          </cell>
        </row>
        <row r="1328">
          <cell r="E1328">
            <v>10060011</v>
          </cell>
          <cell r="H1328">
            <v>9.35</v>
          </cell>
          <cell r="I1328">
            <v>468.24000000000007</v>
          </cell>
          <cell r="J1328">
            <v>0</v>
          </cell>
          <cell r="K1328">
            <v>0</v>
          </cell>
          <cell r="M1328">
            <v>0</v>
          </cell>
          <cell r="P1328">
            <v>468</v>
          </cell>
          <cell r="V1328" t="str">
            <v>Available</v>
          </cell>
        </row>
        <row r="1329">
          <cell r="E1329">
            <v>10060022</v>
          </cell>
          <cell r="H1329">
            <v>11.200000000000001</v>
          </cell>
          <cell r="I1329">
            <v>445.00999999999993</v>
          </cell>
          <cell r="J1329">
            <v>0</v>
          </cell>
          <cell r="K1329">
            <v>445.00999999999993</v>
          </cell>
          <cell r="M1329">
            <v>0</v>
          </cell>
          <cell r="P1329">
            <v>0</v>
          </cell>
          <cell r="V1329" t="str">
            <v>Not Available</v>
          </cell>
        </row>
        <row r="1330">
          <cell r="E1330">
            <v>10060022</v>
          </cell>
          <cell r="H1330">
            <v>243.8</v>
          </cell>
          <cell r="I1330">
            <v>9665.11</v>
          </cell>
          <cell r="J1330">
            <v>0</v>
          </cell>
          <cell r="K1330">
            <v>0</v>
          </cell>
          <cell r="M1330">
            <v>0</v>
          </cell>
          <cell r="P1330">
            <v>8079</v>
          </cell>
          <cell r="V1330" t="str">
            <v>Available</v>
          </cell>
        </row>
        <row r="1331">
          <cell r="E1331">
            <v>10060022</v>
          </cell>
          <cell r="H1331">
            <v>192.4</v>
          </cell>
          <cell r="I1331">
            <v>7731.7000000000007</v>
          </cell>
          <cell r="J1331">
            <v>0</v>
          </cell>
          <cell r="K1331">
            <v>0</v>
          </cell>
          <cell r="M1331">
            <v>0</v>
          </cell>
          <cell r="P1331">
            <v>7732</v>
          </cell>
          <cell r="V1331" t="str">
            <v>Available</v>
          </cell>
        </row>
        <row r="1332">
          <cell r="E1332">
            <v>10060022</v>
          </cell>
          <cell r="H1332">
            <v>225.9</v>
          </cell>
          <cell r="I1332">
            <v>8944.83</v>
          </cell>
          <cell r="J1332">
            <v>0</v>
          </cell>
          <cell r="K1332">
            <v>0</v>
          </cell>
          <cell r="M1332">
            <v>0</v>
          </cell>
          <cell r="P1332">
            <v>8945</v>
          </cell>
          <cell r="V1332" t="str">
            <v>Available</v>
          </cell>
        </row>
        <row r="1333">
          <cell r="E1333">
            <v>10060022</v>
          </cell>
          <cell r="H1333">
            <v>27.8</v>
          </cell>
          <cell r="I1333">
            <v>1042.1599999999999</v>
          </cell>
          <cell r="J1333">
            <v>0</v>
          </cell>
          <cell r="K1333">
            <v>0</v>
          </cell>
          <cell r="M1333">
            <v>0</v>
          </cell>
          <cell r="P1333">
            <v>1042</v>
          </cell>
          <cell r="V1333" t="str">
            <v>Not Available</v>
          </cell>
        </row>
        <row r="1334">
          <cell r="E1334">
            <v>10060022</v>
          </cell>
          <cell r="H1334">
            <v>3.1</v>
          </cell>
          <cell r="I1334">
            <v>124.53</v>
          </cell>
          <cell r="J1334">
            <v>0</v>
          </cell>
          <cell r="K1334">
            <v>0</v>
          </cell>
          <cell r="M1334">
            <v>0</v>
          </cell>
          <cell r="P1334">
            <v>125</v>
          </cell>
          <cell r="V1334" t="str">
            <v>Not Available</v>
          </cell>
        </row>
        <row r="1335">
          <cell r="E1335">
            <v>10060022</v>
          </cell>
          <cell r="H1335">
            <v>8.8000000000000007</v>
          </cell>
          <cell r="I1335">
            <v>348.66</v>
          </cell>
          <cell r="J1335">
            <v>0</v>
          </cell>
          <cell r="K1335">
            <v>0</v>
          </cell>
          <cell r="M1335">
            <v>0</v>
          </cell>
          <cell r="P1335">
            <v>349</v>
          </cell>
          <cell r="V1335" t="str">
            <v>Not Available</v>
          </cell>
        </row>
        <row r="1336">
          <cell r="E1336">
            <v>10060022</v>
          </cell>
          <cell r="H1336">
            <v>5.0999999999999996</v>
          </cell>
          <cell r="I1336">
            <v>211.24</v>
          </cell>
          <cell r="J1336">
            <v>0</v>
          </cell>
          <cell r="K1336">
            <v>0</v>
          </cell>
          <cell r="M1336">
            <v>0</v>
          </cell>
          <cell r="P1336">
            <v>211</v>
          </cell>
          <cell r="V1336" t="str">
            <v>Not Available</v>
          </cell>
        </row>
        <row r="1337">
          <cell r="E1337">
            <v>10060022</v>
          </cell>
          <cell r="H1337">
            <v>10.199999999999999</v>
          </cell>
          <cell r="I1337">
            <v>433.91</v>
          </cell>
          <cell r="J1337">
            <v>0</v>
          </cell>
          <cell r="K1337">
            <v>0</v>
          </cell>
          <cell r="M1337">
            <v>0</v>
          </cell>
          <cell r="P1337">
            <v>434</v>
          </cell>
          <cell r="V1337" t="str">
            <v>Not Available</v>
          </cell>
        </row>
        <row r="1338">
          <cell r="E1338">
            <v>10060022</v>
          </cell>
          <cell r="H1338">
            <v>4</v>
          </cell>
          <cell r="I1338">
            <v>164.04</v>
          </cell>
          <cell r="J1338">
            <v>0</v>
          </cell>
          <cell r="K1338">
            <v>0</v>
          </cell>
          <cell r="M1338">
            <v>0</v>
          </cell>
          <cell r="P1338">
            <v>164</v>
          </cell>
          <cell r="V1338" t="str">
            <v>Not Available</v>
          </cell>
        </row>
        <row r="1339">
          <cell r="E1339">
            <v>10060022</v>
          </cell>
          <cell r="H1339">
            <v>9.9</v>
          </cell>
          <cell r="I1339">
            <v>394.91</v>
          </cell>
          <cell r="J1339">
            <v>0</v>
          </cell>
          <cell r="K1339">
            <v>0</v>
          </cell>
          <cell r="M1339">
            <v>0</v>
          </cell>
          <cell r="P1339">
            <v>395</v>
          </cell>
          <cell r="V1339" t="str">
            <v>Not Available</v>
          </cell>
        </row>
        <row r="1340">
          <cell r="E1340">
            <v>10060022</v>
          </cell>
          <cell r="H1340">
            <v>2.5</v>
          </cell>
          <cell r="I1340">
            <v>102.53</v>
          </cell>
          <cell r="J1340">
            <v>0</v>
          </cell>
          <cell r="K1340">
            <v>0</v>
          </cell>
          <cell r="M1340">
            <v>0</v>
          </cell>
          <cell r="P1340">
            <v>103</v>
          </cell>
          <cell r="V1340" t="str">
            <v>Not Available</v>
          </cell>
        </row>
        <row r="1341">
          <cell r="E1341">
            <v>10060022</v>
          </cell>
          <cell r="H1341">
            <v>9.9</v>
          </cell>
          <cell r="I1341">
            <v>400.46</v>
          </cell>
          <cell r="J1341">
            <v>0</v>
          </cell>
          <cell r="K1341">
            <v>0</v>
          </cell>
          <cell r="M1341">
            <v>0</v>
          </cell>
          <cell r="P1341">
            <v>400</v>
          </cell>
          <cell r="V1341" t="str">
            <v>Not Available</v>
          </cell>
        </row>
        <row r="1342">
          <cell r="E1342">
            <v>10060022</v>
          </cell>
          <cell r="H1342">
            <v>10.3</v>
          </cell>
          <cell r="I1342">
            <v>418.08</v>
          </cell>
          <cell r="J1342">
            <v>0</v>
          </cell>
          <cell r="K1342">
            <v>0</v>
          </cell>
          <cell r="M1342">
            <v>0</v>
          </cell>
          <cell r="P1342">
            <v>418</v>
          </cell>
          <cell r="V1342" t="str">
            <v>Not Available</v>
          </cell>
        </row>
        <row r="1343">
          <cell r="E1343">
            <v>10060022</v>
          </cell>
          <cell r="H1343">
            <v>10.6</v>
          </cell>
          <cell r="I1343">
            <v>411.07</v>
          </cell>
          <cell r="J1343">
            <v>0</v>
          </cell>
          <cell r="K1343">
            <v>0</v>
          </cell>
          <cell r="M1343">
            <v>0</v>
          </cell>
          <cell r="P1343">
            <v>411</v>
          </cell>
          <cell r="V1343" t="str">
            <v>Not Available</v>
          </cell>
        </row>
        <row r="1344">
          <cell r="E1344">
            <v>10060026</v>
          </cell>
          <cell r="H1344">
            <v>3.0999999999999996</v>
          </cell>
          <cell r="I1344">
            <v>131.94</v>
          </cell>
          <cell r="J1344">
            <v>0</v>
          </cell>
          <cell r="K1344">
            <v>131.94</v>
          </cell>
          <cell r="M1344">
            <v>0</v>
          </cell>
          <cell r="P1344">
            <v>0</v>
          </cell>
          <cell r="V1344" t="str">
            <v>Not Available</v>
          </cell>
        </row>
        <row r="1345">
          <cell r="E1345">
            <v>10060026</v>
          </cell>
          <cell r="H1345">
            <v>118.05</v>
          </cell>
          <cell r="I1345">
            <v>4980.49</v>
          </cell>
          <cell r="J1345">
            <v>0</v>
          </cell>
          <cell r="K1345">
            <v>0</v>
          </cell>
          <cell r="M1345">
            <v>0</v>
          </cell>
          <cell r="P1345">
            <v>4980</v>
          </cell>
          <cell r="V1345" t="str">
            <v>Available</v>
          </cell>
        </row>
        <row r="1346">
          <cell r="E1346">
            <v>10060026</v>
          </cell>
          <cell r="H1346">
            <v>124.30000000000001</v>
          </cell>
          <cell r="I1346">
            <v>7208.11</v>
          </cell>
          <cell r="J1346">
            <v>0</v>
          </cell>
          <cell r="K1346">
            <v>0</v>
          </cell>
          <cell r="M1346">
            <v>0</v>
          </cell>
          <cell r="P1346">
            <v>7208</v>
          </cell>
          <cell r="V1346" t="str">
            <v>Available</v>
          </cell>
        </row>
        <row r="1347">
          <cell r="E1347">
            <v>10060026</v>
          </cell>
          <cell r="H1347">
            <v>110.4</v>
          </cell>
          <cell r="I1347">
            <v>5274.0300000000007</v>
          </cell>
          <cell r="J1347">
            <v>0</v>
          </cell>
          <cell r="K1347">
            <v>0</v>
          </cell>
          <cell r="M1347">
            <v>0</v>
          </cell>
          <cell r="P1347">
            <v>5274</v>
          </cell>
          <cell r="V1347" t="str">
            <v>Available</v>
          </cell>
        </row>
        <row r="1348">
          <cell r="E1348">
            <v>10060026</v>
          </cell>
          <cell r="H1348">
            <v>139</v>
          </cell>
          <cell r="I1348">
            <v>9578.32</v>
          </cell>
          <cell r="J1348">
            <v>0</v>
          </cell>
          <cell r="K1348">
            <v>0</v>
          </cell>
          <cell r="M1348">
            <v>0</v>
          </cell>
          <cell r="P1348">
            <v>9578</v>
          </cell>
          <cell r="V1348" t="str">
            <v>Available</v>
          </cell>
        </row>
        <row r="1349">
          <cell r="E1349">
            <v>10060026</v>
          </cell>
          <cell r="H1349">
            <v>15.149999999999999</v>
          </cell>
          <cell r="I1349">
            <v>622.03</v>
          </cell>
          <cell r="J1349">
            <v>0</v>
          </cell>
          <cell r="K1349">
            <v>0</v>
          </cell>
          <cell r="M1349">
            <v>0</v>
          </cell>
          <cell r="P1349">
            <v>622</v>
          </cell>
          <cell r="V1349" t="str">
            <v>Not Available</v>
          </cell>
        </row>
        <row r="1350">
          <cell r="E1350">
            <v>10060026</v>
          </cell>
          <cell r="H1350">
            <v>24.950000000000003</v>
          </cell>
          <cell r="I1350">
            <v>1274.8499999999999</v>
          </cell>
          <cell r="J1350">
            <v>0</v>
          </cell>
          <cell r="K1350">
            <v>0</v>
          </cell>
          <cell r="M1350">
            <v>0</v>
          </cell>
          <cell r="P1350">
            <v>1275</v>
          </cell>
          <cell r="V1350" t="str">
            <v>Not Available</v>
          </cell>
        </row>
        <row r="1351">
          <cell r="E1351">
            <v>10060026</v>
          </cell>
          <cell r="H1351">
            <v>4.8</v>
          </cell>
          <cell r="I1351">
            <v>227.52</v>
          </cell>
          <cell r="J1351">
            <v>0</v>
          </cell>
          <cell r="K1351">
            <v>0</v>
          </cell>
          <cell r="M1351">
            <v>0</v>
          </cell>
          <cell r="P1351">
            <v>228</v>
          </cell>
          <cell r="V1351" t="str">
            <v>Not Available</v>
          </cell>
        </row>
        <row r="1352">
          <cell r="E1352">
            <v>10060026</v>
          </cell>
          <cell r="H1352">
            <v>1.1000000000000001</v>
          </cell>
          <cell r="I1352">
            <v>47.55</v>
          </cell>
          <cell r="J1352">
            <v>0</v>
          </cell>
          <cell r="K1352">
            <v>0</v>
          </cell>
          <cell r="M1352">
            <v>0</v>
          </cell>
          <cell r="P1352">
            <v>48</v>
          </cell>
          <cell r="V1352" t="str">
            <v>Not Available</v>
          </cell>
        </row>
        <row r="1353">
          <cell r="E1353">
            <v>10060026</v>
          </cell>
          <cell r="H1353">
            <v>15.5</v>
          </cell>
          <cell r="I1353">
            <v>635.88</v>
          </cell>
          <cell r="J1353">
            <v>0</v>
          </cell>
          <cell r="K1353">
            <v>0</v>
          </cell>
          <cell r="M1353">
            <v>0</v>
          </cell>
          <cell r="P1353">
            <v>636</v>
          </cell>
          <cell r="V1353" t="str">
            <v>Not Available</v>
          </cell>
        </row>
        <row r="1354">
          <cell r="E1354">
            <v>10060026</v>
          </cell>
          <cell r="H1354">
            <v>8.4499999999999993</v>
          </cell>
          <cell r="I1354">
            <v>359.69</v>
          </cell>
          <cell r="J1354">
            <v>0</v>
          </cell>
          <cell r="K1354">
            <v>0</v>
          </cell>
          <cell r="M1354">
            <v>0</v>
          </cell>
          <cell r="P1354">
            <v>360</v>
          </cell>
          <cell r="V1354" t="str">
            <v>Not Available</v>
          </cell>
        </row>
        <row r="1355">
          <cell r="E1355">
            <v>10060026</v>
          </cell>
          <cell r="H1355">
            <v>22.75</v>
          </cell>
          <cell r="I1355">
            <v>1031.25</v>
          </cell>
          <cell r="J1355">
            <v>0</v>
          </cell>
          <cell r="K1355">
            <v>0</v>
          </cell>
          <cell r="M1355">
            <v>0</v>
          </cell>
          <cell r="P1355">
            <v>1031</v>
          </cell>
          <cell r="V1355" t="str">
            <v>Not Available</v>
          </cell>
        </row>
        <row r="1356">
          <cell r="E1356">
            <v>10060027</v>
          </cell>
          <cell r="H1356">
            <v>10.24</v>
          </cell>
          <cell r="I1356">
            <v>451.53000000000009</v>
          </cell>
          <cell r="J1356">
            <v>0</v>
          </cell>
          <cell r="K1356">
            <v>451.53000000000009</v>
          </cell>
          <cell r="M1356">
            <v>0</v>
          </cell>
          <cell r="P1356">
            <v>0</v>
          </cell>
          <cell r="V1356" t="str">
            <v>Not Available</v>
          </cell>
        </row>
        <row r="1357">
          <cell r="E1357">
            <v>10060027</v>
          </cell>
          <cell r="H1357">
            <v>94.92</v>
          </cell>
          <cell r="I1357">
            <v>3831.36</v>
          </cell>
          <cell r="J1357">
            <v>0</v>
          </cell>
          <cell r="K1357">
            <v>0</v>
          </cell>
          <cell r="M1357">
            <v>0</v>
          </cell>
          <cell r="P1357">
            <v>271</v>
          </cell>
          <cell r="V1357" t="str">
            <v>Available</v>
          </cell>
        </row>
        <row r="1358">
          <cell r="E1358">
            <v>10060027</v>
          </cell>
          <cell r="H1358">
            <v>14.5</v>
          </cell>
          <cell r="I1358">
            <v>707.5</v>
          </cell>
          <cell r="J1358">
            <v>0</v>
          </cell>
          <cell r="K1358">
            <v>0</v>
          </cell>
          <cell r="M1358">
            <v>0</v>
          </cell>
          <cell r="P1358">
            <v>708</v>
          </cell>
          <cell r="V1358" t="str">
            <v>Available</v>
          </cell>
        </row>
        <row r="1359">
          <cell r="E1359">
            <v>10060027</v>
          </cell>
          <cell r="H1359">
            <v>5.16</v>
          </cell>
          <cell r="I1359">
            <v>212.35999999999999</v>
          </cell>
          <cell r="J1359">
            <v>0</v>
          </cell>
          <cell r="K1359">
            <v>0</v>
          </cell>
          <cell r="M1359">
            <v>212</v>
          </cell>
          <cell r="P1359">
            <v>0</v>
          </cell>
          <cell r="V1359" t="str">
            <v>Available</v>
          </cell>
        </row>
        <row r="1360">
          <cell r="E1360">
            <v>10060027</v>
          </cell>
          <cell r="H1360">
            <v>1.04</v>
          </cell>
          <cell r="I1360">
            <v>45.4</v>
          </cell>
          <cell r="J1360">
            <v>0</v>
          </cell>
          <cell r="K1360">
            <v>0</v>
          </cell>
          <cell r="M1360">
            <v>0</v>
          </cell>
          <cell r="P1360">
            <v>45</v>
          </cell>
          <cell r="V1360" t="str">
            <v>Available</v>
          </cell>
        </row>
        <row r="1361">
          <cell r="E1361">
            <v>10060027</v>
          </cell>
          <cell r="H1361">
            <v>41.46</v>
          </cell>
          <cell r="I1361">
            <v>1688.1799999999998</v>
          </cell>
          <cell r="J1361">
            <v>0</v>
          </cell>
          <cell r="K1361">
            <v>0</v>
          </cell>
          <cell r="M1361">
            <v>0</v>
          </cell>
          <cell r="P1361">
            <v>1688</v>
          </cell>
          <cell r="V1361" t="str">
            <v>Available</v>
          </cell>
        </row>
        <row r="1362">
          <cell r="E1362">
            <v>10060027</v>
          </cell>
          <cell r="H1362">
            <v>23.72</v>
          </cell>
          <cell r="I1362">
            <v>872.5</v>
          </cell>
          <cell r="J1362">
            <v>0</v>
          </cell>
          <cell r="K1362">
            <v>0</v>
          </cell>
          <cell r="M1362">
            <v>0</v>
          </cell>
          <cell r="P1362">
            <v>873</v>
          </cell>
          <cell r="V1362" t="str">
            <v>Available</v>
          </cell>
        </row>
        <row r="1363">
          <cell r="E1363">
            <v>10060027</v>
          </cell>
          <cell r="H1363">
            <v>18.86</v>
          </cell>
          <cell r="I1363">
            <v>833.87999999999988</v>
          </cell>
          <cell r="J1363">
            <v>0</v>
          </cell>
          <cell r="K1363">
            <v>0</v>
          </cell>
          <cell r="M1363">
            <v>0</v>
          </cell>
          <cell r="P1363">
            <v>834</v>
          </cell>
          <cell r="V1363" t="str">
            <v>Available</v>
          </cell>
        </row>
        <row r="1364">
          <cell r="E1364">
            <v>10060027</v>
          </cell>
          <cell r="H1364">
            <v>22.16</v>
          </cell>
          <cell r="I1364">
            <v>799.42000000000007</v>
          </cell>
          <cell r="J1364">
            <v>0</v>
          </cell>
          <cell r="K1364">
            <v>0</v>
          </cell>
          <cell r="M1364">
            <v>0</v>
          </cell>
          <cell r="P1364">
            <v>799</v>
          </cell>
          <cell r="V1364" t="str">
            <v>Available</v>
          </cell>
        </row>
        <row r="1365">
          <cell r="E1365">
            <v>10060027</v>
          </cell>
          <cell r="H1365">
            <v>6.9399999999999995</v>
          </cell>
          <cell r="I1365">
            <v>293.47000000000003</v>
          </cell>
          <cell r="J1365">
            <v>0</v>
          </cell>
          <cell r="K1365">
            <v>0</v>
          </cell>
          <cell r="M1365">
            <v>0</v>
          </cell>
          <cell r="P1365">
            <v>293</v>
          </cell>
          <cell r="V1365" t="str">
            <v>Available</v>
          </cell>
        </row>
        <row r="1366">
          <cell r="E1366">
            <v>10060027</v>
          </cell>
          <cell r="H1366">
            <v>11.66</v>
          </cell>
          <cell r="I1366">
            <v>462.19000000000005</v>
          </cell>
          <cell r="J1366">
            <v>0</v>
          </cell>
          <cell r="K1366">
            <v>0</v>
          </cell>
          <cell r="M1366">
            <v>0</v>
          </cell>
          <cell r="P1366">
            <v>462</v>
          </cell>
          <cell r="V1366" t="str">
            <v>Available</v>
          </cell>
        </row>
        <row r="1367">
          <cell r="E1367">
            <v>10060027</v>
          </cell>
          <cell r="H1367">
            <v>16.84</v>
          </cell>
          <cell r="I1367">
            <v>851.7700000000001</v>
          </cell>
          <cell r="J1367">
            <v>0</v>
          </cell>
          <cell r="K1367">
            <v>0</v>
          </cell>
          <cell r="M1367">
            <v>0</v>
          </cell>
          <cell r="P1367">
            <v>852</v>
          </cell>
          <cell r="V1367" t="str">
            <v>Available</v>
          </cell>
        </row>
        <row r="1368">
          <cell r="E1368">
            <v>10060027</v>
          </cell>
          <cell r="H1368">
            <v>4.84</v>
          </cell>
          <cell r="I1368">
            <v>208.24</v>
          </cell>
          <cell r="J1368">
            <v>0</v>
          </cell>
          <cell r="K1368">
            <v>0</v>
          </cell>
          <cell r="M1368">
            <v>0</v>
          </cell>
          <cell r="P1368">
            <v>208</v>
          </cell>
          <cell r="V1368" t="str">
            <v>Available</v>
          </cell>
        </row>
        <row r="1369">
          <cell r="E1369">
            <v>10060027</v>
          </cell>
          <cell r="H1369">
            <v>15.500000000000002</v>
          </cell>
          <cell r="I1369">
            <v>643.04999999999995</v>
          </cell>
          <cell r="J1369">
            <v>0</v>
          </cell>
          <cell r="K1369">
            <v>0</v>
          </cell>
          <cell r="M1369">
            <v>0</v>
          </cell>
          <cell r="P1369">
            <v>643</v>
          </cell>
          <cell r="V1369" t="str">
            <v>Available</v>
          </cell>
        </row>
        <row r="1370">
          <cell r="E1370">
            <v>10060027</v>
          </cell>
          <cell r="H1370">
            <v>1.82</v>
          </cell>
          <cell r="I1370">
            <v>70.58</v>
          </cell>
          <cell r="J1370">
            <v>0</v>
          </cell>
          <cell r="K1370">
            <v>0</v>
          </cell>
          <cell r="M1370">
            <v>0</v>
          </cell>
          <cell r="P1370">
            <v>71</v>
          </cell>
          <cell r="V1370" t="str">
            <v>Available</v>
          </cell>
        </row>
        <row r="1371">
          <cell r="E1371">
            <v>10060027</v>
          </cell>
          <cell r="H1371">
            <v>4.04</v>
          </cell>
          <cell r="I1371">
            <v>182.25</v>
          </cell>
          <cell r="J1371">
            <v>0</v>
          </cell>
          <cell r="K1371">
            <v>0</v>
          </cell>
          <cell r="M1371">
            <v>0</v>
          </cell>
          <cell r="P1371">
            <v>182</v>
          </cell>
          <cell r="V1371" t="str">
            <v>Available</v>
          </cell>
        </row>
        <row r="1372">
          <cell r="E1372">
            <v>10060027</v>
          </cell>
          <cell r="H1372">
            <v>12.46</v>
          </cell>
          <cell r="I1372">
            <v>920.03</v>
          </cell>
          <cell r="J1372">
            <v>0</v>
          </cell>
          <cell r="K1372">
            <v>0</v>
          </cell>
          <cell r="M1372">
            <v>0</v>
          </cell>
          <cell r="P1372">
            <v>920</v>
          </cell>
          <cell r="V1372" t="str">
            <v>Available</v>
          </cell>
        </row>
        <row r="1373">
          <cell r="E1373">
            <v>10060027</v>
          </cell>
          <cell r="H1373">
            <v>35</v>
          </cell>
          <cell r="I1373">
            <v>1414.96</v>
          </cell>
          <cell r="J1373">
            <v>0</v>
          </cell>
          <cell r="K1373">
            <v>0</v>
          </cell>
          <cell r="M1373">
            <v>0</v>
          </cell>
          <cell r="P1373">
            <v>1415</v>
          </cell>
          <cell r="V1373" t="str">
            <v>Available</v>
          </cell>
        </row>
        <row r="1374">
          <cell r="E1374">
            <v>10060027</v>
          </cell>
          <cell r="H1374">
            <v>21.64</v>
          </cell>
          <cell r="I1374">
            <v>947.24</v>
          </cell>
          <cell r="J1374">
            <v>0</v>
          </cell>
          <cell r="K1374">
            <v>0</v>
          </cell>
          <cell r="M1374">
            <v>0</v>
          </cell>
          <cell r="P1374">
            <v>947</v>
          </cell>
          <cell r="V1374" t="str">
            <v>Available</v>
          </cell>
        </row>
        <row r="1375">
          <cell r="E1375">
            <v>10060027</v>
          </cell>
          <cell r="H1375">
            <v>4.04</v>
          </cell>
          <cell r="I1375">
            <v>174.64999999999998</v>
          </cell>
          <cell r="J1375">
            <v>0</v>
          </cell>
          <cell r="K1375">
            <v>0</v>
          </cell>
          <cell r="M1375">
            <v>0</v>
          </cell>
          <cell r="P1375">
            <v>175</v>
          </cell>
          <cell r="V1375" t="str">
            <v>Available</v>
          </cell>
        </row>
        <row r="1376">
          <cell r="E1376">
            <v>10060027</v>
          </cell>
          <cell r="H1376">
            <v>23.84</v>
          </cell>
          <cell r="I1376">
            <v>951.91</v>
          </cell>
          <cell r="J1376">
            <v>0</v>
          </cell>
          <cell r="K1376">
            <v>0</v>
          </cell>
          <cell r="M1376">
            <v>360</v>
          </cell>
          <cell r="P1376">
            <v>592</v>
          </cell>
          <cell r="V1376" t="str">
            <v>Available</v>
          </cell>
        </row>
        <row r="1377">
          <cell r="E1377">
            <v>10060027</v>
          </cell>
          <cell r="H1377">
            <v>11.36</v>
          </cell>
          <cell r="I1377">
            <v>441.21000000000004</v>
          </cell>
          <cell r="J1377">
            <v>0</v>
          </cell>
          <cell r="K1377">
            <v>0</v>
          </cell>
          <cell r="M1377">
            <v>0</v>
          </cell>
          <cell r="P1377">
            <v>441</v>
          </cell>
          <cell r="V1377" t="str">
            <v>Available</v>
          </cell>
        </row>
        <row r="1378">
          <cell r="E1378">
            <v>10060027</v>
          </cell>
          <cell r="H1378">
            <v>25.539999999999996</v>
          </cell>
          <cell r="I1378">
            <v>1527.7099999999998</v>
          </cell>
          <cell r="J1378">
            <v>0</v>
          </cell>
          <cell r="K1378">
            <v>0</v>
          </cell>
          <cell r="M1378">
            <v>0</v>
          </cell>
          <cell r="P1378">
            <v>1528</v>
          </cell>
          <cell r="V1378" t="str">
            <v>Available</v>
          </cell>
        </row>
        <row r="1379">
          <cell r="E1379">
            <v>10060027</v>
          </cell>
          <cell r="H1379">
            <v>5.44</v>
          </cell>
          <cell r="I1379">
            <v>330.64</v>
          </cell>
          <cell r="J1379">
            <v>0</v>
          </cell>
          <cell r="K1379">
            <v>0</v>
          </cell>
          <cell r="M1379">
            <v>0</v>
          </cell>
          <cell r="P1379">
            <v>331</v>
          </cell>
          <cell r="V1379" t="str">
            <v>Available</v>
          </cell>
        </row>
        <row r="1380">
          <cell r="E1380">
            <v>10060027</v>
          </cell>
          <cell r="H1380">
            <v>2.8200000000000003</v>
          </cell>
          <cell r="I1380">
            <v>107.75999999999999</v>
          </cell>
          <cell r="J1380">
            <v>0</v>
          </cell>
          <cell r="K1380">
            <v>0</v>
          </cell>
          <cell r="M1380">
            <v>0</v>
          </cell>
          <cell r="P1380">
            <v>108</v>
          </cell>
          <cell r="V1380" t="str">
            <v>Available</v>
          </cell>
        </row>
        <row r="1381">
          <cell r="E1381">
            <v>10060027</v>
          </cell>
          <cell r="H1381">
            <v>34.32</v>
          </cell>
          <cell r="I1381">
            <v>1420.94</v>
          </cell>
          <cell r="J1381">
            <v>0</v>
          </cell>
          <cell r="K1381">
            <v>0</v>
          </cell>
          <cell r="M1381">
            <v>0</v>
          </cell>
          <cell r="P1381">
            <v>1421</v>
          </cell>
          <cell r="V1381" t="str">
            <v>Available</v>
          </cell>
        </row>
        <row r="1382">
          <cell r="E1382">
            <v>10060027</v>
          </cell>
          <cell r="H1382">
            <v>15.86</v>
          </cell>
          <cell r="I1382">
            <v>796.25</v>
          </cell>
          <cell r="J1382">
            <v>0</v>
          </cell>
          <cell r="K1382">
            <v>0</v>
          </cell>
          <cell r="M1382">
            <v>0</v>
          </cell>
          <cell r="P1382">
            <v>796</v>
          </cell>
          <cell r="V1382" t="str">
            <v>Available</v>
          </cell>
        </row>
        <row r="1383">
          <cell r="E1383">
            <v>10060027</v>
          </cell>
          <cell r="H1383">
            <v>22.96</v>
          </cell>
          <cell r="I1383">
            <v>1169.77</v>
          </cell>
          <cell r="J1383">
            <v>0</v>
          </cell>
          <cell r="K1383">
            <v>0</v>
          </cell>
          <cell r="M1383">
            <v>0</v>
          </cell>
          <cell r="P1383">
            <v>1170</v>
          </cell>
          <cell r="V1383" t="str">
            <v>Available</v>
          </cell>
        </row>
        <row r="1384">
          <cell r="E1384">
            <v>10060027</v>
          </cell>
          <cell r="H1384">
            <v>3.0999999999999996</v>
          </cell>
          <cell r="I1384">
            <v>133.87</v>
          </cell>
          <cell r="J1384">
            <v>0</v>
          </cell>
          <cell r="K1384">
            <v>0</v>
          </cell>
          <cell r="M1384">
            <v>0</v>
          </cell>
          <cell r="P1384">
            <v>134</v>
          </cell>
          <cell r="V1384" t="str">
            <v>Available</v>
          </cell>
        </row>
        <row r="1385">
          <cell r="E1385">
            <v>10060027</v>
          </cell>
          <cell r="H1385">
            <v>8.4</v>
          </cell>
          <cell r="I1385">
            <v>309.69</v>
          </cell>
          <cell r="J1385">
            <v>0</v>
          </cell>
          <cell r="K1385">
            <v>0</v>
          </cell>
          <cell r="M1385">
            <v>0</v>
          </cell>
          <cell r="P1385">
            <v>310</v>
          </cell>
          <cell r="V1385" t="str">
            <v>Available</v>
          </cell>
        </row>
        <row r="1386">
          <cell r="E1386">
            <v>10060027</v>
          </cell>
          <cell r="H1386">
            <v>11.68</v>
          </cell>
          <cell r="I1386">
            <v>713.7399999999999</v>
          </cell>
          <cell r="J1386">
            <v>0</v>
          </cell>
          <cell r="K1386">
            <v>0</v>
          </cell>
          <cell r="M1386">
            <v>0</v>
          </cell>
          <cell r="P1386">
            <v>714</v>
          </cell>
          <cell r="V1386" t="str">
            <v>Available</v>
          </cell>
        </row>
        <row r="1387">
          <cell r="E1387">
            <v>10060027</v>
          </cell>
          <cell r="H1387">
            <v>9.4599999999999991</v>
          </cell>
          <cell r="I1387">
            <v>471.35999999999996</v>
          </cell>
          <cell r="J1387">
            <v>0</v>
          </cell>
          <cell r="K1387">
            <v>0</v>
          </cell>
          <cell r="M1387">
            <v>0</v>
          </cell>
          <cell r="P1387">
            <v>471</v>
          </cell>
          <cell r="V1387" t="str">
            <v>Available</v>
          </cell>
        </row>
        <row r="1388">
          <cell r="E1388">
            <v>10060027</v>
          </cell>
          <cell r="H1388">
            <v>37.26</v>
          </cell>
          <cell r="I1388">
            <v>1670.3999999999999</v>
          </cell>
          <cell r="J1388">
            <v>0</v>
          </cell>
          <cell r="K1388">
            <v>0</v>
          </cell>
          <cell r="M1388">
            <v>500.25</v>
          </cell>
          <cell r="P1388">
            <v>1170</v>
          </cell>
          <cell r="V1388" t="str">
            <v>Available</v>
          </cell>
        </row>
        <row r="1389">
          <cell r="E1389">
            <v>10060027</v>
          </cell>
          <cell r="H1389">
            <v>3.66</v>
          </cell>
          <cell r="I1389">
            <v>147.61000000000001</v>
          </cell>
          <cell r="J1389">
            <v>0</v>
          </cell>
          <cell r="K1389">
            <v>0</v>
          </cell>
          <cell r="M1389">
            <v>0</v>
          </cell>
          <cell r="P1389">
            <v>148</v>
          </cell>
          <cell r="V1389" t="str">
            <v>Available</v>
          </cell>
        </row>
        <row r="1390">
          <cell r="E1390">
            <v>10060027</v>
          </cell>
          <cell r="H1390">
            <v>7.8999999999999995</v>
          </cell>
          <cell r="I1390">
            <v>271.38</v>
          </cell>
          <cell r="J1390">
            <v>0</v>
          </cell>
          <cell r="K1390">
            <v>0</v>
          </cell>
          <cell r="M1390">
            <v>0</v>
          </cell>
          <cell r="P1390">
            <v>271</v>
          </cell>
          <cell r="V1390" t="str">
            <v>Available</v>
          </cell>
        </row>
        <row r="1391">
          <cell r="E1391">
            <v>10060027</v>
          </cell>
          <cell r="H1391">
            <v>9.4199999999999982</v>
          </cell>
          <cell r="I1391">
            <v>442.02</v>
          </cell>
          <cell r="J1391">
            <v>0</v>
          </cell>
          <cell r="K1391">
            <v>0</v>
          </cell>
          <cell r="M1391">
            <v>0</v>
          </cell>
          <cell r="P1391">
            <v>442</v>
          </cell>
          <cell r="V1391" t="str">
            <v>Available</v>
          </cell>
        </row>
        <row r="1392">
          <cell r="E1392">
            <v>10060027</v>
          </cell>
          <cell r="H1392">
            <v>8.5</v>
          </cell>
          <cell r="I1392">
            <v>351.62</v>
          </cell>
          <cell r="J1392">
            <v>0</v>
          </cell>
          <cell r="K1392">
            <v>0</v>
          </cell>
          <cell r="M1392">
            <v>0</v>
          </cell>
          <cell r="P1392">
            <v>352</v>
          </cell>
          <cell r="V1392" t="str">
            <v>Available</v>
          </cell>
        </row>
        <row r="1393">
          <cell r="E1393">
            <v>10060027</v>
          </cell>
          <cell r="H1393">
            <v>24.699999999999996</v>
          </cell>
          <cell r="I1393">
            <v>1184.2099999999998</v>
          </cell>
          <cell r="J1393">
            <v>0</v>
          </cell>
          <cell r="K1393">
            <v>0</v>
          </cell>
          <cell r="M1393">
            <v>0</v>
          </cell>
          <cell r="P1393">
            <v>1184</v>
          </cell>
          <cell r="V1393" t="str">
            <v>Available</v>
          </cell>
        </row>
        <row r="1394">
          <cell r="E1394">
            <v>10060027</v>
          </cell>
          <cell r="H1394">
            <v>18.86</v>
          </cell>
          <cell r="I1394">
            <v>924.35</v>
          </cell>
          <cell r="J1394">
            <v>0</v>
          </cell>
          <cell r="K1394">
            <v>0</v>
          </cell>
          <cell r="M1394">
            <v>0</v>
          </cell>
          <cell r="P1394">
            <v>924</v>
          </cell>
          <cell r="V1394" t="str">
            <v>Available</v>
          </cell>
        </row>
        <row r="1395">
          <cell r="E1395">
            <v>10060027</v>
          </cell>
          <cell r="H1395">
            <v>18.599999999999998</v>
          </cell>
          <cell r="I1395">
            <v>796.88999999999987</v>
          </cell>
          <cell r="J1395">
            <v>0</v>
          </cell>
          <cell r="K1395">
            <v>0</v>
          </cell>
          <cell r="M1395">
            <v>0</v>
          </cell>
          <cell r="P1395">
            <v>797</v>
          </cell>
          <cell r="V1395" t="str">
            <v>Available</v>
          </cell>
        </row>
        <row r="1396">
          <cell r="E1396">
            <v>10060027</v>
          </cell>
          <cell r="H1396">
            <v>5.24</v>
          </cell>
          <cell r="I1396">
            <v>193.04</v>
          </cell>
          <cell r="J1396">
            <v>0</v>
          </cell>
          <cell r="K1396">
            <v>0</v>
          </cell>
          <cell r="M1396">
            <v>0</v>
          </cell>
          <cell r="P1396">
            <v>193</v>
          </cell>
          <cell r="V1396" t="str">
            <v>Available</v>
          </cell>
        </row>
        <row r="1397">
          <cell r="E1397">
            <v>10060027</v>
          </cell>
          <cell r="H1397">
            <v>14.280000000000001</v>
          </cell>
          <cell r="I1397">
            <v>498.2</v>
          </cell>
          <cell r="J1397">
            <v>0</v>
          </cell>
          <cell r="K1397">
            <v>0</v>
          </cell>
          <cell r="M1397">
            <v>0</v>
          </cell>
          <cell r="P1397">
            <v>498</v>
          </cell>
          <cell r="V1397" t="str">
            <v>Available</v>
          </cell>
        </row>
        <row r="1398">
          <cell r="E1398">
            <v>10060027</v>
          </cell>
          <cell r="H1398">
            <v>5.6400000000000006</v>
          </cell>
          <cell r="I1398">
            <v>221.08999999999997</v>
          </cell>
          <cell r="J1398">
            <v>0</v>
          </cell>
          <cell r="K1398">
            <v>0</v>
          </cell>
          <cell r="M1398">
            <v>0</v>
          </cell>
          <cell r="P1398">
            <v>221</v>
          </cell>
          <cell r="V1398" t="str">
            <v>Available</v>
          </cell>
        </row>
        <row r="1399">
          <cell r="E1399">
            <v>10060027</v>
          </cell>
          <cell r="H1399">
            <v>14.379999999999999</v>
          </cell>
          <cell r="I1399">
            <v>562.01</v>
          </cell>
          <cell r="J1399">
            <v>0</v>
          </cell>
          <cell r="K1399">
            <v>0</v>
          </cell>
          <cell r="M1399">
            <v>0</v>
          </cell>
          <cell r="P1399">
            <v>562</v>
          </cell>
          <cell r="V1399" t="str">
            <v>Available</v>
          </cell>
        </row>
        <row r="1400">
          <cell r="E1400">
            <v>10060027</v>
          </cell>
          <cell r="H1400">
            <v>7.16</v>
          </cell>
          <cell r="I1400">
            <v>341.42</v>
          </cell>
          <cell r="J1400">
            <v>0</v>
          </cell>
          <cell r="K1400">
            <v>0</v>
          </cell>
          <cell r="M1400">
            <v>0</v>
          </cell>
          <cell r="P1400">
            <v>341</v>
          </cell>
          <cell r="V1400" t="str">
            <v>Available</v>
          </cell>
        </row>
        <row r="1401">
          <cell r="E1401">
            <v>10060027</v>
          </cell>
          <cell r="H1401">
            <v>10.88</v>
          </cell>
          <cell r="I1401">
            <v>412.54999999999995</v>
          </cell>
          <cell r="J1401">
            <v>0</v>
          </cell>
          <cell r="K1401">
            <v>0</v>
          </cell>
          <cell r="M1401">
            <v>0</v>
          </cell>
          <cell r="P1401">
            <v>413</v>
          </cell>
          <cell r="V1401" t="str">
            <v>Available</v>
          </cell>
        </row>
        <row r="1402">
          <cell r="E1402">
            <v>10060027</v>
          </cell>
          <cell r="H1402">
            <v>25.92</v>
          </cell>
          <cell r="I1402">
            <v>894.34000000000015</v>
          </cell>
          <cell r="J1402">
            <v>0</v>
          </cell>
          <cell r="K1402">
            <v>0</v>
          </cell>
          <cell r="M1402">
            <v>0</v>
          </cell>
          <cell r="P1402">
            <v>894</v>
          </cell>
          <cell r="V1402" t="str">
            <v>Available</v>
          </cell>
        </row>
        <row r="1403">
          <cell r="E1403">
            <v>10060027</v>
          </cell>
          <cell r="H1403">
            <v>12.86</v>
          </cell>
          <cell r="I1403">
            <v>470.51</v>
          </cell>
          <cell r="J1403">
            <v>0</v>
          </cell>
          <cell r="K1403">
            <v>0</v>
          </cell>
          <cell r="M1403">
            <v>0</v>
          </cell>
          <cell r="P1403">
            <v>471</v>
          </cell>
          <cell r="V1403" t="str">
            <v>Available</v>
          </cell>
        </row>
        <row r="1404">
          <cell r="E1404">
            <v>10060027</v>
          </cell>
          <cell r="H1404">
            <v>9.5</v>
          </cell>
          <cell r="I1404">
            <v>528.03</v>
          </cell>
          <cell r="J1404">
            <v>0</v>
          </cell>
          <cell r="K1404">
            <v>0</v>
          </cell>
          <cell r="M1404">
            <v>0</v>
          </cell>
          <cell r="P1404">
            <v>528</v>
          </cell>
          <cell r="V1404" t="str">
            <v>Available</v>
          </cell>
        </row>
        <row r="1405">
          <cell r="E1405">
            <v>10060027</v>
          </cell>
          <cell r="H1405">
            <v>1.68</v>
          </cell>
          <cell r="I1405">
            <v>77.53</v>
          </cell>
          <cell r="J1405">
            <v>0</v>
          </cell>
          <cell r="K1405">
            <v>0</v>
          </cell>
          <cell r="M1405">
            <v>0</v>
          </cell>
          <cell r="P1405">
            <v>78</v>
          </cell>
          <cell r="V1405" t="str">
            <v>Available</v>
          </cell>
        </row>
        <row r="1406">
          <cell r="E1406">
            <v>10060027</v>
          </cell>
          <cell r="H1406">
            <v>23.34</v>
          </cell>
          <cell r="I1406">
            <v>882.95</v>
          </cell>
          <cell r="J1406">
            <v>0</v>
          </cell>
          <cell r="K1406">
            <v>0</v>
          </cell>
          <cell r="M1406">
            <v>0</v>
          </cell>
          <cell r="P1406">
            <v>883</v>
          </cell>
          <cell r="V1406" t="str">
            <v>Available</v>
          </cell>
        </row>
        <row r="1407">
          <cell r="E1407">
            <v>10060027</v>
          </cell>
          <cell r="H1407">
            <v>16.32</v>
          </cell>
          <cell r="I1407">
            <v>768.06</v>
          </cell>
          <cell r="J1407">
            <v>0</v>
          </cell>
          <cell r="K1407">
            <v>0</v>
          </cell>
          <cell r="M1407">
            <v>0</v>
          </cell>
          <cell r="P1407">
            <v>768</v>
          </cell>
          <cell r="V1407" t="str">
            <v>Available</v>
          </cell>
        </row>
        <row r="1408">
          <cell r="E1408">
            <v>10060027</v>
          </cell>
          <cell r="H1408">
            <v>4.0600000000000005</v>
          </cell>
          <cell r="I1408">
            <v>282.63</v>
          </cell>
          <cell r="J1408">
            <v>0</v>
          </cell>
          <cell r="K1408">
            <v>0</v>
          </cell>
          <cell r="M1408">
            <v>0</v>
          </cell>
          <cell r="P1408">
            <v>283</v>
          </cell>
          <cell r="V1408" t="str">
            <v>Available</v>
          </cell>
        </row>
        <row r="1409">
          <cell r="E1409">
            <v>10060027</v>
          </cell>
          <cell r="H1409">
            <v>1.86</v>
          </cell>
          <cell r="I1409">
            <v>67.22</v>
          </cell>
          <cell r="J1409">
            <v>0</v>
          </cell>
          <cell r="K1409">
            <v>0</v>
          </cell>
          <cell r="M1409">
            <v>0</v>
          </cell>
          <cell r="P1409">
            <v>67</v>
          </cell>
          <cell r="V1409" t="str">
            <v>Available</v>
          </cell>
        </row>
        <row r="1410">
          <cell r="E1410">
            <v>10060027</v>
          </cell>
          <cell r="H1410">
            <v>84.539999999999992</v>
          </cell>
          <cell r="I1410">
            <v>3277.62</v>
          </cell>
          <cell r="J1410">
            <v>0</v>
          </cell>
          <cell r="K1410">
            <v>0</v>
          </cell>
          <cell r="M1410">
            <v>0</v>
          </cell>
          <cell r="P1410">
            <v>3278</v>
          </cell>
          <cell r="V1410" t="str">
            <v>Available</v>
          </cell>
        </row>
        <row r="1411">
          <cell r="E1411">
            <v>10060027</v>
          </cell>
          <cell r="H1411">
            <v>134</v>
          </cell>
          <cell r="I1411">
            <v>5134.9399999999996</v>
          </cell>
          <cell r="J1411">
            <v>0</v>
          </cell>
          <cell r="K1411">
            <v>0</v>
          </cell>
          <cell r="M1411">
            <v>3600</v>
          </cell>
          <cell r="P1411">
            <v>1535</v>
          </cell>
          <cell r="V1411" t="str">
            <v>Available</v>
          </cell>
        </row>
        <row r="1412">
          <cell r="E1412">
            <v>10060027</v>
          </cell>
          <cell r="H1412">
            <v>43.26</v>
          </cell>
          <cell r="I1412">
            <v>1977.56</v>
          </cell>
          <cell r="J1412">
            <v>0</v>
          </cell>
          <cell r="K1412">
            <v>0</v>
          </cell>
          <cell r="M1412">
            <v>0</v>
          </cell>
          <cell r="P1412">
            <v>1978</v>
          </cell>
          <cell r="V1412" t="str">
            <v>Available</v>
          </cell>
        </row>
        <row r="1413">
          <cell r="E1413">
            <v>10060027</v>
          </cell>
          <cell r="H1413">
            <v>82.78</v>
          </cell>
          <cell r="I1413">
            <v>3802.96</v>
          </cell>
          <cell r="J1413">
            <v>0</v>
          </cell>
          <cell r="K1413">
            <v>0</v>
          </cell>
          <cell r="M1413">
            <v>0</v>
          </cell>
          <cell r="P1413">
            <v>3803</v>
          </cell>
          <cell r="V1413" t="str">
            <v>Available</v>
          </cell>
        </row>
        <row r="1414">
          <cell r="E1414">
            <v>10060027</v>
          </cell>
          <cell r="H1414">
            <v>10.7</v>
          </cell>
          <cell r="I1414">
            <v>446.85</v>
          </cell>
          <cell r="J1414">
            <v>0</v>
          </cell>
          <cell r="K1414">
            <v>0</v>
          </cell>
          <cell r="M1414">
            <v>0</v>
          </cell>
          <cell r="P1414">
            <v>447</v>
          </cell>
          <cell r="V1414" t="str">
            <v>Available</v>
          </cell>
        </row>
        <row r="1415">
          <cell r="E1415">
            <v>10060027</v>
          </cell>
          <cell r="H1415">
            <v>26.240000000000002</v>
          </cell>
          <cell r="I1415">
            <v>1363.9900000000002</v>
          </cell>
          <cell r="J1415">
            <v>0</v>
          </cell>
          <cell r="K1415">
            <v>0</v>
          </cell>
          <cell r="M1415">
            <v>0</v>
          </cell>
          <cell r="P1415">
            <v>1364</v>
          </cell>
          <cell r="V1415" t="str">
            <v>Available</v>
          </cell>
        </row>
        <row r="1416">
          <cell r="E1416">
            <v>10060027</v>
          </cell>
          <cell r="H1416">
            <v>21.16</v>
          </cell>
          <cell r="I1416">
            <v>749.36999999999989</v>
          </cell>
          <cell r="J1416">
            <v>0</v>
          </cell>
          <cell r="K1416">
            <v>0</v>
          </cell>
          <cell r="M1416">
            <v>749</v>
          </cell>
          <cell r="P1416">
            <v>0</v>
          </cell>
          <cell r="V1416" t="str">
            <v>Available</v>
          </cell>
        </row>
        <row r="1417">
          <cell r="E1417">
            <v>10060027</v>
          </cell>
          <cell r="H1417">
            <v>1.66</v>
          </cell>
          <cell r="I1417">
            <v>61.98</v>
          </cell>
          <cell r="J1417">
            <v>0</v>
          </cell>
          <cell r="K1417">
            <v>0</v>
          </cell>
          <cell r="M1417">
            <v>0</v>
          </cell>
          <cell r="P1417">
            <v>62</v>
          </cell>
          <cell r="V1417" t="str">
            <v>Available</v>
          </cell>
        </row>
        <row r="1418">
          <cell r="E1418">
            <v>10060027</v>
          </cell>
          <cell r="H1418">
            <v>26.240000000000002</v>
          </cell>
          <cell r="I1418">
            <v>1082.45</v>
          </cell>
          <cell r="J1418">
            <v>0</v>
          </cell>
          <cell r="K1418">
            <v>0</v>
          </cell>
          <cell r="M1418">
            <v>0</v>
          </cell>
          <cell r="P1418">
            <v>1082</v>
          </cell>
          <cell r="V1418" t="str">
            <v>Available</v>
          </cell>
        </row>
        <row r="1419">
          <cell r="E1419">
            <v>10060027</v>
          </cell>
          <cell r="H1419">
            <v>12.92</v>
          </cell>
          <cell r="I1419">
            <v>562.16</v>
          </cell>
          <cell r="J1419">
            <v>0</v>
          </cell>
          <cell r="K1419">
            <v>0</v>
          </cell>
          <cell r="M1419">
            <v>346.5</v>
          </cell>
          <cell r="P1419">
            <v>216</v>
          </cell>
          <cell r="V1419" t="str">
            <v>Available</v>
          </cell>
        </row>
        <row r="1420">
          <cell r="E1420">
            <v>10060027</v>
          </cell>
          <cell r="H1420">
            <v>14.379999999999999</v>
          </cell>
          <cell r="I1420">
            <v>715.9</v>
          </cell>
          <cell r="J1420">
            <v>0</v>
          </cell>
          <cell r="K1420">
            <v>0</v>
          </cell>
          <cell r="M1420">
            <v>0</v>
          </cell>
          <cell r="P1420">
            <v>716</v>
          </cell>
          <cell r="V1420" t="str">
            <v>Available</v>
          </cell>
        </row>
        <row r="1421">
          <cell r="E1421">
            <v>10060027</v>
          </cell>
          <cell r="H1421">
            <v>13.16</v>
          </cell>
          <cell r="I1421">
            <v>661</v>
          </cell>
          <cell r="J1421">
            <v>0</v>
          </cell>
          <cell r="K1421">
            <v>0</v>
          </cell>
          <cell r="M1421">
            <v>0</v>
          </cell>
          <cell r="P1421">
            <v>661</v>
          </cell>
          <cell r="V1421" t="str">
            <v>Available</v>
          </cell>
        </row>
        <row r="1422">
          <cell r="E1422">
            <v>10060027</v>
          </cell>
          <cell r="H1422">
            <v>47.419999999999995</v>
          </cell>
          <cell r="I1422">
            <v>2604.9199999999996</v>
          </cell>
          <cell r="J1422">
            <v>0</v>
          </cell>
          <cell r="K1422">
            <v>0</v>
          </cell>
          <cell r="M1422">
            <v>0</v>
          </cell>
          <cell r="P1422">
            <v>2605</v>
          </cell>
          <cell r="V1422" t="str">
            <v>Available</v>
          </cell>
        </row>
        <row r="1423">
          <cell r="E1423">
            <v>10060027</v>
          </cell>
          <cell r="H1423">
            <v>6.26</v>
          </cell>
          <cell r="I1423">
            <v>244.35</v>
          </cell>
          <cell r="J1423">
            <v>0</v>
          </cell>
          <cell r="K1423">
            <v>0</v>
          </cell>
          <cell r="M1423">
            <v>0</v>
          </cell>
          <cell r="P1423">
            <v>244</v>
          </cell>
          <cell r="V1423" t="str">
            <v>Available</v>
          </cell>
        </row>
        <row r="1424">
          <cell r="E1424">
            <v>10060027</v>
          </cell>
          <cell r="H1424">
            <v>32.54</v>
          </cell>
          <cell r="I1424">
            <v>1298.9000000000001</v>
          </cell>
          <cell r="J1424">
            <v>0</v>
          </cell>
          <cell r="K1424">
            <v>0</v>
          </cell>
          <cell r="M1424">
            <v>0</v>
          </cell>
          <cell r="P1424">
            <v>1299</v>
          </cell>
          <cell r="V1424" t="str">
            <v>Available</v>
          </cell>
        </row>
        <row r="1425">
          <cell r="E1425">
            <v>10060027</v>
          </cell>
          <cell r="H1425">
            <v>11.34</v>
          </cell>
          <cell r="I1425">
            <v>399.96999999999997</v>
          </cell>
          <cell r="J1425">
            <v>0</v>
          </cell>
          <cell r="K1425">
            <v>0</v>
          </cell>
          <cell r="M1425">
            <v>0</v>
          </cell>
          <cell r="P1425">
            <v>400</v>
          </cell>
          <cell r="V1425" t="str">
            <v>Available</v>
          </cell>
        </row>
        <row r="1426">
          <cell r="E1426">
            <v>10060027</v>
          </cell>
          <cell r="H1426">
            <v>5.96</v>
          </cell>
          <cell r="I1426">
            <v>256.8</v>
          </cell>
          <cell r="J1426">
            <v>0</v>
          </cell>
          <cell r="K1426">
            <v>0</v>
          </cell>
          <cell r="M1426">
            <v>0</v>
          </cell>
          <cell r="P1426">
            <v>257</v>
          </cell>
          <cell r="V1426" t="str">
            <v>Available</v>
          </cell>
        </row>
        <row r="1427">
          <cell r="E1427">
            <v>10060027</v>
          </cell>
          <cell r="H1427">
            <v>29.76</v>
          </cell>
          <cell r="I1427">
            <v>1304.51</v>
          </cell>
          <cell r="J1427">
            <v>0</v>
          </cell>
          <cell r="K1427">
            <v>0</v>
          </cell>
          <cell r="M1427">
            <v>0</v>
          </cell>
          <cell r="P1427">
            <v>1305</v>
          </cell>
          <cell r="V1427" t="str">
            <v>Available</v>
          </cell>
        </row>
        <row r="1428">
          <cell r="E1428">
            <v>10060027</v>
          </cell>
          <cell r="H1428">
            <v>8.86</v>
          </cell>
          <cell r="I1428">
            <v>390.18999999999994</v>
          </cell>
          <cell r="J1428">
            <v>0</v>
          </cell>
          <cell r="K1428">
            <v>0</v>
          </cell>
          <cell r="M1428">
            <v>0</v>
          </cell>
          <cell r="P1428">
            <v>390</v>
          </cell>
          <cell r="V1428" t="str">
            <v>Available</v>
          </cell>
        </row>
        <row r="1429">
          <cell r="E1429">
            <v>10060029</v>
          </cell>
          <cell r="H1429">
            <v>17.740000000000002</v>
          </cell>
          <cell r="I1429">
            <v>977.53</v>
          </cell>
          <cell r="J1429">
            <v>0</v>
          </cell>
          <cell r="K1429">
            <v>977.53</v>
          </cell>
          <cell r="M1429">
            <v>0</v>
          </cell>
          <cell r="P1429">
            <v>0</v>
          </cell>
          <cell r="V1429" t="str">
            <v>Not Available</v>
          </cell>
        </row>
        <row r="1430">
          <cell r="E1430">
            <v>10060029</v>
          </cell>
          <cell r="H1430">
            <v>205.98999999999998</v>
          </cell>
          <cell r="I1430">
            <v>8459.94</v>
          </cell>
          <cell r="J1430">
            <v>0</v>
          </cell>
          <cell r="K1430">
            <v>0</v>
          </cell>
          <cell r="M1430">
            <v>0</v>
          </cell>
          <cell r="P1430">
            <v>8453</v>
          </cell>
          <cell r="V1430" t="str">
            <v>Available</v>
          </cell>
        </row>
        <row r="1431">
          <cell r="E1431">
            <v>10060029</v>
          </cell>
          <cell r="H1431">
            <v>229.78</v>
          </cell>
          <cell r="I1431">
            <v>9425.6</v>
          </cell>
          <cell r="J1431">
            <v>0</v>
          </cell>
          <cell r="K1431">
            <v>0</v>
          </cell>
          <cell r="M1431">
            <v>0</v>
          </cell>
          <cell r="P1431">
            <v>9426</v>
          </cell>
          <cell r="V1431" t="str">
            <v>Available</v>
          </cell>
        </row>
        <row r="1432">
          <cell r="E1432">
            <v>10060029</v>
          </cell>
          <cell r="H1432">
            <v>194.92999999999998</v>
          </cell>
          <cell r="I1432">
            <v>11067.330000000002</v>
          </cell>
          <cell r="J1432">
            <v>0</v>
          </cell>
          <cell r="K1432">
            <v>0</v>
          </cell>
          <cell r="M1432">
            <v>0</v>
          </cell>
          <cell r="P1432">
            <v>11067</v>
          </cell>
          <cell r="V1432" t="str">
            <v>Available</v>
          </cell>
        </row>
        <row r="1433">
          <cell r="E1433">
            <v>10060029</v>
          </cell>
          <cell r="H1433">
            <v>168.86000000000004</v>
          </cell>
          <cell r="I1433">
            <v>7980.04</v>
          </cell>
          <cell r="J1433">
            <v>0</v>
          </cell>
          <cell r="K1433">
            <v>0</v>
          </cell>
          <cell r="M1433">
            <v>0</v>
          </cell>
          <cell r="P1433">
            <v>7980</v>
          </cell>
          <cell r="V1433" t="str">
            <v>Available</v>
          </cell>
        </row>
        <row r="1434">
          <cell r="E1434">
            <v>10060029</v>
          </cell>
          <cell r="H1434">
            <v>15.579999999999998</v>
          </cell>
          <cell r="I1434">
            <v>885.6099999999999</v>
          </cell>
          <cell r="J1434">
            <v>0</v>
          </cell>
          <cell r="K1434">
            <v>0</v>
          </cell>
          <cell r="M1434">
            <v>0</v>
          </cell>
          <cell r="P1434">
            <v>886</v>
          </cell>
          <cell r="V1434" t="str">
            <v>Available</v>
          </cell>
        </row>
        <row r="1435">
          <cell r="E1435">
            <v>10060029</v>
          </cell>
          <cell r="H1435">
            <v>1.58</v>
          </cell>
          <cell r="I1435">
            <v>64.25</v>
          </cell>
          <cell r="J1435">
            <v>0</v>
          </cell>
          <cell r="K1435">
            <v>0</v>
          </cell>
          <cell r="M1435">
            <v>0</v>
          </cell>
          <cell r="P1435">
            <v>64</v>
          </cell>
          <cell r="V1435" t="str">
            <v>Available</v>
          </cell>
        </row>
        <row r="1436">
          <cell r="E1436">
            <v>10060029</v>
          </cell>
          <cell r="H1436">
            <v>1.83</v>
          </cell>
          <cell r="I1436">
            <v>98</v>
          </cell>
          <cell r="J1436">
            <v>0</v>
          </cell>
          <cell r="K1436">
            <v>0</v>
          </cell>
          <cell r="M1436">
            <v>0</v>
          </cell>
          <cell r="P1436">
            <v>98</v>
          </cell>
          <cell r="V1436" t="str">
            <v>Available</v>
          </cell>
        </row>
        <row r="1437">
          <cell r="E1437">
            <v>10060029</v>
          </cell>
          <cell r="H1437">
            <v>22.73</v>
          </cell>
          <cell r="I1437">
            <v>845.56999999999994</v>
          </cell>
          <cell r="J1437">
            <v>0</v>
          </cell>
          <cell r="K1437">
            <v>0</v>
          </cell>
          <cell r="M1437">
            <v>0</v>
          </cell>
          <cell r="P1437">
            <v>846</v>
          </cell>
          <cell r="V1437" t="str">
            <v>Available</v>
          </cell>
        </row>
        <row r="1438">
          <cell r="E1438">
            <v>10060029</v>
          </cell>
          <cell r="H1438">
            <v>14.14</v>
          </cell>
          <cell r="I1438">
            <v>545.02</v>
          </cell>
          <cell r="J1438">
            <v>0</v>
          </cell>
          <cell r="K1438">
            <v>0</v>
          </cell>
          <cell r="M1438">
            <v>0</v>
          </cell>
          <cell r="P1438">
            <v>545</v>
          </cell>
          <cell r="V1438" t="str">
            <v>Available</v>
          </cell>
        </row>
        <row r="1439">
          <cell r="E1439">
            <v>10060029</v>
          </cell>
          <cell r="H1439">
            <v>4.6899999999999995</v>
          </cell>
          <cell r="I1439">
            <v>185.18</v>
          </cell>
          <cell r="J1439">
            <v>0</v>
          </cell>
          <cell r="K1439">
            <v>0</v>
          </cell>
          <cell r="M1439">
            <v>0</v>
          </cell>
          <cell r="P1439">
            <v>185</v>
          </cell>
          <cell r="V1439" t="str">
            <v>Available</v>
          </cell>
        </row>
        <row r="1440">
          <cell r="E1440">
            <v>10060029</v>
          </cell>
          <cell r="H1440">
            <v>35.99</v>
          </cell>
          <cell r="I1440">
            <v>1846.3200000000002</v>
          </cell>
          <cell r="J1440">
            <v>0</v>
          </cell>
          <cell r="K1440">
            <v>0</v>
          </cell>
          <cell r="M1440">
            <v>0</v>
          </cell>
          <cell r="P1440">
            <v>1846</v>
          </cell>
          <cell r="V1440" t="str">
            <v>Available</v>
          </cell>
        </row>
        <row r="1441">
          <cell r="E1441">
            <v>10060029</v>
          </cell>
          <cell r="H1441">
            <v>45.920000000000009</v>
          </cell>
          <cell r="I1441">
            <v>2242.06</v>
          </cell>
          <cell r="J1441">
            <v>0</v>
          </cell>
          <cell r="K1441">
            <v>0</v>
          </cell>
          <cell r="M1441">
            <v>0</v>
          </cell>
          <cell r="P1441">
            <v>2242</v>
          </cell>
          <cell r="V1441" t="str">
            <v>Available</v>
          </cell>
        </row>
        <row r="1442">
          <cell r="E1442">
            <v>10060029</v>
          </cell>
          <cell r="H1442">
            <v>18.740000000000002</v>
          </cell>
          <cell r="I1442">
            <v>829.71</v>
          </cell>
          <cell r="J1442">
            <v>0</v>
          </cell>
          <cell r="K1442">
            <v>0</v>
          </cell>
          <cell r="M1442">
            <v>0</v>
          </cell>
          <cell r="P1442">
            <v>830</v>
          </cell>
          <cell r="V1442" t="str">
            <v>Available</v>
          </cell>
        </row>
        <row r="1443">
          <cell r="E1443">
            <v>10060029</v>
          </cell>
          <cell r="H1443">
            <v>11.39</v>
          </cell>
          <cell r="I1443">
            <v>409.48</v>
          </cell>
          <cell r="J1443">
            <v>0</v>
          </cell>
          <cell r="K1443">
            <v>0</v>
          </cell>
          <cell r="M1443">
            <v>0</v>
          </cell>
          <cell r="P1443">
            <v>409</v>
          </cell>
          <cell r="V1443" t="str">
            <v>Available</v>
          </cell>
        </row>
        <row r="1444">
          <cell r="E1444">
            <v>10060029</v>
          </cell>
          <cell r="H1444">
            <v>32.32</v>
          </cell>
          <cell r="I1444">
            <v>1492.88</v>
          </cell>
          <cell r="J1444">
            <v>0</v>
          </cell>
          <cell r="K1444">
            <v>0</v>
          </cell>
          <cell r="M1444">
            <v>0</v>
          </cell>
          <cell r="P1444">
            <v>1493</v>
          </cell>
          <cell r="V1444" t="str">
            <v>Available</v>
          </cell>
        </row>
        <row r="1445">
          <cell r="E1445">
            <v>10060029</v>
          </cell>
          <cell r="H1445">
            <v>3.23</v>
          </cell>
          <cell r="I1445">
            <v>132.44999999999999</v>
          </cell>
          <cell r="J1445">
            <v>0</v>
          </cell>
          <cell r="K1445">
            <v>0</v>
          </cell>
          <cell r="M1445">
            <v>0</v>
          </cell>
          <cell r="P1445">
            <v>132</v>
          </cell>
          <cell r="V1445" t="str">
            <v>Available</v>
          </cell>
        </row>
        <row r="1446">
          <cell r="E1446">
            <v>10060029</v>
          </cell>
          <cell r="H1446">
            <v>12.02</v>
          </cell>
          <cell r="I1446">
            <v>400.1</v>
          </cell>
          <cell r="J1446">
            <v>0</v>
          </cell>
          <cell r="K1446">
            <v>0</v>
          </cell>
          <cell r="M1446">
            <v>0</v>
          </cell>
          <cell r="P1446">
            <v>400</v>
          </cell>
          <cell r="V1446" t="str">
            <v>Available</v>
          </cell>
        </row>
        <row r="1447">
          <cell r="E1447">
            <v>10060029</v>
          </cell>
          <cell r="H1447">
            <v>21.97</v>
          </cell>
          <cell r="I1447">
            <v>749.5100000000001</v>
          </cell>
          <cell r="J1447">
            <v>0</v>
          </cell>
          <cell r="K1447">
            <v>0</v>
          </cell>
          <cell r="M1447">
            <v>0</v>
          </cell>
          <cell r="P1447">
            <v>750</v>
          </cell>
          <cell r="V1447" t="str">
            <v>Available</v>
          </cell>
        </row>
        <row r="1448">
          <cell r="E1448">
            <v>10060029</v>
          </cell>
          <cell r="H1448">
            <v>5.3699999999999992</v>
          </cell>
          <cell r="I1448">
            <v>228.71</v>
          </cell>
          <cell r="J1448">
            <v>0</v>
          </cell>
          <cell r="K1448">
            <v>0</v>
          </cell>
          <cell r="M1448">
            <v>0</v>
          </cell>
          <cell r="P1448">
            <v>229</v>
          </cell>
          <cell r="V1448" t="str">
            <v>Available</v>
          </cell>
        </row>
        <row r="1449">
          <cell r="E1449">
            <v>10060029</v>
          </cell>
          <cell r="H1449">
            <v>61.27</v>
          </cell>
          <cell r="I1449">
            <v>4350.16</v>
          </cell>
          <cell r="J1449">
            <v>0</v>
          </cell>
          <cell r="K1449">
            <v>0</v>
          </cell>
          <cell r="M1449">
            <v>0</v>
          </cell>
          <cell r="P1449">
            <v>4350</v>
          </cell>
          <cell r="V1449" t="str">
            <v>Available</v>
          </cell>
        </row>
        <row r="1450">
          <cell r="E1450">
            <v>10060029</v>
          </cell>
          <cell r="H1450">
            <v>9.6100000000000012</v>
          </cell>
          <cell r="I1450">
            <v>709.7399999999999</v>
          </cell>
          <cell r="J1450">
            <v>0</v>
          </cell>
          <cell r="K1450">
            <v>0</v>
          </cell>
          <cell r="M1450">
            <v>0</v>
          </cell>
          <cell r="P1450">
            <v>710</v>
          </cell>
          <cell r="V1450" t="str">
            <v>Available</v>
          </cell>
        </row>
        <row r="1451">
          <cell r="E1451">
            <v>10060029</v>
          </cell>
          <cell r="H1451">
            <v>7.18</v>
          </cell>
          <cell r="I1451">
            <v>292.93</v>
          </cell>
          <cell r="J1451">
            <v>0</v>
          </cell>
          <cell r="K1451">
            <v>0</v>
          </cell>
          <cell r="M1451">
            <v>0</v>
          </cell>
          <cell r="P1451">
            <v>293</v>
          </cell>
          <cell r="V1451" t="str">
            <v>Available</v>
          </cell>
        </row>
        <row r="1452">
          <cell r="E1452">
            <v>10060029</v>
          </cell>
          <cell r="H1452">
            <v>2.4699999999999998</v>
          </cell>
          <cell r="I1452">
            <v>108.8</v>
          </cell>
          <cell r="J1452">
            <v>0</v>
          </cell>
          <cell r="K1452">
            <v>0</v>
          </cell>
          <cell r="M1452">
            <v>0</v>
          </cell>
          <cell r="P1452">
            <v>109</v>
          </cell>
          <cell r="V1452" t="str">
            <v>Available</v>
          </cell>
        </row>
        <row r="1453">
          <cell r="E1453">
            <v>10060029</v>
          </cell>
          <cell r="H1453">
            <v>11.149999999999999</v>
          </cell>
          <cell r="I1453">
            <v>479.34000000000003</v>
          </cell>
          <cell r="J1453">
            <v>0</v>
          </cell>
          <cell r="K1453">
            <v>0</v>
          </cell>
          <cell r="M1453">
            <v>0</v>
          </cell>
          <cell r="P1453">
            <v>479</v>
          </cell>
          <cell r="V1453" t="str">
            <v>Available</v>
          </cell>
        </row>
        <row r="1454">
          <cell r="E1454">
            <v>10060029</v>
          </cell>
          <cell r="H1454">
            <v>30.56</v>
          </cell>
          <cell r="I1454">
            <v>1404.5700000000002</v>
          </cell>
          <cell r="J1454">
            <v>0</v>
          </cell>
          <cell r="K1454">
            <v>0</v>
          </cell>
          <cell r="M1454">
            <v>0</v>
          </cell>
          <cell r="P1454">
            <v>1405</v>
          </cell>
          <cell r="V1454" t="str">
            <v>Available</v>
          </cell>
        </row>
        <row r="1455">
          <cell r="E1455">
            <v>10060029</v>
          </cell>
          <cell r="H1455">
            <v>14.629999999999999</v>
          </cell>
          <cell r="I1455">
            <v>754.5</v>
          </cell>
          <cell r="J1455">
            <v>0</v>
          </cell>
          <cell r="K1455">
            <v>0</v>
          </cell>
          <cell r="M1455">
            <v>0</v>
          </cell>
          <cell r="P1455">
            <v>755</v>
          </cell>
          <cell r="V1455" t="str">
            <v>Available</v>
          </cell>
        </row>
        <row r="1456">
          <cell r="E1456">
            <v>10060029</v>
          </cell>
          <cell r="H1456">
            <v>3.16</v>
          </cell>
          <cell r="I1456">
            <v>120.2</v>
          </cell>
          <cell r="J1456">
            <v>0</v>
          </cell>
          <cell r="K1456">
            <v>0</v>
          </cell>
          <cell r="M1456">
            <v>0</v>
          </cell>
          <cell r="P1456">
            <v>120</v>
          </cell>
          <cell r="V1456" t="str">
            <v>Available</v>
          </cell>
        </row>
        <row r="1457">
          <cell r="E1457">
            <v>10060029</v>
          </cell>
          <cell r="H1457">
            <v>4.2699999999999996</v>
          </cell>
          <cell r="I1457">
            <v>223.53</v>
          </cell>
          <cell r="J1457">
            <v>0</v>
          </cell>
          <cell r="K1457">
            <v>0</v>
          </cell>
          <cell r="M1457">
            <v>0</v>
          </cell>
          <cell r="P1457">
            <v>224</v>
          </cell>
          <cell r="V1457" t="str">
            <v>Available</v>
          </cell>
        </row>
        <row r="1458">
          <cell r="E1458">
            <v>10060029</v>
          </cell>
          <cell r="H1458">
            <v>19.05</v>
          </cell>
          <cell r="I1458">
            <v>769.09</v>
          </cell>
          <cell r="J1458">
            <v>0</v>
          </cell>
          <cell r="K1458">
            <v>0</v>
          </cell>
          <cell r="M1458">
            <v>0</v>
          </cell>
          <cell r="P1458">
            <v>769</v>
          </cell>
          <cell r="V1458" t="str">
            <v>Available</v>
          </cell>
        </row>
        <row r="1459">
          <cell r="E1459">
            <v>10060029</v>
          </cell>
          <cell r="H1459">
            <v>43.730000000000004</v>
          </cell>
          <cell r="I1459">
            <v>2224.3099999999995</v>
          </cell>
          <cell r="J1459">
            <v>0</v>
          </cell>
          <cell r="K1459">
            <v>0</v>
          </cell>
          <cell r="M1459">
            <v>0</v>
          </cell>
          <cell r="P1459">
            <v>2224</v>
          </cell>
          <cell r="V1459" t="str">
            <v>Available</v>
          </cell>
        </row>
        <row r="1460">
          <cell r="E1460">
            <v>10060029</v>
          </cell>
          <cell r="H1460">
            <v>52.849999999999994</v>
          </cell>
          <cell r="I1460">
            <v>2824.02</v>
          </cell>
          <cell r="J1460">
            <v>0</v>
          </cell>
          <cell r="K1460">
            <v>0</v>
          </cell>
          <cell r="M1460">
            <v>0</v>
          </cell>
          <cell r="P1460">
            <v>2824</v>
          </cell>
          <cell r="V1460" t="str">
            <v>Available</v>
          </cell>
        </row>
        <row r="1461">
          <cell r="E1461">
            <v>10060029</v>
          </cell>
          <cell r="H1461">
            <v>124.05000000000001</v>
          </cell>
          <cell r="I1461">
            <v>7507.409999999998</v>
          </cell>
          <cell r="J1461">
            <v>0</v>
          </cell>
          <cell r="K1461">
            <v>0</v>
          </cell>
          <cell r="M1461">
            <v>0</v>
          </cell>
          <cell r="P1461">
            <v>7507</v>
          </cell>
          <cell r="V1461" t="str">
            <v>Available</v>
          </cell>
        </row>
        <row r="1462">
          <cell r="E1462">
            <v>10060029</v>
          </cell>
          <cell r="H1462">
            <v>25.48</v>
          </cell>
          <cell r="I1462">
            <v>886.44</v>
          </cell>
          <cell r="J1462">
            <v>0</v>
          </cell>
          <cell r="K1462">
            <v>0</v>
          </cell>
          <cell r="M1462">
            <v>0</v>
          </cell>
          <cell r="P1462">
            <v>886</v>
          </cell>
          <cell r="V1462" t="str">
            <v>Available</v>
          </cell>
        </row>
        <row r="1463">
          <cell r="E1463">
            <v>10060029</v>
          </cell>
          <cell r="H1463">
            <v>159.13999999999999</v>
          </cell>
          <cell r="I1463">
            <v>7545.5499999999993</v>
          </cell>
          <cell r="J1463">
            <v>0</v>
          </cell>
          <cell r="K1463">
            <v>0</v>
          </cell>
          <cell r="M1463">
            <v>0</v>
          </cell>
          <cell r="P1463">
            <v>7546</v>
          </cell>
          <cell r="V1463" t="str">
            <v>Available</v>
          </cell>
        </row>
        <row r="1464">
          <cell r="E1464">
            <v>10060029</v>
          </cell>
          <cell r="H1464">
            <v>5.73</v>
          </cell>
          <cell r="I1464">
            <v>229.94000000000003</v>
          </cell>
          <cell r="J1464">
            <v>0</v>
          </cell>
          <cell r="K1464">
            <v>0</v>
          </cell>
          <cell r="M1464">
            <v>0</v>
          </cell>
          <cell r="P1464">
            <v>230</v>
          </cell>
          <cell r="V1464" t="str">
            <v>Available</v>
          </cell>
        </row>
        <row r="1465">
          <cell r="E1465">
            <v>10060029</v>
          </cell>
          <cell r="H1465">
            <v>5</v>
          </cell>
          <cell r="I1465">
            <v>298.39</v>
          </cell>
          <cell r="J1465">
            <v>0</v>
          </cell>
          <cell r="K1465">
            <v>0</v>
          </cell>
          <cell r="M1465">
            <v>0</v>
          </cell>
          <cell r="P1465">
            <v>298</v>
          </cell>
          <cell r="V1465" t="str">
            <v>Available</v>
          </cell>
        </row>
        <row r="1466">
          <cell r="E1466">
            <v>10060029</v>
          </cell>
          <cell r="H1466">
            <v>56.86</v>
          </cell>
          <cell r="I1466">
            <v>2034.14</v>
          </cell>
          <cell r="J1466">
            <v>0</v>
          </cell>
          <cell r="K1466">
            <v>0</v>
          </cell>
          <cell r="M1466">
            <v>0</v>
          </cell>
          <cell r="P1466">
            <v>2034</v>
          </cell>
          <cell r="V1466" t="str">
            <v>Available</v>
          </cell>
        </row>
        <row r="1467">
          <cell r="E1467">
            <v>10060029</v>
          </cell>
          <cell r="H1467">
            <v>8.65</v>
          </cell>
          <cell r="I1467">
            <v>447.04</v>
          </cell>
          <cell r="J1467">
            <v>0</v>
          </cell>
          <cell r="K1467">
            <v>0</v>
          </cell>
          <cell r="M1467">
            <v>0</v>
          </cell>
          <cell r="P1467">
            <v>447</v>
          </cell>
          <cell r="V1467" t="str">
            <v>Available</v>
          </cell>
        </row>
        <row r="1468">
          <cell r="E1468">
            <v>10060029</v>
          </cell>
          <cell r="H1468">
            <v>127.31</v>
          </cell>
          <cell r="I1468">
            <v>6420.880000000001</v>
          </cell>
          <cell r="J1468">
            <v>0</v>
          </cell>
          <cell r="K1468">
            <v>0</v>
          </cell>
          <cell r="M1468">
            <v>0</v>
          </cell>
          <cell r="P1468">
            <v>6421</v>
          </cell>
          <cell r="V1468" t="str">
            <v>Not Available</v>
          </cell>
        </row>
        <row r="1469">
          <cell r="E1469">
            <v>10060029</v>
          </cell>
          <cell r="H1469">
            <v>77.740000000000009</v>
          </cell>
          <cell r="I1469">
            <v>3724.09</v>
          </cell>
          <cell r="J1469">
            <v>0</v>
          </cell>
          <cell r="K1469">
            <v>0</v>
          </cell>
          <cell r="M1469">
            <v>0</v>
          </cell>
          <cell r="P1469">
            <v>3724</v>
          </cell>
          <cell r="V1469" t="str">
            <v>Not Available</v>
          </cell>
        </row>
        <row r="1470">
          <cell r="E1470">
            <v>10060029</v>
          </cell>
          <cell r="H1470">
            <v>77.739999999999981</v>
          </cell>
          <cell r="I1470">
            <v>4020.76</v>
          </cell>
          <cell r="J1470">
            <v>0</v>
          </cell>
          <cell r="K1470">
            <v>0</v>
          </cell>
          <cell r="M1470">
            <v>0</v>
          </cell>
          <cell r="P1470">
            <v>4021</v>
          </cell>
          <cell r="V1470" t="str">
            <v>Not Available</v>
          </cell>
        </row>
        <row r="1471">
          <cell r="E1471">
            <v>10060031</v>
          </cell>
          <cell r="H1471">
            <v>120.62</v>
          </cell>
          <cell r="I1471">
            <v>4767.4800000000005</v>
          </cell>
          <cell r="J1471">
            <v>0</v>
          </cell>
          <cell r="K1471">
            <v>0</v>
          </cell>
          <cell r="M1471">
            <v>0</v>
          </cell>
          <cell r="P1471">
            <v>4750</v>
          </cell>
          <cell r="V1471" t="str">
            <v>Available</v>
          </cell>
        </row>
        <row r="1472">
          <cell r="E1472">
            <v>10060031</v>
          </cell>
          <cell r="H1472">
            <v>69.03</v>
          </cell>
          <cell r="I1472">
            <v>2699.95</v>
          </cell>
          <cell r="J1472">
            <v>0</v>
          </cell>
          <cell r="K1472">
            <v>0</v>
          </cell>
          <cell r="M1472">
            <v>0</v>
          </cell>
          <cell r="P1472">
            <v>2700</v>
          </cell>
          <cell r="V1472" t="str">
            <v>Available</v>
          </cell>
        </row>
        <row r="1473">
          <cell r="E1473">
            <v>10060031</v>
          </cell>
          <cell r="H1473">
            <v>13.23</v>
          </cell>
          <cell r="I1473">
            <v>568.08000000000004</v>
          </cell>
          <cell r="J1473">
            <v>0</v>
          </cell>
          <cell r="K1473">
            <v>0</v>
          </cell>
          <cell r="M1473">
            <v>0</v>
          </cell>
          <cell r="P1473">
            <v>568</v>
          </cell>
          <cell r="V1473" t="str">
            <v>Available</v>
          </cell>
        </row>
        <row r="1474">
          <cell r="E1474">
            <v>10060031</v>
          </cell>
          <cell r="H1474">
            <v>22.209999999999997</v>
          </cell>
          <cell r="I1474">
            <v>788.48</v>
          </cell>
          <cell r="J1474">
            <v>0</v>
          </cell>
          <cell r="K1474">
            <v>0</v>
          </cell>
          <cell r="M1474">
            <v>0</v>
          </cell>
          <cell r="P1474">
            <v>788</v>
          </cell>
          <cell r="V1474" t="str">
            <v>Available</v>
          </cell>
        </row>
        <row r="1475">
          <cell r="E1475">
            <v>10060031</v>
          </cell>
          <cell r="H1475">
            <v>40.209999999999994</v>
          </cell>
          <cell r="I1475">
            <v>1601.8200000000002</v>
          </cell>
          <cell r="J1475">
            <v>0</v>
          </cell>
          <cell r="K1475">
            <v>0</v>
          </cell>
          <cell r="M1475">
            <v>0</v>
          </cell>
          <cell r="P1475">
            <v>1602</v>
          </cell>
          <cell r="V1475" t="str">
            <v>Available</v>
          </cell>
        </row>
        <row r="1476">
          <cell r="E1476">
            <v>10060031</v>
          </cell>
          <cell r="H1476">
            <v>7.93</v>
          </cell>
          <cell r="I1476">
            <v>345.17</v>
          </cell>
          <cell r="J1476">
            <v>0</v>
          </cell>
          <cell r="K1476">
            <v>0</v>
          </cell>
          <cell r="M1476">
            <v>0</v>
          </cell>
          <cell r="P1476">
            <v>345</v>
          </cell>
          <cell r="V1476" t="str">
            <v>Available</v>
          </cell>
        </row>
        <row r="1477">
          <cell r="E1477">
            <v>10060031</v>
          </cell>
          <cell r="H1477">
            <v>15.57</v>
          </cell>
          <cell r="I1477">
            <v>627.06999999999994</v>
          </cell>
          <cell r="J1477">
            <v>0</v>
          </cell>
          <cell r="K1477">
            <v>0</v>
          </cell>
          <cell r="M1477">
            <v>0</v>
          </cell>
          <cell r="P1477">
            <v>627</v>
          </cell>
          <cell r="V1477" t="str">
            <v>Available</v>
          </cell>
        </row>
        <row r="1478">
          <cell r="E1478">
            <v>10060031</v>
          </cell>
          <cell r="H1478">
            <v>10.24</v>
          </cell>
          <cell r="I1478">
            <v>748.2700000000001</v>
          </cell>
          <cell r="J1478">
            <v>0</v>
          </cell>
          <cell r="K1478">
            <v>0</v>
          </cell>
          <cell r="M1478">
            <v>0</v>
          </cell>
          <cell r="P1478">
            <v>748</v>
          </cell>
          <cell r="V1478" t="str">
            <v>Available</v>
          </cell>
        </row>
        <row r="1479">
          <cell r="E1479">
            <v>10060031</v>
          </cell>
          <cell r="H1479">
            <v>16.8</v>
          </cell>
          <cell r="I1479">
            <v>952.33999999999992</v>
          </cell>
          <cell r="J1479">
            <v>0</v>
          </cell>
          <cell r="K1479">
            <v>0</v>
          </cell>
          <cell r="M1479">
            <v>0</v>
          </cell>
          <cell r="P1479">
            <v>952</v>
          </cell>
          <cell r="V1479" t="str">
            <v>Available</v>
          </cell>
        </row>
        <row r="1480">
          <cell r="E1480">
            <v>10060031</v>
          </cell>
          <cell r="H1480">
            <v>7.0699999999999994</v>
          </cell>
          <cell r="I1480">
            <v>296.45000000000005</v>
          </cell>
          <cell r="J1480">
            <v>0</v>
          </cell>
          <cell r="K1480">
            <v>0</v>
          </cell>
          <cell r="M1480">
            <v>0</v>
          </cell>
          <cell r="P1480">
            <v>296</v>
          </cell>
          <cell r="V1480" t="str">
            <v>Available</v>
          </cell>
        </row>
        <row r="1481">
          <cell r="E1481">
            <v>10060031</v>
          </cell>
          <cell r="H1481">
            <v>22.34</v>
          </cell>
          <cell r="I1481">
            <v>932.83</v>
          </cell>
          <cell r="J1481">
            <v>0</v>
          </cell>
          <cell r="K1481">
            <v>0</v>
          </cell>
          <cell r="M1481">
            <v>0</v>
          </cell>
          <cell r="P1481">
            <v>933</v>
          </cell>
          <cell r="V1481" t="str">
            <v>Available</v>
          </cell>
        </row>
        <row r="1482">
          <cell r="E1482">
            <v>10060032</v>
          </cell>
          <cell r="H1482">
            <v>24.120000000000005</v>
          </cell>
          <cell r="I1482">
            <v>1609.94</v>
          </cell>
          <cell r="J1482">
            <v>0</v>
          </cell>
          <cell r="K1482">
            <v>1609.94</v>
          </cell>
          <cell r="M1482">
            <v>0</v>
          </cell>
          <cell r="P1482">
            <v>0</v>
          </cell>
          <cell r="V1482" t="str">
            <v>Not Available</v>
          </cell>
        </row>
        <row r="1483">
          <cell r="E1483">
            <v>10060032</v>
          </cell>
          <cell r="H1483">
            <v>248.68</v>
          </cell>
          <cell r="I1483">
            <v>12417.569999999998</v>
          </cell>
          <cell r="J1483">
            <v>0</v>
          </cell>
          <cell r="K1483">
            <v>0</v>
          </cell>
          <cell r="M1483">
            <v>0</v>
          </cell>
          <cell r="P1483">
            <v>10875</v>
          </cell>
          <cell r="V1483" t="str">
            <v>Available</v>
          </cell>
        </row>
        <row r="1484">
          <cell r="E1484">
            <v>10060032</v>
          </cell>
          <cell r="H1484">
            <v>5.54</v>
          </cell>
          <cell r="I1484">
            <v>294.56</v>
          </cell>
          <cell r="J1484">
            <v>0</v>
          </cell>
          <cell r="K1484">
            <v>0</v>
          </cell>
          <cell r="M1484">
            <v>0</v>
          </cell>
          <cell r="P1484">
            <v>295</v>
          </cell>
          <cell r="V1484" t="str">
            <v>Available</v>
          </cell>
        </row>
        <row r="1485">
          <cell r="E1485">
            <v>10060032</v>
          </cell>
          <cell r="H1485">
            <v>3.7800000000000002</v>
          </cell>
          <cell r="I1485">
            <v>237.2</v>
          </cell>
          <cell r="J1485">
            <v>0</v>
          </cell>
          <cell r="K1485">
            <v>0</v>
          </cell>
          <cell r="M1485">
            <v>0</v>
          </cell>
          <cell r="P1485">
            <v>237</v>
          </cell>
          <cell r="V1485" t="str">
            <v>Available</v>
          </cell>
        </row>
        <row r="1486">
          <cell r="E1486">
            <v>10060032</v>
          </cell>
          <cell r="H1486">
            <v>32.380000000000003</v>
          </cell>
          <cell r="I1486">
            <v>1317.47</v>
          </cell>
          <cell r="J1486">
            <v>0</v>
          </cell>
          <cell r="K1486">
            <v>0</v>
          </cell>
          <cell r="M1486">
            <v>0</v>
          </cell>
          <cell r="P1486">
            <v>1317</v>
          </cell>
          <cell r="V1486" t="str">
            <v>Available</v>
          </cell>
        </row>
        <row r="1487">
          <cell r="E1487">
            <v>10060032</v>
          </cell>
          <cell r="H1487">
            <v>9.7600000000000016</v>
          </cell>
          <cell r="I1487">
            <v>391.28999999999996</v>
          </cell>
          <cell r="J1487">
            <v>0</v>
          </cell>
          <cell r="K1487">
            <v>0</v>
          </cell>
          <cell r="M1487">
            <v>0</v>
          </cell>
          <cell r="P1487">
            <v>391</v>
          </cell>
          <cell r="V1487" t="str">
            <v>Available</v>
          </cell>
        </row>
        <row r="1488">
          <cell r="E1488">
            <v>10060032</v>
          </cell>
          <cell r="H1488">
            <v>8.34</v>
          </cell>
          <cell r="I1488">
            <v>445.85</v>
          </cell>
          <cell r="J1488">
            <v>0</v>
          </cell>
          <cell r="K1488">
            <v>0</v>
          </cell>
          <cell r="M1488">
            <v>0</v>
          </cell>
          <cell r="P1488">
            <v>446</v>
          </cell>
          <cell r="V1488" t="str">
            <v>Available</v>
          </cell>
        </row>
        <row r="1489">
          <cell r="E1489">
            <v>10060032</v>
          </cell>
          <cell r="H1489">
            <v>84.759999999999991</v>
          </cell>
          <cell r="I1489">
            <v>3404.15</v>
          </cell>
          <cell r="J1489">
            <v>0</v>
          </cell>
          <cell r="K1489">
            <v>0</v>
          </cell>
          <cell r="M1489">
            <v>0</v>
          </cell>
          <cell r="P1489">
            <v>3404</v>
          </cell>
          <cell r="V1489" t="str">
            <v>Available</v>
          </cell>
        </row>
        <row r="1490">
          <cell r="E1490">
            <v>10060032</v>
          </cell>
          <cell r="H1490">
            <v>5.82</v>
          </cell>
          <cell r="I1490">
            <v>233.78</v>
          </cell>
          <cell r="J1490">
            <v>0</v>
          </cell>
          <cell r="K1490">
            <v>0</v>
          </cell>
          <cell r="M1490">
            <v>0</v>
          </cell>
          <cell r="P1490">
            <v>234</v>
          </cell>
          <cell r="V1490" t="str">
            <v>Available</v>
          </cell>
        </row>
        <row r="1491">
          <cell r="E1491">
            <v>10060032</v>
          </cell>
          <cell r="H1491">
            <v>51.52</v>
          </cell>
          <cell r="I1491">
            <v>2231.08</v>
          </cell>
          <cell r="J1491">
            <v>0</v>
          </cell>
          <cell r="K1491">
            <v>0</v>
          </cell>
          <cell r="M1491">
            <v>0</v>
          </cell>
          <cell r="P1491">
            <v>2231</v>
          </cell>
          <cell r="V1491" t="str">
            <v>Available</v>
          </cell>
        </row>
        <row r="1492">
          <cell r="E1492">
            <v>10060032</v>
          </cell>
          <cell r="H1492">
            <v>74.660000000000011</v>
          </cell>
          <cell r="I1492">
            <v>3959.8900000000008</v>
          </cell>
          <cell r="J1492">
            <v>0</v>
          </cell>
          <cell r="K1492">
            <v>0</v>
          </cell>
          <cell r="M1492">
            <v>0</v>
          </cell>
          <cell r="P1492">
            <v>3960</v>
          </cell>
          <cell r="V1492" t="str">
            <v>Available</v>
          </cell>
        </row>
        <row r="1493">
          <cell r="E1493">
            <v>10060032</v>
          </cell>
          <cell r="H1493">
            <v>11.26</v>
          </cell>
          <cell r="I1493">
            <v>457.07</v>
          </cell>
          <cell r="J1493">
            <v>0</v>
          </cell>
          <cell r="K1493">
            <v>0</v>
          </cell>
          <cell r="M1493">
            <v>0</v>
          </cell>
          <cell r="P1493">
            <v>457</v>
          </cell>
          <cell r="V1493" t="str">
            <v>Available</v>
          </cell>
        </row>
        <row r="1494">
          <cell r="E1494">
            <v>10060032</v>
          </cell>
          <cell r="H1494">
            <v>61.5</v>
          </cell>
          <cell r="I1494">
            <v>2475.0600000000004</v>
          </cell>
          <cell r="J1494">
            <v>0</v>
          </cell>
          <cell r="K1494">
            <v>0</v>
          </cell>
          <cell r="M1494">
            <v>0</v>
          </cell>
          <cell r="P1494">
            <v>2475</v>
          </cell>
          <cell r="V1494" t="str">
            <v>Available</v>
          </cell>
        </row>
        <row r="1495">
          <cell r="E1495">
            <v>10060032</v>
          </cell>
          <cell r="H1495">
            <v>6.76</v>
          </cell>
          <cell r="I1495">
            <v>272.04999999999995</v>
          </cell>
          <cell r="J1495">
            <v>0</v>
          </cell>
          <cell r="K1495">
            <v>0</v>
          </cell>
          <cell r="M1495">
            <v>0</v>
          </cell>
          <cell r="P1495">
            <v>272</v>
          </cell>
          <cell r="V1495" t="str">
            <v>Available</v>
          </cell>
        </row>
        <row r="1496">
          <cell r="E1496">
            <v>10060032</v>
          </cell>
          <cell r="H1496">
            <v>37.840000000000003</v>
          </cell>
          <cell r="I1496">
            <v>1532.25</v>
          </cell>
          <cell r="J1496">
            <v>0</v>
          </cell>
          <cell r="K1496">
            <v>0</v>
          </cell>
          <cell r="M1496">
            <v>0</v>
          </cell>
          <cell r="P1496">
            <v>1532</v>
          </cell>
          <cell r="V1496" t="str">
            <v>Available</v>
          </cell>
        </row>
        <row r="1497">
          <cell r="E1497">
            <v>10060032</v>
          </cell>
          <cell r="H1497">
            <v>46.239999999999995</v>
          </cell>
          <cell r="I1497">
            <v>2203.9400000000005</v>
          </cell>
          <cell r="J1497">
            <v>0</v>
          </cell>
          <cell r="K1497">
            <v>0</v>
          </cell>
          <cell r="M1497">
            <v>0</v>
          </cell>
          <cell r="P1497">
            <v>2204</v>
          </cell>
          <cell r="V1497" t="str">
            <v>Available</v>
          </cell>
        </row>
        <row r="1498">
          <cell r="E1498">
            <v>10060032</v>
          </cell>
          <cell r="H1498">
            <v>8.3000000000000007</v>
          </cell>
          <cell r="I1498">
            <v>388.79</v>
          </cell>
          <cell r="J1498">
            <v>0</v>
          </cell>
          <cell r="K1498">
            <v>0</v>
          </cell>
          <cell r="M1498">
            <v>0</v>
          </cell>
          <cell r="P1498">
            <v>389</v>
          </cell>
          <cell r="V1498" t="str">
            <v>Available</v>
          </cell>
        </row>
        <row r="1499">
          <cell r="E1499">
            <v>10060032</v>
          </cell>
          <cell r="H1499">
            <v>400.78000000000009</v>
          </cell>
          <cell r="I1499">
            <v>30661.82</v>
          </cell>
          <cell r="J1499">
            <v>0</v>
          </cell>
          <cell r="K1499">
            <v>0</v>
          </cell>
          <cell r="M1499">
            <v>0</v>
          </cell>
          <cell r="P1499">
            <v>30662</v>
          </cell>
          <cell r="V1499" t="str">
            <v>Available</v>
          </cell>
        </row>
        <row r="1500">
          <cell r="E1500">
            <v>10060032</v>
          </cell>
          <cell r="H1500">
            <v>2.4</v>
          </cell>
          <cell r="I1500">
            <v>184.44</v>
          </cell>
          <cell r="J1500">
            <v>0</v>
          </cell>
          <cell r="K1500">
            <v>0</v>
          </cell>
          <cell r="M1500">
            <v>0</v>
          </cell>
          <cell r="P1500">
            <v>184</v>
          </cell>
          <cell r="V1500" t="str">
            <v>Available</v>
          </cell>
        </row>
        <row r="1501">
          <cell r="E1501">
            <v>10060032</v>
          </cell>
          <cell r="H1501">
            <v>21.34</v>
          </cell>
          <cell r="I1501">
            <v>1281.2</v>
          </cell>
          <cell r="J1501">
            <v>0</v>
          </cell>
          <cell r="K1501">
            <v>0</v>
          </cell>
          <cell r="M1501">
            <v>0</v>
          </cell>
          <cell r="P1501">
            <v>1281</v>
          </cell>
          <cell r="V1501" t="str">
            <v>Available</v>
          </cell>
        </row>
        <row r="1502">
          <cell r="E1502">
            <v>10060032</v>
          </cell>
          <cell r="H1502">
            <v>27.099999999999998</v>
          </cell>
          <cell r="I1502">
            <v>1837.13</v>
          </cell>
          <cell r="J1502">
            <v>0</v>
          </cell>
          <cell r="K1502">
            <v>0</v>
          </cell>
          <cell r="M1502">
            <v>0</v>
          </cell>
          <cell r="P1502">
            <v>1837</v>
          </cell>
          <cell r="V1502" t="str">
            <v>Available</v>
          </cell>
        </row>
        <row r="1503">
          <cell r="E1503">
            <v>10060032</v>
          </cell>
          <cell r="H1503">
            <v>7.4399999999999995</v>
          </cell>
          <cell r="I1503">
            <v>395.28999999999996</v>
          </cell>
          <cell r="J1503">
            <v>0</v>
          </cell>
          <cell r="K1503">
            <v>0</v>
          </cell>
          <cell r="M1503">
            <v>0</v>
          </cell>
          <cell r="P1503">
            <v>395</v>
          </cell>
          <cell r="V1503" t="str">
            <v>Available</v>
          </cell>
        </row>
        <row r="1504">
          <cell r="E1504">
            <v>10060032</v>
          </cell>
          <cell r="H1504">
            <v>17.02</v>
          </cell>
          <cell r="I1504">
            <v>694.37</v>
          </cell>
          <cell r="J1504">
            <v>0</v>
          </cell>
          <cell r="K1504">
            <v>0</v>
          </cell>
          <cell r="M1504">
            <v>0</v>
          </cell>
          <cell r="P1504">
            <v>694</v>
          </cell>
          <cell r="V1504" t="str">
            <v>Available</v>
          </cell>
        </row>
        <row r="1505">
          <cell r="E1505">
            <v>10060032</v>
          </cell>
          <cell r="H1505">
            <v>9.9</v>
          </cell>
          <cell r="I1505">
            <v>533.46999999999991</v>
          </cell>
          <cell r="J1505">
            <v>0</v>
          </cell>
          <cell r="K1505">
            <v>0</v>
          </cell>
          <cell r="M1505">
            <v>0</v>
          </cell>
          <cell r="P1505">
            <v>533</v>
          </cell>
          <cell r="V1505" t="str">
            <v>Available</v>
          </cell>
        </row>
        <row r="1506">
          <cell r="E1506">
            <v>10060032</v>
          </cell>
          <cell r="H1506">
            <v>34.440000000000005</v>
          </cell>
          <cell r="I1506">
            <v>1896.0899999999997</v>
          </cell>
          <cell r="J1506">
            <v>0</v>
          </cell>
          <cell r="K1506">
            <v>0</v>
          </cell>
          <cell r="M1506">
            <v>0</v>
          </cell>
          <cell r="P1506">
            <v>1896</v>
          </cell>
          <cell r="V1506" t="str">
            <v>Available</v>
          </cell>
        </row>
        <row r="1507">
          <cell r="E1507">
            <v>10060032</v>
          </cell>
          <cell r="H1507">
            <v>14.42</v>
          </cell>
          <cell r="I1507">
            <v>780</v>
          </cell>
          <cell r="J1507">
            <v>0</v>
          </cell>
          <cell r="K1507">
            <v>0</v>
          </cell>
          <cell r="M1507">
            <v>0</v>
          </cell>
          <cell r="P1507">
            <v>780</v>
          </cell>
          <cell r="V1507" t="str">
            <v>Available</v>
          </cell>
        </row>
        <row r="1508">
          <cell r="E1508">
            <v>10060032</v>
          </cell>
          <cell r="H1508">
            <v>126.36000000000001</v>
          </cell>
          <cell r="I1508">
            <v>6456.57</v>
          </cell>
          <cell r="J1508">
            <v>0</v>
          </cell>
          <cell r="K1508">
            <v>0</v>
          </cell>
          <cell r="M1508">
            <v>0</v>
          </cell>
          <cell r="P1508">
            <v>6457</v>
          </cell>
          <cell r="V1508" t="str">
            <v>Available</v>
          </cell>
        </row>
        <row r="1509">
          <cell r="E1509">
            <v>10060032</v>
          </cell>
          <cell r="H1509">
            <v>17.260000000000002</v>
          </cell>
          <cell r="I1509">
            <v>700.47</v>
          </cell>
          <cell r="J1509">
            <v>0</v>
          </cell>
          <cell r="K1509">
            <v>0</v>
          </cell>
          <cell r="M1509">
            <v>0</v>
          </cell>
          <cell r="P1509">
            <v>700</v>
          </cell>
          <cell r="V1509" t="str">
            <v>Available</v>
          </cell>
        </row>
        <row r="1510">
          <cell r="E1510">
            <v>10060032</v>
          </cell>
          <cell r="H1510">
            <v>64.12</v>
          </cell>
          <cell r="I1510">
            <v>2567.7200000000003</v>
          </cell>
          <cell r="J1510">
            <v>0</v>
          </cell>
          <cell r="K1510">
            <v>0</v>
          </cell>
          <cell r="M1510">
            <v>0</v>
          </cell>
          <cell r="P1510">
            <v>2568</v>
          </cell>
          <cell r="V1510" t="str">
            <v>Available</v>
          </cell>
        </row>
        <row r="1511">
          <cell r="E1511">
            <v>10060032</v>
          </cell>
          <cell r="H1511">
            <v>61.839999999999989</v>
          </cell>
          <cell r="I1511">
            <v>3253.05</v>
          </cell>
          <cell r="J1511">
            <v>0</v>
          </cell>
          <cell r="K1511">
            <v>0</v>
          </cell>
          <cell r="M1511">
            <v>0</v>
          </cell>
          <cell r="P1511">
            <v>3253</v>
          </cell>
          <cell r="V1511" t="str">
            <v>Available</v>
          </cell>
        </row>
        <row r="1512">
          <cell r="E1512">
            <v>10060032</v>
          </cell>
          <cell r="H1512">
            <v>76.16</v>
          </cell>
          <cell r="I1512">
            <v>5851.04</v>
          </cell>
          <cell r="J1512">
            <v>0</v>
          </cell>
          <cell r="K1512">
            <v>0</v>
          </cell>
          <cell r="M1512">
            <v>0</v>
          </cell>
          <cell r="P1512">
            <v>5851</v>
          </cell>
          <cell r="V1512" t="str">
            <v>Available</v>
          </cell>
        </row>
        <row r="1513">
          <cell r="E1513">
            <v>10060032</v>
          </cell>
          <cell r="H1513">
            <v>194.23999999999998</v>
          </cell>
          <cell r="I1513">
            <v>10116.170000000002</v>
          </cell>
          <cell r="J1513">
            <v>0</v>
          </cell>
          <cell r="K1513">
            <v>0</v>
          </cell>
          <cell r="M1513">
            <v>0</v>
          </cell>
          <cell r="P1513">
            <v>10116</v>
          </cell>
          <cell r="V1513" t="str">
            <v>Available</v>
          </cell>
        </row>
        <row r="1514">
          <cell r="E1514">
            <v>10060032</v>
          </cell>
          <cell r="H1514">
            <v>31.84</v>
          </cell>
          <cell r="I1514">
            <v>1286.73</v>
          </cell>
          <cell r="J1514">
            <v>0</v>
          </cell>
          <cell r="K1514">
            <v>0</v>
          </cell>
          <cell r="M1514">
            <v>0</v>
          </cell>
          <cell r="P1514">
            <v>1287</v>
          </cell>
          <cell r="V1514" t="str">
            <v>Available</v>
          </cell>
        </row>
        <row r="1515">
          <cell r="E1515">
            <v>10060032</v>
          </cell>
          <cell r="H1515">
            <v>15.36</v>
          </cell>
          <cell r="I1515">
            <v>838.91000000000008</v>
          </cell>
          <cell r="J1515">
            <v>0</v>
          </cell>
          <cell r="K1515">
            <v>0</v>
          </cell>
          <cell r="M1515">
            <v>0</v>
          </cell>
          <cell r="P1515">
            <v>839</v>
          </cell>
          <cell r="V1515" t="str">
            <v>Available</v>
          </cell>
        </row>
        <row r="1516">
          <cell r="E1516">
            <v>10060032</v>
          </cell>
          <cell r="H1516">
            <v>39.999999999999993</v>
          </cell>
          <cell r="I1516">
            <v>2154.12</v>
          </cell>
          <cell r="J1516">
            <v>0</v>
          </cell>
          <cell r="K1516">
            <v>0</v>
          </cell>
          <cell r="M1516">
            <v>0</v>
          </cell>
          <cell r="P1516">
            <v>2154</v>
          </cell>
          <cell r="V1516" t="str">
            <v>Available</v>
          </cell>
        </row>
        <row r="1517">
          <cell r="E1517">
            <v>10060032</v>
          </cell>
          <cell r="H1517">
            <v>13.64</v>
          </cell>
          <cell r="I1517">
            <v>552.94999999999993</v>
          </cell>
          <cell r="J1517">
            <v>0</v>
          </cell>
          <cell r="K1517">
            <v>0</v>
          </cell>
          <cell r="M1517">
            <v>0</v>
          </cell>
          <cell r="P1517">
            <v>553</v>
          </cell>
          <cell r="V1517" t="str">
            <v>Available</v>
          </cell>
        </row>
        <row r="1518">
          <cell r="E1518">
            <v>10060032</v>
          </cell>
          <cell r="H1518">
            <v>12.98</v>
          </cell>
          <cell r="I1518">
            <v>527.49</v>
          </cell>
          <cell r="J1518">
            <v>0</v>
          </cell>
          <cell r="K1518">
            <v>0</v>
          </cell>
          <cell r="M1518">
            <v>0</v>
          </cell>
          <cell r="P1518">
            <v>527</v>
          </cell>
          <cell r="V1518" t="str">
            <v>Available</v>
          </cell>
        </row>
        <row r="1519">
          <cell r="E1519">
            <v>10060032</v>
          </cell>
          <cell r="H1519">
            <v>31.68</v>
          </cell>
          <cell r="I1519">
            <v>1266.5800000000002</v>
          </cell>
          <cell r="J1519">
            <v>0</v>
          </cell>
          <cell r="K1519">
            <v>0</v>
          </cell>
          <cell r="M1519">
            <v>0</v>
          </cell>
          <cell r="P1519">
            <v>1267</v>
          </cell>
          <cell r="V1519" t="str">
            <v>Available</v>
          </cell>
        </row>
        <row r="1520">
          <cell r="E1520">
            <v>10060032</v>
          </cell>
          <cell r="H1520">
            <v>7.4799999999999995</v>
          </cell>
          <cell r="I1520">
            <v>302.98</v>
          </cell>
          <cell r="J1520">
            <v>0</v>
          </cell>
          <cell r="K1520">
            <v>0</v>
          </cell>
          <cell r="M1520">
            <v>0</v>
          </cell>
          <cell r="P1520">
            <v>303</v>
          </cell>
          <cell r="V1520" t="str">
            <v>Available</v>
          </cell>
        </row>
        <row r="1521">
          <cell r="E1521">
            <v>10060032</v>
          </cell>
          <cell r="H1521">
            <v>40.24</v>
          </cell>
          <cell r="I1521">
            <v>2175.7099999999996</v>
          </cell>
          <cell r="J1521">
            <v>0</v>
          </cell>
          <cell r="K1521">
            <v>0</v>
          </cell>
          <cell r="M1521">
            <v>0</v>
          </cell>
          <cell r="P1521">
            <v>2176</v>
          </cell>
          <cell r="V1521" t="str">
            <v>Available</v>
          </cell>
        </row>
        <row r="1522">
          <cell r="E1522">
            <v>10060032</v>
          </cell>
          <cell r="H1522">
            <v>23.34</v>
          </cell>
          <cell r="I1522">
            <v>944.74999999999989</v>
          </cell>
          <cell r="J1522">
            <v>0</v>
          </cell>
          <cell r="K1522">
            <v>0</v>
          </cell>
          <cell r="M1522">
            <v>0</v>
          </cell>
          <cell r="P1522">
            <v>945</v>
          </cell>
          <cell r="V1522" t="str">
            <v>Available</v>
          </cell>
        </row>
        <row r="1523">
          <cell r="E1523">
            <v>10060032</v>
          </cell>
          <cell r="H1523">
            <v>39.120000000000005</v>
          </cell>
          <cell r="I1523">
            <v>1608.31</v>
          </cell>
          <cell r="J1523">
            <v>0</v>
          </cell>
          <cell r="K1523">
            <v>0</v>
          </cell>
          <cell r="M1523">
            <v>0</v>
          </cell>
          <cell r="P1523">
            <v>1608</v>
          </cell>
          <cell r="V1523" t="str">
            <v>Available</v>
          </cell>
        </row>
        <row r="1524">
          <cell r="E1524">
            <v>10060032</v>
          </cell>
          <cell r="H1524">
            <v>186.42000000000002</v>
          </cell>
          <cell r="I1524">
            <v>14723.52</v>
          </cell>
          <cell r="J1524">
            <v>0</v>
          </cell>
          <cell r="K1524">
            <v>0</v>
          </cell>
          <cell r="M1524">
            <v>0</v>
          </cell>
          <cell r="P1524">
            <v>14724</v>
          </cell>
          <cell r="V1524" t="str">
            <v>Available</v>
          </cell>
        </row>
        <row r="1525">
          <cell r="E1525">
            <v>10060032</v>
          </cell>
          <cell r="H1525">
            <v>102.78</v>
          </cell>
          <cell r="I1525">
            <v>4159.79</v>
          </cell>
          <cell r="J1525">
            <v>0</v>
          </cell>
          <cell r="K1525">
            <v>0</v>
          </cell>
          <cell r="M1525">
            <v>0</v>
          </cell>
          <cell r="P1525">
            <v>4160</v>
          </cell>
          <cell r="V1525" t="str">
            <v>Available</v>
          </cell>
        </row>
        <row r="1526">
          <cell r="E1526">
            <v>10060032</v>
          </cell>
          <cell r="H1526">
            <v>7.379999999999999</v>
          </cell>
          <cell r="I1526">
            <v>303.06</v>
          </cell>
          <cell r="J1526">
            <v>0</v>
          </cell>
          <cell r="K1526">
            <v>0</v>
          </cell>
          <cell r="M1526">
            <v>0</v>
          </cell>
          <cell r="P1526">
            <v>303</v>
          </cell>
          <cell r="V1526" t="str">
            <v>Available</v>
          </cell>
        </row>
        <row r="1527">
          <cell r="E1527">
            <v>10060032</v>
          </cell>
          <cell r="H1527">
            <v>42.080000000000005</v>
          </cell>
          <cell r="I1527">
            <v>1834.71</v>
          </cell>
          <cell r="J1527">
            <v>0</v>
          </cell>
          <cell r="K1527">
            <v>0</v>
          </cell>
          <cell r="M1527">
            <v>0</v>
          </cell>
          <cell r="P1527">
            <v>1835</v>
          </cell>
          <cell r="V1527" t="str">
            <v>Available</v>
          </cell>
        </row>
        <row r="1528">
          <cell r="E1528">
            <v>10060032</v>
          </cell>
          <cell r="H1528">
            <v>37.18</v>
          </cell>
          <cell r="I1528">
            <v>1571.51</v>
          </cell>
          <cell r="J1528">
            <v>0</v>
          </cell>
          <cell r="K1528">
            <v>0</v>
          </cell>
          <cell r="M1528">
            <v>0</v>
          </cell>
          <cell r="P1528">
            <v>1572</v>
          </cell>
          <cell r="V1528" t="str">
            <v>Available</v>
          </cell>
        </row>
        <row r="1529">
          <cell r="E1529">
            <v>10060032</v>
          </cell>
          <cell r="H1529">
            <v>37.620000000000005</v>
          </cell>
          <cell r="I1529">
            <v>1513.84</v>
          </cell>
          <cell r="J1529">
            <v>0</v>
          </cell>
          <cell r="K1529">
            <v>0</v>
          </cell>
          <cell r="M1529">
            <v>0</v>
          </cell>
          <cell r="P1529">
            <v>1514</v>
          </cell>
          <cell r="V1529" t="str">
            <v>Available</v>
          </cell>
        </row>
        <row r="1530">
          <cell r="E1530">
            <v>10060032</v>
          </cell>
          <cell r="H1530">
            <v>2.2599999999999998</v>
          </cell>
          <cell r="I1530">
            <v>91.73</v>
          </cell>
          <cell r="J1530">
            <v>0</v>
          </cell>
          <cell r="K1530">
            <v>0</v>
          </cell>
          <cell r="M1530">
            <v>0</v>
          </cell>
          <cell r="P1530">
            <v>92</v>
          </cell>
          <cell r="V1530" t="str">
            <v>Available</v>
          </cell>
        </row>
        <row r="1531">
          <cell r="E1531">
            <v>10060032</v>
          </cell>
          <cell r="H1531">
            <v>106.55999999999999</v>
          </cell>
          <cell r="I1531">
            <v>4302.28</v>
          </cell>
          <cell r="J1531">
            <v>0</v>
          </cell>
          <cell r="K1531">
            <v>0</v>
          </cell>
          <cell r="M1531">
            <v>0</v>
          </cell>
          <cell r="P1531">
            <v>4302</v>
          </cell>
          <cell r="V1531" t="str">
            <v>Available</v>
          </cell>
        </row>
        <row r="1532">
          <cell r="E1532">
            <v>10060032</v>
          </cell>
          <cell r="H1532">
            <v>161.34000000000003</v>
          </cell>
          <cell r="I1532">
            <v>6484.7</v>
          </cell>
          <cell r="J1532">
            <v>0</v>
          </cell>
          <cell r="K1532">
            <v>0</v>
          </cell>
          <cell r="M1532">
            <v>0</v>
          </cell>
          <cell r="P1532">
            <v>6485</v>
          </cell>
          <cell r="V1532" t="str">
            <v>Available</v>
          </cell>
        </row>
        <row r="1533">
          <cell r="E1533">
            <v>10060032</v>
          </cell>
          <cell r="H1533">
            <v>9.58</v>
          </cell>
          <cell r="I1533">
            <v>726.26</v>
          </cell>
          <cell r="J1533">
            <v>0</v>
          </cell>
          <cell r="K1533">
            <v>0</v>
          </cell>
          <cell r="M1533">
            <v>0</v>
          </cell>
          <cell r="P1533">
            <v>726</v>
          </cell>
          <cell r="V1533" t="str">
            <v>Available</v>
          </cell>
        </row>
        <row r="1534">
          <cell r="E1534">
            <v>10060032</v>
          </cell>
          <cell r="H1534">
            <v>184.92000000000002</v>
          </cell>
          <cell r="I1534">
            <v>14767.45</v>
          </cell>
          <cell r="J1534">
            <v>0</v>
          </cell>
          <cell r="K1534">
            <v>0</v>
          </cell>
          <cell r="M1534">
            <v>0</v>
          </cell>
          <cell r="P1534">
            <v>14767</v>
          </cell>
          <cell r="V1534" t="str">
            <v>Available</v>
          </cell>
        </row>
        <row r="1535">
          <cell r="E1535">
            <v>10060049</v>
          </cell>
          <cell r="H1535">
            <v>80.509999999999991</v>
          </cell>
          <cell r="I1535">
            <v>3232.2200000000003</v>
          </cell>
          <cell r="J1535">
            <v>0</v>
          </cell>
          <cell r="K1535">
            <v>0</v>
          </cell>
          <cell r="M1535">
            <v>0</v>
          </cell>
          <cell r="P1535">
            <v>3232</v>
          </cell>
          <cell r="V1535" t="str">
            <v>Available</v>
          </cell>
        </row>
        <row r="1536">
          <cell r="E1536">
            <v>10060049</v>
          </cell>
          <cell r="H1536">
            <v>27.900000000000006</v>
          </cell>
          <cell r="I1536">
            <v>1075.24</v>
          </cell>
          <cell r="J1536">
            <v>0</v>
          </cell>
          <cell r="K1536">
            <v>0</v>
          </cell>
          <cell r="M1536">
            <v>0</v>
          </cell>
          <cell r="P1536">
            <v>1075</v>
          </cell>
          <cell r="V1536" t="str">
            <v>Available</v>
          </cell>
        </row>
        <row r="1537">
          <cell r="E1537">
            <v>10060049</v>
          </cell>
          <cell r="H1537">
            <v>24.400000000000002</v>
          </cell>
          <cell r="I1537">
            <v>1074.77</v>
          </cell>
          <cell r="J1537">
            <v>0</v>
          </cell>
          <cell r="K1537">
            <v>0</v>
          </cell>
          <cell r="M1537">
            <v>0</v>
          </cell>
          <cell r="P1537">
            <v>1075</v>
          </cell>
          <cell r="V1537" t="str">
            <v>Available</v>
          </cell>
        </row>
        <row r="1538">
          <cell r="E1538">
            <v>10060049</v>
          </cell>
          <cell r="H1538">
            <v>64.740000000000009</v>
          </cell>
          <cell r="I1538">
            <v>2800.7500000000005</v>
          </cell>
          <cell r="J1538">
            <v>0</v>
          </cell>
          <cell r="K1538">
            <v>0</v>
          </cell>
          <cell r="M1538">
            <v>0</v>
          </cell>
          <cell r="P1538">
            <v>2801</v>
          </cell>
          <cell r="V1538" t="str">
            <v>Available</v>
          </cell>
        </row>
        <row r="1539">
          <cell r="E1539">
            <v>10060049</v>
          </cell>
          <cell r="H1539">
            <v>16</v>
          </cell>
          <cell r="I1539">
            <v>1051.33</v>
          </cell>
          <cell r="J1539">
            <v>0</v>
          </cell>
          <cell r="K1539">
            <v>0</v>
          </cell>
          <cell r="M1539">
            <v>0</v>
          </cell>
          <cell r="P1539">
            <v>1051</v>
          </cell>
          <cell r="V1539" t="str">
            <v>Available</v>
          </cell>
        </row>
        <row r="1540">
          <cell r="E1540">
            <v>10060049</v>
          </cell>
          <cell r="H1540">
            <v>14.469999999999999</v>
          </cell>
          <cell r="I1540">
            <v>643.67999999999995</v>
          </cell>
          <cell r="J1540">
            <v>0</v>
          </cell>
          <cell r="K1540">
            <v>0</v>
          </cell>
          <cell r="M1540">
            <v>0</v>
          </cell>
          <cell r="P1540">
            <v>644</v>
          </cell>
          <cell r="V1540" t="str">
            <v>Available</v>
          </cell>
        </row>
        <row r="1541">
          <cell r="E1541">
            <v>10060049</v>
          </cell>
          <cell r="H1541">
            <v>23.41</v>
          </cell>
          <cell r="I1541">
            <v>1255.2</v>
          </cell>
          <cell r="J1541">
            <v>0</v>
          </cell>
          <cell r="K1541">
            <v>0</v>
          </cell>
          <cell r="M1541">
            <v>0</v>
          </cell>
          <cell r="P1541">
            <v>1255</v>
          </cell>
          <cell r="V1541" t="str">
            <v>Available</v>
          </cell>
        </row>
        <row r="1542">
          <cell r="E1542">
            <v>10060049</v>
          </cell>
          <cell r="H1542">
            <v>35.459999999999994</v>
          </cell>
          <cell r="I1542">
            <v>1689.0400000000002</v>
          </cell>
          <cell r="J1542">
            <v>0</v>
          </cell>
          <cell r="K1542">
            <v>0</v>
          </cell>
          <cell r="M1542">
            <v>0</v>
          </cell>
          <cell r="P1542">
            <v>1689</v>
          </cell>
          <cell r="V1542" t="str">
            <v>Available</v>
          </cell>
        </row>
        <row r="1543">
          <cell r="E1543">
            <v>10060049</v>
          </cell>
          <cell r="H1543">
            <v>13.62</v>
          </cell>
          <cell r="I1543">
            <v>756.2700000000001</v>
          </cell>
          <cell r="J1543">
            <v>0</v>
          </cell>
          <cell r="K1543">
            <v>0</v>
          </cell>
          <cell r="M1543">
            <v>0</v>
          </cell>
          <cell r="P1543">
            <v>756</v>
          </cell>
          <cell r="V1543" t="str">
            <v>Available</v>
          </cell>
        </row>
        <row r="1544">
          <cell r="E1544">
            <v>10060049</v>
          </cell>
          <cell r="H1544">
            <v>6.9700000000000006</v>
          </cell>
          <cell r="I1544">
            <v>313.84000000000003</v>
          </cell>
          <cell r="J1544">
            <v>0</v>
          </cell>
          <cell r="K1544">
            <v>0</v>
          </cell>
          <cell r="M1544">
            <v>0</v>
          </cell>
          <cell r="P1544">
            <v>314</v>
          </cell>
          <cell r="V1544" t="str">
            <v>Available</v>
          </cell>
        </row>
        <row r="1545">
          <cell r="E1545">
            <v>10060049</v>
          </cell>
          <cell r="H1545">
            <v>5.21</v>
          </cell>
          <cell r="I1545">
            <v>321.29000000000002</v>
          </cell>
          <cell r="J1545">
            <v>0</v>
          </cell>
          <cell r="K1545">
            <v>0</v>
          </cell>
          <cell r="M1545">
            <v>0</v>
          </cell>
          <cell r="P1545">
            <v>321</v>
          </cell>
          <cell r="V1545" t="str">
            <v>Available</v>
          </cell>
        </row>
        <row r="1546">
          <cell r="E1546">
            <v>10060049</v>
          </cell>
          <cell r="H1546">
            <v>7.52</v>
          </cell>
          <cell r="I1546">
            <v>401.96</v>
          </cell>
          <cell r="J1546">
            <v>0</v>
          </cell>
          <cell r="K1546">
            <v>0</v>
          </cell>
          <cell r="M1546">
            <v>0</v>
          </cell>
          <cell r="P1546">
            <v>402</v>
          </cell>
          <cell r="V1546" t="str">
            <v>Available</v>
          </cell>
        </row>
        <row r="1547">
          <cell r="E1547">
            <v>10060049</v>
          </cell>
          <cell r="H1547">
            <v>44.78</v>
          </cell>
          <cell r="I1547">
            <v>3079.98</v>
          </cell>
          <cell r="J1547">
            <v>0</v>
          </cell>
          <cell r="K1547">
            <v>0</v>
          </cell>
          <cell r="M1547">
            <v>0</v>
          </cell>
          <cell r="P1547">
            <v>3080</v>
          </cell>
          <cell r="V1547" t="str">
            <v>Available</v>
          </cell>
        </row>
        <row r="1548">
          <cell r="E1548">
            <v>10060049</v>
          </cell>
          <cell r="H1548">
            <v>9.3600000000000012</v>
          </cell>
          <cell r="I1548">
            <v>461.69</v>
          </cell>
          <cell r="J1548">
            <v>0</v>
          </cell>
          <cell r="K1548">
            <v>0</v>
          </cell>
          <cell r="M1548">
            <v>0</v>
          </cell>
          <cell r="P1548">
            <v>462</v>
          </cell>
          <cell r="V1548" t="str">
            <v>Available</v>
          </cell>
        </row>
        <row r="1549">
          <cell r="E1549">
            <v>10060049</v>
          </cell>
          <cell r="H1549">
            <v>10.5</v>
          </cell>
          <cell r="I1549">
            <v>555.35</v>
          </cell>
          <cell r="J1549">
            <v>0</v>
          </cell>
          <cell r="K1549">
            <v>0</v>
          </cell>
          <cell r="M1549">
            <v>0</v>
          </cell>
          <cell r="P1549">
            <v>555</v>
          </cell>
          <cell r="V1549" t="str">
            <v>Available</v>
          </cell>
        </row>
        <row r="1550">
          <cell r="E1550">
            <v>10060049</v>
          </cell>
          <cell r="H1550">
            <v>7.34</v>
          </cell>
          <cell r="I1550">
            <v>272.07</v>
          </cell>
          <cell r="J1550">
            <v>0</v>
          </cell>
          <cell r="K1550">
            <v>0</v>
          </cell>
          <cell r="M1550">
            <v>0</v>
          </cell>
          <cell r="P1550">
            <v>272</v>
          </cell>
          <cell r="V1550" t="str">
            <v>Available</v>
          </cell>
        </row>
        <row r="1551">
          <cell r="E1551">
            <v>10060049</v>
          </cell>
          <cell r="H1551">
            <v>25.139999999999997</v>
          </cell>
          <cell r="I1551">
            <v>1112.94</v>
          </cell>
          <cell r="J1551">
            <v>0</v>
          </cell>
          <cell r="K1551">
            <v>0</v>
          </cell>
          <cell r="M1551">
            <v>0</v>
          </cell>
          <cell r="P1551">
            <v>1113</v>
          </cell>
          <cell r="V1551" t="str">
            <v>Available</v>
          </cell>
        </row>
        <row r="1552">
          <cell r="E1552">
            <v>10060049</v>
          </cell>
          <cell r="H1552">
            <v>13.180000000000001</v>
          </cell>
          <cell r="I1552">
            <v>602.01</v>
          </cell>
          <cell r="J1552">
            <v>0</v>
          </cell>
          <cell r="K1552">
            <v>0</v>
          </cell>
          <cell r="M1552">
            <v>0</v>
          </cell>
          <cell r="P1552">
            <v>602</v>
          </cell>
          <cell r="V1552" t="str">
            <v>Available</v>
          </cell>
        </row>
        <row r="1553">
          <cell r="E1553">
            <v>10060049</v>
          </cell>
          <cell r="H1553">
            <v>30.66</v>
          </cell>
          <cell r="I1553">
            <v>1132.03</v>
          </cell>
          <cell r="J1553">
            <v>0</v>
          </cell>
          <cell r="K1553">
            <v>0</v>
          </cell>
          <cell r="M1553">
            <v>0</v>
          </cell>
          <cell r="P1553">
            <v>1132</v>
          </cell>
          <cell r="V1553" t="str">
            <v>Available</v>
          </cell>
        </row>
        <row r="1554">
          <cell r="E1554">
            <v>10060049</v>
          </cell>
          <cell r="H1554">
            <v>9.43</v>
          </cell>
          <cell r="I1554">
            <v>359.52</v>
          </cell>
          <cell r="J1554">
            <v>0</v>
          </cell>
          <cell r="K1554">
            <v>0</v>
          </cell>
          <cell r="M1554">
            <v>0</v>
          </cell>
          <cell r="P1554">
            <v>360</v>
          </cell>
          <cell r="V1554" t="str">
            <v>Available</v>
          </cell>
        </row>
        <row r="1555">
          <cell r="E1555">
            <v>10060049</v>
          </cell>
          <cell r="H1555">
            <v>7.38</v>
          </cell>
          <cell r="I1555">
            <v>244.92</v>
          </cell>
          <cell r="J1555">
            <v>0</v>
          </cell>
          <cell r="K1555">
            <v>0</v>
          </cell>
          <cell r="M1555">
            <v>0</v>
          </cell>
          <cell r="P1555">
            <v>245</v>
          </cell>
          <cell r="V1555" t="str">
            <v>Available</v>
          </cell>
        </row>
        <row r="1556">
          <cell r="E1556">
            <v>10060049</v>
          </cell>
          <cell r="H1556">
            <v>6.6999999999999993</v>
          </cell>
          <cell r="I1556">
            <v>243.12000000000003</v>
          </cell>
          <cell r="J1556">
            <v>0</v>
          </cell>
          <cell r="K1556">
            <v>0</v>
          </cell>
          <cell r="M1556">
            <v>0</v>
          </cell>
          <cell r="P1556">
            <v>243</v>
          </cell>
          <cell r="V1556" t="str">
            <v>Available</v>
          </cell>
        </row>
        <row r="1557">
          <cell r="E1557">
            <v>10060049</v>
          </cell>
          <cell r="H1557">
            <v>8.49</v>
          </cell>
          <cell r="I1557">
            <v>302.39000000000004</v>
          </cell>
          <cell r="J1557">
            <v>0</v>
          </cell>
          <cell r="K1557">
            <v>0</v>
          </cell>
          <cell r="M1557">
            <v>0</v>
          </cell>
          <cell r="P1557">
            <v>302</v>
          </cell>
          <cell r="V1557" t="str">
            <v>Available</v>
          </cell>
        </row>
        <row r="1558">
          <cell r="E1558">
            <v>10060049</v>
          </cell>
          <cell r="H1558">
            <v>37.39</v>
          </cell>
          <cell r="I1558">
            <v>1577.41</v>
          </cell>
          <cell r="J1558">
            <v>0</v>
          </cell>
          <cell r="K1558">
            <v>0</v>
          </cell>
          <cell r="M1558">
            <v>0</v>
          </cell>
          <cell r="P1558">
            <v>1577</v>
          </cell>
          <cell r="V1558" t="str">
            <v>Available</v>
          </cell>
        </row>
        <row r="1559">
          <cell r="E1559">
            <v>10060049</v>
          </cell>
          <cell r="H1559">
            <v>31.269999999999996</v>
          </cell>
          <cell r="I1559">
            <v>1560.74</v>
          </cell>
          <cell r="J1559">
            <v>0</v>
          </cell>
          <cell r="K1559">
            <v>0</v>
          </cell>
          <cell r="M1559">
            <v>0</v>
          </cell>
          <cell r="P1559">
            <v>1561</v>
          </cell>
          <cell r="V1559" t="str">
            <v>Available</v>
          </cell>
        </row>
        <row r="1560">
          <cell r="E1560">
            <v>10060049</v>
          </cell>
          <cell r="H1560">
            <v>47.519999999999996</v>
          </cell>
          <cell r="I1560">
            <v>1942.2299999999998</v>
          </cell>
          <cell r="J1560">
            <v>0</v>
          </cell>
          <cell r="K1560">
            <v>0</v>
          </cell>
          <cell r="M1560">
            <v>0</v>
          </cell>
          <cell r="P1560">
            <v>1942</v>
          </cell>
          <cell r="V1560" t="str">
            <v>Available</v>
          </cell>
        </row>
        <row r="1561">
          <cell r="E1561">
            <v>10060050</v>
          </cell>
          <cell r="H1561">
            <v>9.5500000000000007</v>
          </cell>
          <cell r="I1561">
            <v>432.1</v>
          </cell>
          <cell r="J1561">
            <v>0</v>
          </cell>
          <cell r="K1561">
            <v>432.1</v>
          </cell>
          <cell r="M1561">
            <v>0</v>
          </cell>
          <cell r="P1561">
            <v>0</v>
          </cell>
          <cell r="V1561" t="str">
            <v>Not Available</v>
          </cell>
        </row>
        <row r="1562">
          <cell r="E1562">
            <v>10060050</v>
          </cell>
          <cell r="H1562">
            <v>7.25</v>
          </cell>
          <cell r="I1562">
            <v>320.45</v>
          </cell>
          <cell r="J1562">
            <v>0</v>
          </cell>
          <cell r="K1562">
            <v>0</v>
          </cell>
          <cell r="M1562">
            <v>0</v>
          </cell>
          <cell r="P1562">
            <v>320</v>
          </cell>
          <cell r="V1562" t="str">
            <v>Available</v>
          </cell>
        </row>
        <row r="1563">
          <cell r="E1563">
            <v>10060050</v>
          </cell>
          <cell r="H1563">
            <v>21.97</v>
          </cell>
          <cell r="I1563">
            <v>1066.6500000000001</v>
          </cell>
          <cell r="J1563">
            <v>0</v>
          </cell>
          <cell r="K1563">
            <v>0</v>
          </cell>
          <cell r="M1563">
            <v>0</v>
          </cell>
          <cell r="P1563">
            <v>1067</v>
          </cell>
          <cell r="V1563" t="str">
            <v>Available</v>
          </cell>
        </row>
        <row r="1564">
          <cell r="E1564">
            <v>10060050</v>
          </cell>
          <cell r="H1564">
            <v>107.45999999999998</v>
          </cell>
          <cell r="I1564">
            <v>5093.3399999999992</v>
          </cell>
          <cell r="J1564">
            <v>0</v>
          </cell>
          <cell r="K1564">
            <v>0</v>
          </cell>
          <cell r="M1564">
            <v>0</v>
          </cell>
          <cell r="P1564">
            <v>5093</v>
          </cell>
          <cell r="V1564" t="str">
            <v>Available</v>
          </cell>
        </row>
        <row r="1565">
          <cell r="E1565">
            <v>10060050</v>
          </cell>
          <cell r="H1565">
            <v>11.290000000000001</v>
          </cell>
          <cell r="I1565">
            <v>469.51</v>
          </cell>
          <cell r="J1565">
            <v>0</v>
          </cell>
          <cell r="K1565">
            <v>0</v>
          </cell>
          <cell r="M1565">
            <v>0</v>
          </cell>
          <cell r="P1565">
            <v>470</v>
          </cell>
          <cell r="V1565" t="str">
            <v>Available</v>
          </cell>
        </row>
        <row r="1566">
          <cell r="E1566">
            <v>10060050</v>
          </cell>
          <cell r="H1566">
            <v>37.359999999999992</v>
          </cell>
          <cell r="I1566">
            <v>1901.33</v>
          </cell>
          <cell r="J1566">
            <v>0</v>
          </cell>
          <cell r="K1566">
            <v>0</v>
          </cell>
          <cell r="M1566">
            <v>0</v>
          </cell>
          <cell r="P1566">
            <v>1901</v>
          </cell>
          <cell r="V1566" t="str">
            <v>Available</v>
          </cell>
        </row>
        <row r="1567">
          <cell r="E1567">
            <v>10060050</v>
          </cell>
          <cell r="H1567">
            <v>8.81</v>
          </cell>
          <cell r="I1567">
            <v>362.09</v>
          </cell>
          <cell r="J1567">
            <v>0</v>
          </cell>
          <cell r="K1567">
            <v>0</v>
          </cell>
          <cell r="M1567">
            <v>0</v>
          </cell>
          <cell r="P1567">
            <v>362</v>
          </cell>
          <cell r="V1567" t="str">
            <v>Available</v>
          </cell>
        </row>
        <row r="1568">
          <cell r="E1568">
            <v>10060050</v>
          </cell>
          <cell r="H1568">
            <v>4.7300000000000004</v>
          </cell>
          <cell r="I1568">
            <v>198.57</v>
          </cell>
          <cell r="J1568">
            <v>0</v>
          </cell>
          <cell r="K1568">
            <v>0</v>
          </cell>
          <cell r="M1568">
            <v>0</v>
          </cell>
          <cell r="P1568">
            <v>199</v>
          </cell>
          <cell r="V1568" t="str">
            <v>Available</v>
          </cell>
        </row>
        <row r="1569">
          <cell r="E1569">
            <v>10060050</v>
          </cell>
          <cell r="H1569">
            <v>7.58</v>
          </cell>
          <cell r="I1569">
            <v>577.58000000000004</v>
          </cell>
          <cell r="J1569">
            <v>0</v>
          </cell>
          <cell r="K1569">
            <v>0</v>
          </cell>
          <cell r="M1569">
            <v>0</v>
          </cell>
          <cell r="P1569">
            <v>578</v>
          </cell>
          <cell r="V1569" t="str">
            <v>Available</v>
          </cell>
        </row>
        <row r="1570">
          <cell r="E1570">
            <v>10060050</v>
          </cell>
          <cell r="H1570">
            <v>11.86</v>
          </cell>
          <cell r="I1570">
            <v>697.26</v>
          </cell>
          <cell r="J1570">
            <v>0</v>
          </cell>
          <cell r="K1570">
            <v>0</v>
          </cell>
          <cell r="M1570">
            <v>0</v>
          </cell>
          <cell r="P1570">
            <v>697</v>
          </cell>
          <cell r="V1570" t="str">
            <v>Available</v>
          </cell>
        </row>
        <row r="1571">
          <cell r="E1571">
            <v>10060050</v>
          </cell>
          <cell r="H1571">
            <v>17.809999999999995</v>
          </cell>
          <cell r="I1571">
            <v>638.05000000000007</v>
          </cell>
          <cell r="J1571">
            <v>0</v>
          </cell>
          <cell r="K1571">
            <v>0</v>
          </cell>
          <cell r="M1571">
            <v>0</v>
          </cell>
          <cell r="P1571">
            <v>638</v>
          </cell>
          <cell r="V1571" t="str">
            <v>Available</v>
          </cell>
        </row>
        <row r="1572">
          <cell r="E1572">
            <v>10060050</v>
          </cell>
          <cell r="H1572">
            <v>7.42</v>
          </cell>
          <cell r="I1572">
            <v>494.26</v>
          </cell>
          <cell r="J1572">
            <v>0</v>
          </cell>
          <cell r="K1572">
            <v>0</v>
          </cell>
          <cell r="M1572">
            <v>0</v>
          </cell>
          <cell r="P1572">
            <v>494</v>
          </cell>
          <cell r="V1572" t="str">
            <v>Available</v>
          </cell>
        </row>
        <row r="1573">
          <cell r="E1573">
            <v>10060050</v>
          </cell>
          <cell r="H1573">
            <v>11.75</v>
          </cell>
          <cell r="I1573">
            <v>515.89</v>
          </cell>
          <cell r="J1573">
            <v>0</v>
          </cell>
          <cell r="K1573">
            <v>0</v>
          </cell>
          <cell r="M1573">
            <v>0</v>
          </cell>
          <cell r="P1573">
            <v>516</v>
          </cell>
          <cell r="V1573" t="str">
            <v>Available</v>
          </cell>
        </row>
        <row r="1574">
          <cell r="E1574">
            <v>10060050</v>
          </cell>
          <cell r="H1574">
            <v>90.91</v>
          </cell>
          <cell r="I1574">
            <v>3241.3500000000004</v>
          </cell>
          <cell r="J1574">
            <v>0</v>
          </cell>
          <cell r="K1574">
            <v>0</v>
          </cell>
          <cell r="M1574">
            <v>0</v>
          </cell>
          <cell r="P1574">
            <v>3241</v>
          </cell>
          <cell r="V1574" t="str">
            <v>Available</v>
          </cell>
        </row>
        <row r="1575">
          <cell r="E1575">
            <v>10060050</v>
          </cell>
          <cell r="H1575">
            <v>35.75</v>
          </cell>
          <cell r="I1575">
            <v>2305.58</v>
          </cell>
          <cell r="J1575">
            <v>0</v>
          </cell>
          <cell r="K1575">
            <v>0</v>
          </cell>
          <cell r="M1575">
            <v>0</v>
          </cell>
          <cell r="P1575">
            <v>2306</v>
          </cell>
          <cell r="V1575" t="str">
            <v>Available</v>
          </cell>
        </row>
        <row r="1576">
          <cell r="E1576">
            <v>10060050</v>
          </cell>
          <cell r="H1576">
            <v>32.280000000000008</v>
          </cell>
          <cell r="I1576">
            <v>1204.5</v>
          </cell>
          <cell r="J1576">
            <v>0</v>
          </cell>
          <cell r="K1576">
            <v>0</v>
          </cell>
          <cell r="M1576">
            <v>0</v>
          </cell>
          <cell r="P1576">
            <v>1205</v>
          </cell>
          <cell r="V1576" t="str">
            <v>Available</v>
          </cell>
        </row>
        <row r="1577">
          <cell r="E1577">
            <v>10060050</v>
          </cell>
          <cell r="H1577">
            <v>22.19</v>
          </cell>
          <cell r="I1577">
            <v>1063.82</v>
          </cell>
          <cell r="J1577">
            <v>0</v>
          </cell>
          <cell r="K1577">
            <v>0</v>
          </cell>
          <cell r="M1577">
            <v>0</v>
          </cell>
          <cell r="P1577">
            <v>1064</v>
          </cell>
          <cell r="V1577" t="str">
            <v>Available</v>
          </cell>
        </row>
        <row r="1578">
          <cell r="E1578">
            <v>10060050</v>
          </cell>
          <cell r="H1578">
            <v>27.270000000000003</v>
          </cell>
          <cell r="I1578">
            <v>1365.28</v>
          </cell>
          <cell r="J1578">
            <v>0</v>
          </cell>
          <cell r="K1578">
            <v>0</v>
          </cell>
          <cell r="M1578">
            <v>0</v>
          </cell>
          <cell r="P1578">
            <v>1365</v>
          </cell>
          <cell r="V1578" t="str">
            <v>Available</v>
          </cell>
        </row>
        <row r="1579">
          <cell r="E1579">
            <v>10060050</v>
          </cell>
          <cell r="H1579">
            <v>12.35</v>
          </cell>
          <cell r="I1579">
            <v>488.71</v>
          </cell>
          <cell r="J1579">
            <v>0</v>
          </cell>
          <cell r="K1579">
            <v>0</v>
          </cell>
          <cell r="M1579">
            <v>0</v>
          </cell>
          <cell r="P1579">
            <v>489</v>
          </cell>
          <cell r="V1579" t="str">
            <v>Available</v>
          </cell>
        </row>
        <row r="1580">
          <cell r="E1580">
            <v>10060050</v>
          </cell>
          <cell r="H1580">
            <v>15.239999999999998</v>
          </cell>
          <cell r="I1580">
            <v>640.6099999999999</v>
          </cell>
          <cell r="J1580">
            <v>0</v>
          </cell>
          <cell r="K1580">
            <v>0</v>
          </cell>
          <cell r="M1580">
            <v>0</v>
          </cell>
          <cell r="P1580">
            <v>641</v>
          </cell>
          <cell r="V1580" t="str">
            <v>Available</v>
          </cell>
        </row>
        <row r="1581">
          <cell r="E1581">
            <v>10060050</v>
          </cell>
          <cell r="H1581">
            <v>12.64</v>
          </cell>
          <cell r="I1581">
            <v>704.85</v>
          </cell>
          <cell r="J1581">
            <v>0</v>
          </cell>
          <cell r="K1581">
            <v>0</v>
          </cell>
          <cell r="M1581">
            <v>0</v>
          </cell>
          <cell r="P1581">
            <v>705</v>
          </cell>
          <cell r="V1581" t="str">
            <v>Available</v>
          </cell>
        </row>
        <row r="1582">
          <cell r="E1582">
            <v>10060050</v>
          </cell>
          <cell r="H1582">
            <v>7.17</v>
          </cell>
          <cell r="I1582">
            <v>273.94</v>
          </cell>
          <cell r="J1582">
            <v>0</v>
          </cell>
          <cell r="K1582">
            <v>0</v>
          </cell>
          <cell r="M1582">
            <v>0</v>
          </cell>
          <cell r="P1582">
            <v>274</v>
          </cell>
          <cell r="V1582" t="str">
            <v>Available</v>
          </cell>
        </row>
        <row r="1583">
          <cell r="E1583">
            <v>10060050</v>
          </cell>
          <cell r="H1583">
            <v>7.68</v>
          </cell>
          <cell r="I1583">
            <v>493.20000000000005</v>
          </cell>
          <cell r="J1583">
            <v>0</v>
          </cell>
          <cell r="K1583">
            <v>0</v>
          </cell>
          <cell r="M1583">
            <v>0</v>
          </cell>
          <cell r="P1583">
            <v>493</v>
          </cell>
          <cell r="V1583" t="str">
            <v>Available</v>
          </cell>
        </row>
        <row r="1584">
          <cell r="E1584">
            <v>10060050</v>
          </cell>
          <cell r="H1584">
            <v>1.51</v>
          </cell>
          <cell r="I1584">
            <v>56.04</v>
          </cell>
          <cell r="J1584">
            <v>0</v>
          </cell>
          <cell r="K1584">
            <v>0</v>
          </cell>
          <cell r="M1584">
            <v>0</v>
          </cell>
          <cell r="P1584">
            <v>56</v>
          </cell>
          <cell r="V1584" t="str">
            <v>Available</v>
          </cell>
        </row>
        <row r="1585">
          <cell r="E1585">
            <v>10060050</v>
          </cell>
          <cell r="H1585">
            <v>22.35</v>
          </cell>
          <cell r="I1585">
            <v>1467.3600000000001</v>
          </cell>
          <cell r="J1585">
            <v>0</v>
          </cell>
          <cell r="K1585">
            <v>0</v>
          </cell>
          <cell r="M1585">
            <v>0</v>
          </cell>
          <cell r="P1585">
            <v>1467</v>
          </cell>
          <cell r="V1585" t="str">
            <v>Available</v>
          </cell>
        </row>
        <row r="1586">
          <cell r="E1586">
            <v>10060058</v>
          </cell>
          <cell r="H1586">
            <v>2.87</v>
          </cell>
          <cell r="I1586">
            <v>121.85</v>
          </cell>
          <cell r="J1586">
            <v>0</v>
          </cell>
          <cell r="K1586">
            <v>121.85</v>
          </cell>
          <cell r="M1586">
            <v>0</v>
          </cell>
          <cell r="P1586">
            <v>0</v>
          </cell>
          <cell r="V1586" t="str">
            <v>Not Available</v>
          </cell>
        </row>
        <row r="1587">
          <cell r="E1587">
            <v>10060058</v>
          </cell>
          <cell r="H1587">
            <v>43.559999999999988</v>
          </cell>
          <cell r="I1587">
            <v>1842</v>
          </cell>
          <cell r="J1587">
            <v>0</v>
          </cell>
          <cell r="K1587">
            <v>0</v>
          </cell>
          <cell r="M1587">
            <v>0</v>
          </cell>
          <cell r="P1587">
            <v>1095</v>
          </cell>
          <cell r="V1587" t="str">
            <v>Available</v>
          </cell>
        </row>
        <row r="1588">
          <cell r="E1588">
            <v>10060058</v>
          </cell>
          <cell r="H1588">
            <v>136.02000000000001</v>
          </cell>
          <cell r="I1588">
            <v>5730.78</v>
          </cell>
          <cell r="J1588">
            <v>0</v>
          </cell>
          <cell r="K1588">
            <v>0</v>
          </cell>
          <cell r="M1588">
            <v>0</v>
          </cell>
          <cell r="P1588">
            <v>5731</v>
          </cell>
          <cell r="V1588" t="str">
            <v>Available</v>
          </cell>
        </row>
        <row r="1589">
          <cell r="E1589">
            <v>10060058</v>
          </cell>
          <cell r="H1589">
            <v>0.76</v>
          </cell>
          <cell r="I1589">
            <v>33.17</v>
          </cell>
          <cell r="J1589">
            <v>0</v>
          </cell>
          <cell r="K1589">
            <v>0</v>
          </cell>
          <cell r="M1589">
            <v>0</v>
          </cell>
          <cell r="P1589">
            <v>33</v>
          </cell>
          <cell r="V1589" t="str">
            <v>Available</v>
          </cell>
        </row>
        <row r="1590">
          <cell r="E1590">
            <v>10060058</v>
          </cell>
          <cell r="H1590">
            <v>107.27000000000001</v>
          </cell>
          <cell r="I1590">
            <v>4656.75</v>
          </cell>
          <cell r="J1590">
            <v>0</v>
          </cell>
          <cell r="K1590">
            <v>0</v>
          </cell>
          <cell r="M1590">
            <v>0</v>
          </cell>
          <cell r="P1590">
            <v>4657</v>
          </cell>
          <cell r="V1590" t="str">
            <v>Not Available</v>
          </cell>
        </row>
        <row r="1591">
          <cell r="E1591">
            <v>10060069</v>
          </cell>
          <cell r="H1591">
            <v>261.89999999999998</v>
          </cell>
          <cell r="I1591">
            <v>12782.88</v>
          </cell>
          <cell r="J1591">
            <v>0</v>
          </cell>
          <cell r="K1591">
            <v>0</v>
          </cell>
          <cell r="M1591">
            <v>2700</v>
          </cell>
          <cell r="P1591">
            <v>10083</v>
          </cell>
          <cell r="V1591" t="str">
            <v>Available</v>
          </cell>
        </row>
        <row r="1592">
          <cell r="E1592">
            <v>10060074</v>
          </cell>
          <cell r="H1592">
            <v>4.5</v>
          </cell>
          <cell r="I1592">
            <v>199.26000000000002</v>
          </cell>
          <cell r="J1592">
            <v>0</v>
          </cell>
          <cell r="K1592">
            <v>199.26000000000002</v>
          </cell>
          <cell r="M1592">
            <v>0</v>
          </cell>
          <cell r="P1592">
            <v>0</v>
          </cell>
          <cell r="V1592" t="str">
            <v>Not Available</v>
          </cell>
        </row>
        <row r="1593">
          <cell r="E1593">
            <v>10060074</v>
          </cell>
          <cell r="H1593">
            <v>18.880000000000003</v>
          </cell>
          <cell r="I1593">
            <v>976.6400000000001</v>
          </cell>
          <cell r="J1593">
            <v>0</v>
          </cell>
          <cell r="K1593">
            <v>0</v>
          </cell>
          <cell r="M1593">
            <v>0</v>
          </cell>
          <cell r="P1593">
            <v>723</v>
          </cell>
          <cell r="V1593" t="str">
            <v>Available</v>
          </cell>
        </row>
        <row r="1594">
          <cell r="E1594">
            <v>10060074</v>
          </cell>
          <cell r="H1594">
            <v>13.51</v>
          </cell>
          <cell r="I1594">
            <v>531.9</v>
          </cell>
          <cell r="J1594">
            <v>0</v>
          </cell>
          <cell r="K1594">
            <v>0</v>
          </cell>
          <cell r="M1594">
            <v>0</v>
          </cell>
          <cell r="P1594">
            <v>532</v>
          </cell>
          <cell r="V1594" t="str">
            <v>Available</v>
          </cell>
        </row>
        <row r="1595">
          <cell r="E1595">
            <v>10060074</v>
          </cell>
          <cell r="H1595">
            <v>13.35</v>
          </cell>
          <cell r="I1595">
            <v>682.73</v>
          </cell>
          <cell r="J1595">
            <v>0</v>
          </cell>
          <cell r="K1595">
            <v>0</v>
          </cell>
          <cell r="M1595">
            <v>0</v>
          </cell>
          <cell r="P1595">
            <v>683</v>
          </cell>
          <cell r="V1595" t="str">
            <v>Available</v>
          </cell>
        </row>
        <row r="1596">
          <cell r="E1596">
            <v>10060074</v>
          </cell>
          <cell r="H1596">
            <v>22.029999999999998</v>
          </cell>
          <cell r="I1596">
            <v>877.2</v>
          </cell>
          <cell r="J1596">
            <v>0</v>
          </cell>
          <cell r="K1596">
            <v>0</v>
          </cell>
          <cell r="M1596">
            <v>0</v>
          </cell>
          <cell r="P1596">
            <v>877</v>
          </cell>
          <cell r="V1596" t="str">
            <v>Available</v>
          </cell>
        </row>
        <row r="1597">
          <cell r="E1597">
            <v>10060074</v>
          </cell>
          <cell r="H1597">
            <v>14.360000000000001</v>
          </cell>
          <cell r="I1597">
            <v>777.54</v>
          </cell>
          <cell r="J1597">
            <v>0</v>
          </cell>
          <cell r="K1597">
            <v>0</v>
          </cell>
          <cell r="M1597">
            <v>0</v>
          </cell>
          <cell r="P1597">
            <v>778</v>
          </cell>
          <cell r="V1597" t="str">
            <v>Available</v>
          </cell>
        </row>
        <row r="1598">
          <cell r="E1598">
            <v>10060074</v>
          </cell>
          <cell r="H1598">
            <v>13.42</v>
          </cell>
          <cell r="I1598">
            <v>693.74</v>
          </cell>
          <cell r="J1598">
            <v>0</v>
          </cell>
          <cell r="K1598">
            <v>0</v>
          </cell>
          <cell r="M1598">
            <v>0</v>
          </cell>
          <cell r="P1598">
            <v>694</v>
          </cell>
          <cell r="V1598" t="str">
            <v>Available</v>
          </cell>
        </row>
        <row r="1599">
          <cell r="E1599">
            <v>10060074</v>
          </cell>
          <cell r="H1599">
            <v>2.0300000000000002</v>
          </cell>
          <cell r="I1599">
            <v>140.87</v>
          </cell>
          <cell r="J1599">
            <v>0</v>
          </cell>
          <cell r="K1599">
            <v>0</v>
          </cell>
          <cell r="M1599">
            <v>0</v>
          </cell>
          <cell r="P1599">
            <v>141</v>
          </cell>
          <cell r="V1599" t="str">
            <v>Available</v>
          </cell>
        </row>
        <row r="1600">
          <cell r="E1600">
            <v>10060074</v>
          </cell>
          <cell r="H1600">
            <v>12.899999999999999</v>
          </cell>
          <cell r="I1600">
            <v>650.51</v>
          </cell>
          <cell r="J1600">
            <v>0</v>
          </cell>
          <cell r="K1600">
            <v>0</v>
          </cell>
          <cell r="M1600">
            <v>0</v>
          </cell>
          <cell r="P1600">
            <v>651</v>
          </cell>
          <cell r="V1600" t="str">
            <v>Available</v>
          </cell>
        </row>
        <row r="1601">
          <cell r="E1601">
            <v>10060074</v>
          </cell>
          <cell r="H1601">
            <v>2.2200000000000002</v>
          </cell>
          <cell r="I1601">
            <v>88.27</v>
          </cell>
          <cell r="J1601">
            <v>0</v>
          </cell>
          <cell r="K1601">
            <v>0</v>
          </cell>
          <cell r="M1601">
            <v>0</v>
          </cell>
          <cell r="P1601">
            <v>88</v>
          </cell>
          <cell r="V1601" t="str">
            <v>Available</v>
          </cell>
        </row>
        <row r="1602">
          <cell r="E1602">
            <v>10060074</v>
          </cell>
          <cell r="H1602">
            <v>69.83</v>
          </cell>
          <cell r="I1602">
            <v>2867.4900000000002</v>
          </cell>
          <cell r="J1602">
            <v>0</v>
          </cell>
          <cell r="K1602">
            <v>0</v>
          </cell>
          <cell r="M1602">
            <v>0</v>
          </cell>
          <cell r="P1602">
            <v>2867</v>
          </cell>
          <cell r="V1602" t="str">
            <v>Available</v>
          </cell>
        </row>
        <row r="1603">
          <cell r="E1603">
            <v>10060074</v>
          </cell>
          <cell r="H1603">
            <v>37.639999999999993</v>
          </cell>
          <cell r="I1603">
            <v>1539.1100000000001</v>
          </cell>
          <cell r="J1603">
            <v>0</v>
          </cell>
          <cell r="K1603">
            <v>0</v>
          </cell>
          <cell r="M1603">
            <v>0</v>
          </cell>
          <cell r="P1603">
            <v>1539</v>
          </cell>
          <cell r="V1603" t="str">
            <v>Available</v>
          </cell>
        </row>
        <row r="1604">
          <cell r="E1604">
            <v>10060076</v>
          </cell>
          <cell r="H1604">
            <v>346.99999999999994</v>
          </cell>
          <cell r="I1604">
            <v>14632.850000000002</v>
          </cell>
          <cell r="J1604">
            <v>0</v>
          </cell>
          <cell r="K1604">
            <v>0</v>
          </cell>
          <cell r="M1604">
            <v>0</v>
          </cell>
          <cell r="P1604">
            <v>13307</v>
          </cell>
          <cell r="V1604" t="str">
            <v>Available</v>
          </cell>
        </row>
        <row r="1605">
          <cell r="E1605">
            <v>10060077</v>
          </cell>
          <cell r="H1605">
            <v>17.54</v>
          </cell>
          <cell r="I1605">
            <v>691.18</v>
          </cell>
          <cell r="J1605">
            <v>0</v>
          </cell>
          <cell r="K1605">
            <v>691.18</v>
          </cell>
          <cell r="M1605">
            <v>0</v>
          </cell>
          <cell r="P1605">
            <v>0</v>
          </cell>
          <cell r="V1605" t="str">
            <v>Not Available</v>
          </cell>
        </row>
        <row r="1606">
          <cell r="E1606">
            <v>10060077</v>
          </cell>
          <cell r="H1606">
            <v>51.509999999999991</v>
          </cell>
          <cell r="I1606">
            <v>2585.2400000000002</v>
          </cell>
          <cell r="J1606">
            <v>0</v>
          </cell>
          <cell r="K1606">
            <v>0</v>
          </cell>
          <cell r="M1606">
            <v>0</v>
          </cell>
          <cell r="P1606">
            <v>0</v>
          </cell>
          <cell r="V1606" t="str">
            <v>Available</v>
          </cell>
        </row>
        <row r="1607">
          <cell r="E1607">
            <v>10060077</v>
          </cell>
          <cell r="H1607">
            <v>104.05</v>
          </cell>
          <cell r="I1607">
            <v>4607.3</v>
          </cell>
          <cell r="J1607">
            <v>0</v>
          </cell>
          <cell r="K1607">
            <v>0</v>
          </cell>
          <cell r="M1607">
            <v>0</v>
          </cell>
          <cell r="P1607">
            <v>4607</v>
          </cell>
          <cell r="V1607" t="str">
            <v>Available</v>
          </cell>
        </row>
        <row r="1608">
          <cell r="E1608">
            <v>10060077</v>
          </cell>
          <cell r="H1608">
            <v>21.89</v>
          </cell>
          <cell r="I1608">
            <v>964.24999999999989</v>
          </cell>
          <cell r="J1608">
            <v>0</v>
          </cell>
          <cell r="K1608">
            <v>0</v>
          </cell>
          <cell r="M1608">
            <v>0</v>
          </cell>
          <cell r="P1608">
            <v>964</v>
          </cell>
          <cell r="V1608" t="str">
            <v>Available</v>
          </cell>
        </row>
        <row r="1609">
          <cell r="E1609">
            <v>10060077</v>
          </cell>
          <cell r="H1609">
            <v>91.59</v>
          </cell>
          <cell r="I1609">
            <v>3513.54</v>
          </cell>
          <cell r="J1609">
            <v>0</v>
          </cell>
          <cell r="K1609">
            <v>0</v>
          </cell>
          <cell r="M1609">
            <v>0</v>
          </cell>
          <cell r="P1609">
            <v>3514</v>
          </cell>
          <cell r="V1609" t="str">
            <v>Available</v>
          </cell>
        </row>
        <row r="1610">
          <cell r="E1610">
            <v>10060077</v>
          </cell>
          <cell r="H1610">
            <v>20.05</v>
          </cell>
          <cell r="I1610">
            <v>818.07999999999993</v>
          </cell>
          <cell r="J1610">
            <v>0</v>
          </cell>
          <cell r="K1610">
            <v>0</v>
          </cell>
          <cell r="M1610">
            <v>0</v>
          </cell>
          <cell r="P1610">
            <v>818</v>
          </cell>
          <cell r="V1610" t="str">
            <v>Available</v>
          </cell>
        </row>
        <row r="1611">
          <cell r="E1611">
            <v>10060077</v>
          </cell>
          <cell r="H1611">
            <v>61.92</v>
          </cell>
          <cell r="I1611">
            <v>2424.5100000000002</v>
          </cell>
          <cell r="J1611">
            <v>0</v>
          </cell>
          <cell r="K1611">
            <v>0</v>
          </cell>
          <cell r="M1611">
            <v>0</v>
          </cell>
          <cell r="P1611">
            <v>2425</v>
          </cell>
          <cell r="V1611" t="str">
            <v>Available</v>
          </cell>
        </row>
        <row r="1612">
          <cell r="E1612">
            <v>10060077</v>
          </cell>
          <cell r="H1612">
            <v>38.129999999999995</v>
          </cell>
          <cell r="I1612">
            <v>1639.84</v>
          </cell>
          <cell r="J1612">
            <v>0</v>
          </cell>
          <cell r="K1612">
            <v>0</v>
          </cell>
          <cell r="M1612">
            <v>0</v>
          </cell>
          <cell r="P1612">
            <v>1640</v>
          </cell>
          <cell r="V1612" t="str">
            <v>Available</v>
          </cell>
        </row>
        <row r="1613">
          <cell r="E1613">
            <v>10060077</v>
          </cell>
          <cell r="H1613">
            <v>9.16</v>
          </cell>
          <cell r="I1613">
            <v>449.74</v>
          </cell>
          <cell r="J1613">
            <v>0</v>
          </cell>
          <cell r="K1613">
            <v>0</v>
          </cell>
          <cell r="M1613">
            <v>0</v>
          </cell>
          <cell r="P1613">
            <v>450</v>
          </cell>
          <cell r="V1613" t="str">
            <v>Available</v>
          </cell>
        </row>
        <row r="1614">
          <cell r="E1614">
            <v>10060077</v>
          </cell>
          <cell r="H1614">
            <v>28.39</v>
          </cell>
          <cell r="I1614">
            <v>1767.77</v>
          </cell>
          <cell r="J1614">
            <v>0</v>
          </cell>
          <cell r="K1614">
            <v>0</v>
          </cell>
          <cell r="M1614">
            <v>0</v>
          </cell>
          <cell r="P1614">
            <v>1768</v>
          </cell>
          <cell r="V1614" t="str">
            <v>Available</v>
          </cell>
        </row>
        <row r="1615">
          <cell r="E1615">
            <v>10060077</v>
          </cell>
          <cell r="H1615">
            <v>63.800000000000004</v>
          </cell>
          <cell r="I1615">
            <v>2756.2499999999995</v>
          </cell>
          <cell r="J1615">
            <v>0</v>
          </cell>
          <cell r="K1615">
            <v>0</v>
          </cell>
          <cell r="M1615">
            <v>0</v>
          </cell>
          <cell r="P1615">
            <v>2756</v>
          </cell>
          <cell r="V1615" t="str">
            <v>Not Available</v>
          </cell>
        </row>
        <row r="1616">
          <cell r="E1616">
            <v>10060077</v>
          </cell>
          <cell r="H1616">
            <v>36.489999999999995</v>
          </cell>
          <cell r="I1616">
            <v>1544.8899999999999</v>
          </cell>
          <cell r="J1616">
            <v>0</v>
          </cell>
          <cell r="K1616">
            <v>0</v>
          </cell>
          <cell r="M1616">
            <v>0</v>
          </cell>
          <cell r="P1616">
            <v>1545</v>
          </cell>
          <cell r="V1616" t="str">
            <v>Not Available</v>
          </cell>
        </row>
        <row r="1617">
          <cell r="E1617">
            <v>10060077</v>
          </cell>
          <cell r="H1617">
            <v>60.519999999999996</v>
          </cell>
          <cell r="I1617">
            <v>2598.2000000000003</v>
          </cell>
          <cell r="J1617">
            <v>0</v>
          </cell>
          <cell r="K1617">
            <v>0</v>
          </cell>
          <cell r="M1617">
            <v>0</v>
          </cell>
          <cell r="P1617">
            <v>2598</v>
          </cell>
          <cell r="V1617" t="str">
            <v>Not Available</v>
          </cell>
        </row>
        <row r="1618">
          <cell r="E1618">
            <v>10060077</v>
          </cell>
          <cell r="H1618">
            <v>19.93</v>
          </cell>
          <cell r="I1618">
            <v>1079.3400000000001</v>
          </cell>
          <cell r="J1618">
            <v>0</v>
          </cell>
          <cell r="K1618">
            <v>0</v>
          </cell>
          <cell r="M1618">
            <v>0</v>
          </cell>
          <cell r="P1618">
            <v>1079</v>
          </cell>
          <cell r="V1618" t="str">
            <v>Available</v>
          </cell>
        </row>
        <row r="1619">
          <cell r="E1619">
            <v>10060077</v>
          </cell>
          <cell r="H1619">
            <v>40.960000000000008</v>
          </cell>
          <cell r="I1619">
            <v>1630.3000000000002</v>
          </cell>
          <cell r="J1619">
            <v>0</v>
          </cell>
          <cell r="K1619">
            <v>0</v>
          </cell>
          <cell r="M1619">
            <v>0</v>
          </cell>
          <cell r="P1619">
            <v>1630</v>
          </cell>
          <cell r="V1619" t="str">
            <v>Available</v>
          </cell>
        </row>
        <row r="1620">
          <cell r="E1620">
            <v>10060077</v>
          </cell>
          <cell r="H1620">
            <v>31.42</v>
          </cell>
          <cell r="I1620">
            <v>2372.58</v>
          </cell>
          <cell r="J1620">
            <v>0</v>
          </cell>
          <cell r="K1620">
            <v>0</v>
          </cell>
          <cell r="M1620">
            <v>0</v>
          </cell>
          <cell r="P1620">
            <v>2373</v>
          </cell>
          <cell r="V1620" t="str">
            <v>Available</v>
          </cell>
        </row>
        <row r="1621">
          <cell r="E1621">
            <v>10060077</v>
          </cell>
          <cell r="H1621">
            <v>34.28</v>
          </cell>
          <cell r="I1621">
            <v>1822.06</v>
          </cell>
          <cell r="J1621">
            <v>0</v>
          </cell>
          <cell r="K1621">
            <v>0</v>
          </cell>
          <cell r="M1621">
            <v>0</v>
          </cell>
          <cell r="P1621">
            <v>1822</v>
          </cell>
          <cell r="V1621" t="str">
            <v>Available</v>
          </cell>
        </row>
        <row r="1622">
          <cell r="E1622">
            <v>10060077</v>
          </cell>
          <cell r="H1622">
            <v>90.18</v>
          </cell>
          <cell r="I1622">
            <v>3584.5400000000004</v>
          </cell>
          <cell r="J1622">
            <v>0</v>
          </cell>
          <cell r="K1622">
            <v>0</v>
          </cell>
          <cell r="M1622">
            <v>0</v>
          </cell>
          <cell r="P1622">
            <v>3585</v>
          </cell>
          <cell r="V1622" t="str">
            <v>Available</v>
          </cell>
        </row>
        <row r="1623">
          <cell r="E1623">
            <v>10060077</v>
          </cell>
          <cell r="H1623">
            <v>18.060000000000002</v>
          </cell>
          <cell r="I1623">
            <v>1040.54</v>
          </cell>
          <cell r="J1623">
            <v>0</v>
          </cell>
          <cell r="K1623">
            <v>0</v>
          </cell>
          <cell r="M1623">
            <v>0</v>
          </cell>
          <cell r="P1623">
            <v>1041</v>
          </cell>
          <cell r="V1623" t="str">
            <v>Available</v>
          </cell>
        </row>
        <row r="1624">
          <cell r="E1624">
            <v>10060077</v>
          </cell>
          <cell r="H1624">
            <v>44.320000000000007</v>
          </cell>
          <cell r="I1624">
            <v>1818.78</v>
          </cell>
          <cell r="J1624">
            <v>0</v>
          </cell>
          <cell r="K1624">
            <v>0</v>
          </cell>
          <cell r="M1624">
            <v>0</v>
          </cell>
          <cell r="P1624">
            <v>1819</v>
          </cell>
          <cell r="V1624" t="str">
            <v>Available</v>
          </cell>
        </row>
        <row r="1625">
          <cell r="E1625">
            <v>10060077</v>
          </cell>
          <cell r="H1625">
            <v>17.43</v>
          </cell>
          <cell r="I1625">
            <v>641.25</v>
          </cell>
          <cell r="J1625">
            <v>0</v>
          </cell>
          <cell r="K1625">
            <v>0</v>
          </cell>
          <cell r="M1625">
            <v>0</v>
          </cell>
          <cell r="P1625">
            <v>641</v>
          </cell>
          <cell r="V1625" t="str">
            <v>Available</v>
          </cell>
        </row>
        <row r="1626">
          <cell r="E1626">
            <v>10060077</v>
          </cell>
          <cell r="H1626">
            <v>73.140000000000015</v>
          </cell>
          <cell r="I1626">
            <v>3071.28</v>
          </cell>
          <cell r="J1626">
            <v>0</v>
          </cell>
          <cell r="K1626">
            <v>0</v>
          </cell>
          <cell r="M1626">
            <v>0</v>
          </cell>
          <cell r="P1626">
            <v>3071</v>
          </cell>
          <cell r="V1626" t="str">
            <v>Available</v>
          </cell>
        </row>
        <row r="1627">
          <cell r="E1627">
            <v>10060077</v>
          </cell>
          <cell r="H1627">
            <v>11.600000000000001</v>
          </cell>
          <cell r="I1627">
            <v>497.96000000000004</v>
          </cell>
          <cell r="J1627">
            <v>0</v>
          </cell>
          <cell r="K1627">
            <v>0</v>
          </cell>
          <cell r="M1627">
            <v>0</v>
          </cell>
          <cell r="P1627">
            <v>498</v>
          </cell>
          <cell r="V1627" t="str">
            <v>Available</v>
          </cell>
        </row>
        <row r="1628">
          <cell r="E1628">
            <v>10060077</v>
          </cell>
          <cell r="H1628">
            <v>25.28</v>
          </cell>
          <cell r="I1628">
            <v>1395.1</v>
          </cell>
          <cell r="J1628">
            <v>0</v>
          </cell>
          <cell r="K1628">
            <v>0</v>
          </cell>
          <cell r="M1628">
            <v>0</v>
          </cell>
          <cell r="P1628">
            <v>1395</v>
          </cell>
          <cell r="V1628" t="str">
            <v>Available</v>
          </cell>
        </row>
        <row r="1629">
          <cell r="E1629">
            <v>10060077</v>
          </cell>
          <cell r="H1629">
            <v>12.26</v>
          </cell>
          <cell r="I1629">
            <v>479.11</v>
          </cell>
          <cell r="J1629">
            <v>0</v>
          </cell>
          <cell r="K1629">
            <v>0</v>
          </cell>
          <cell r="M1629">
            <v>0</v>
          </cell>
          <cell r="P1629">
            <v>479</v>
          </cell>
          <cell r="V1629" t="str">
            <v>Available</v>
          </cell>
        </row>
        <row r="1630">
          <cell r="E1630">
            <v>10060077</v>
          </cell>
          <cell r="H1630">
            <v>10.029999999999999</v>
          </cell>
          <cell r="I1630">
            <v>413.28</v>
          </cell>
          <cell r="J1630">
            <v>0</v>
          </cell>
          <cell r="K1630">
            <v>0</v>
          </cell>
          <cell r="M1630">
            <v>0</v>
          </cell>
          <cell r="P1630">
            <v>413</v>
          </cell>
          <cell r="V1630" t="str">
            <v>Available</v>
          </cell>
        </row>
        <row r="1631">
          <cell r="E1631">
            <v>10060077</v>
          </cell>
          <cell r="H1631">
            <v>23.75</v>
          </cell>
          <cell r="I1631">
            <v>1249.1400000000001</v>
          </cell>
          <cell r="J1631">
            <v>0</v>
          </cell>
          <cell r="K1631">
            <v>0</v>
          </cell>
          <cell r="M1631">
            <v>0</v>
          </cell>
          <cell r="P1631">
            <v>1249</v>
          </cell>
          <cell r="V1631" t="str">
            <v>Available</v>
          </cell>
        </row>
        <row r="1632">
          <cell r="E1632">
            <v>10060077</v>
          </cell>
          <cell r="H1632">
            <v>22.46</v>
          </cell>
          <cell r="I1632">
            <v>866.68000000000006</v>
          </cell>
          <cell r="J1632">
            <v>0</v>
          </cell>
          <cell r="K1632">
            <v>0</v>
          </cell>
          <cell r="M1632">
            <v>0</v>
          </cell>
          <cell r="P1632">
            <v>867</v>
          </cell>
          <cell r="V1632" t="str">
            <v>Available</v>
          </cell>
        </row>
        <row r="1633">
          <cell r="E1633">
            <v>10060077</v>
          </cell>
          <cell r="H1633">
            <v>48.859999999999992</v>
          </cell>
          <cell r="I1633">
            <v>1844.1399999999999</v>
          </cell>
          <cell r="J1633">
            <v>0</v>
          </cell>
          <cell r="K1633">
            <v>0</v>
          </cell>
          <cell r="M1633">
            <v>0</v>
          </cell>
          <cell r="P1633">
            <v>1844</v>
          </cell>
          <cell r="V1633" t="str">
            <v>Available</v>
          </cell>
        </row>
        <row r="1634">
          <cell r="E1634">
            <v>10060077</v>
          </cell>
          <cell r="H1634">
            <v>19.419999999999998</v>
          </cell>
          <cell r="I1634">
            <v>811.1099999999999</v>
          </cell>
          <cell r="J1634">
            <v>0</v>
          </cell>
          <cell r="K1634">
            <v>0</v>
          </cell>
          <cell r="M1634">
            <v>0</v>
          </cell>
          <cell r="P1634">
            <v>811</v>
          </cell>
          <cell r="V1634" t="str">
            <v>Available</v>
          </cell>
        </row>
        <row r="1635">
          <cell r="E1635">
            <v>10060077</v>
          </cell>
          <cell r="H1635">
            <v>13.959999999999999</v>
          </cell>
          <cell r="I1635">
            <v>560.34999999999991</v>
          </cell>
          <cell r="J1635">
            <v>0</v>
          </cell>
          <cell r="K1635">
            <v>0</v>
          </cell>
          <cell r="M1635">
            <v>0</v>
          </cell>
          <cell r="P1635">
            <v>560</v>
          </cell>
          <cell r="V1635" t="str">
            <v>Available</v>
          </cell>
        </row>
        <row r="1636">
          <cell r="E1636">
            <v>10060077</v>
          </cell>
          <cell r="H1636">
            <v>22.590000000000003</v>
          </cell>
          <cell r="I1636">
            <v>809.32999999999993</v>
          </cell>
          <cell r="J1636">
            <v>0</v>
          </cell>
          <cell r="K1636">
            <v>0</v>
          </cell>
          <cell r="M1636">
            <v>0</v>
          </cell>
          <cell r="P1636">
            <v>809</v>
          </cell>
          <cell r="V1636" t="str">
            <v>Available</v>
          </cell>
        </row>
        <row r="1637">
          <cell r="E1637">
            <v>10060077</v>
          </cell>
          <cell r="H1637">
            <v>15.819999999999999</v>
          </cell>
          <cell r="I1637">
            <v>637.66999999999996</v>
          </cell>
          <cell r="J1637">
            <v>0</v>
          </cell>
          <cell r="K1637">
            <v>0</v>
          </cell>
          <cell r="M1637">
            <v>0</v>
          </cell>
          <cell r="P1637">
            <v>638</v>
          </cell>
          <cell r="V1637" t="str">
            <v>Available</v>
          </cell>
        </row>
        <row r="1638">
          <cell r="E1638">
            <v>10060077</v>
          </cell>
          <cell r="H1638">
            <v>13.25</v>
          </cell>
          <cell r="I1638">
            <v>585.39</v>
          </cell>
          <cell r="J1638">
            <v>0</v>
          </cell>
          <cell r="K1638">
            <v>0</v>
          </cell>
          <cell r="M1638">
            <v>0</v>
          </cell>
          <cell r="P1638">
            <v>585</v>
          </cell>
          <cell r="V1638" t="str">
            <v>Available</v>
          </cell>
        </row>
        <row r="1639">
          <cell r="E1639">
            <v>10060077</v>
          </cell>
          <cell r="H1639">
            <v>12.41</v>
          </cell>
          <cell r="I1639">
            <v>561.16999999999996</v>
          </cell>
          <cell r="J1639">
            <v>0</v>
          </cell>
          <cell r="K1639">
            <v>0</v>
          </cell>
          <cell r="M1639">
            <v>0</v>
          </cell>
          <cell r="P1639">
            <v>561</v>
          </cell>
          <cell r="V1639" t="str">
            <v>Available</v>
          </cell>
        </row>
        <row r="1640">
          <cell r="E1640">
            <v>10060077</v>
          </cell>
          <cell r="H1640">
            <v>23.599999999999998</v>
          </cell>
          <cell r="I1640">
            <v>1046.3200000000002</v>
          </cell>
          <cell r="J1640">
            <v>0</v>
          </cell>
          <cell r="K1640">
            <v>0</v>
          </cell>
          <cell r="M1640">
            <v>0</v>
          </cell>
          <cell r="P1640">
            <v>1046</v>
          </cell>
          <cell r="V1640" t="str">
            <v>Available</v>
          </cell>
        </row>
        <row r="1641">
          <cell r="E1641">
            <v>10060077</v>
          </cell>
          <cell r="H1641">
            <v>22</v>
          </cell>
          <cell r="I1641">
            <v>987.18999999999994</v>
          </cell>
          <cell r="J1641">
            <v>0</v>
          </cell>
          <cell r="K1641">
            <v>0</v>
          </cell>
          <cell r="M1641">
            <v>0</v>
          </cell>
          <cell r="P1641">
            <v>987</v>
          </cell>
          <cell r="V1641" t="str">
            <v>Available</v>
          </cell>
        </row>
        <row r="1642">
          <cell r="E1642">
            <v>10060090</v>
          </cell>
          <cell r="H1642">
            <v>135.19999999999999</v>
          </cell>
          <cell r="I1642">
            <v>8032.03</v>
          </cell>
          <cell r="J1642">
            <v>0</v>
          </cell>
          <cell r="K1642">
            <v>0</v>
          </cell>
          <cell r="M1642">
            <v>0</v>
          </cell>
          <cell r="P1642">
            <v>8032</v>
          </cell>
          <cell r="V1642" t="str">
            <v>Available</v>
          </cell>
        </row>
        <row r="1643">
          <cell r="E1643">
            <v>10060090</v>
          </cell>
          <cell r="H1643">
            <v>186.6</v>
          </cell>
          <cell r="I1643">
            <v>7807.3799999999992</v>
          </cell>
          <cell r="J1643">
            <v>0</v>
          </cell>
          <cell r="K1643">
            <v>0</v>
          </cell>
          <cell r="M1643">
            <v>0</v>
          </cell>
          <cell r="P1643">
            <v>7807</v>
          </cell>
          <cell r="V1643" t="str">
            <v>Available</v>
          </cell>
        </row>
        <row r="1644">
          <cell r="E1644">
            <v>10060090</v>
          </cell>
          <cell r="H1644">
            <v>196.70000000000002</v>
          </cell>
          <cell r="I1644">
            <v>8388.5400000000009</v>
          </cell>
          <cell r="J1644">
            <v>0</v>
          </cell>
          <cell r="K1644">
            <v>0</v>
          </cell>
          <cell r="M1644">
            <v>2700</v>
          </cell>
          <cell r="P1644">
            <v>5689</v>
          </cell>
          <cell r="V1644" t="str">
            <v>Available</v>
          </cell>
        </row>
        <row r="1645">
          <cell r="E1645">
            <v>10060098</v>
          </cell>
          <cell r="H1645">
            <v>9.18</v>
          </cell>
          <cell r="I1645">
            <v>401.84000000000003</v>
          </cell>
          <cell r="J1645">
            <v>0</v>
          </cell>
          <cell r="K1645">
            <v>401.84000000000003</v>
          </cell>
          <cell r="M1645">
            <v>0</v>
          </cell>
          <cell r="P1645">
            <v>0</v>
          </cell>
          <cell r="V1645" t="str">
            <v>Not Available</v>
          </cell>
        </row>
        <row r="1646">
          <cell r="E1646">
            <v>10060098</v>
          </cell>
          <cell r="H1646">
            <v>93.02</v>
          </cell>
          <cell r="I1646">
            <v>3888.13</v>
          </cell>
          <cell r="J1646">
            <v>0</v>
          </cell>
          <cell r="K1646">
            <v>0</v>
          </cell>
          <cell r="M1646">
            <v>0</v>
          </cell>
          <cell r="P1646">
            <v>3121</v>
          </cell>
          <cell r="V1646" t="str">
            <v>Available</v>
          </cell>
        </row>
        <row r="1647">
          <cell r="E1647">
            <v>10060098</v>
          </cell>
          <cell r="H1647">
            <v>110.42000000000002</v>
          </cell>
          <cell r="I1647">
            <v>5706.9899999999989</v>
          </cell>
          <cell r="J1647">
            <v>0</v>
          </cell>
          <cell r="K1647">
            <v>0</v>
          </cell>
          <cell r="M1647">
            <v>0</v>
          </cell>
          <cell r="P1647">
            <v>5707</v>
          </cell>
          <cell r="V1647" t="str">
            <v>Available</v>
          </cell>
        </row>
        <row r="1648">
          <cell r="E1648">
            <v>10060098</v>
          </cell>
          <cell r="H1648">
            <v>492.46000000000009</v>
          </cell>
          <cell r="I1648">
            <v>24159.929999999997</v>
          </cell>
          <cell r="J1648">
            <v>0</v>
          </cell>
          <cell r="K1648">
            <v>0</v>
          </cell>
          <cell r="M1648">
            <v>0</v>
          </cell>
          <cell r="P1648">
            <v>24160</v>
          </cell>
          <cell r="V1648" t="str">
            <v>Available</v>
          </cell>
        </row>
        <row r="1649">
          <cell r="E1649">
            <v>10060098</v>
          </cell>
          <cell r="H1649">
            <v>89.66</v>
          </cell>
          <cell r="I1649">
            <v>3461.25</v>
          </cell>
          <cell r="J1649">
            <v>0</v>
          </cell>
          <cell r="K1649">
            <v>0</v>
          </cell>
          <cell r="M1649">
            <v>0</v>
          </cell>
          <cell r="P1649">
            <v>3461</v>
          </cell>
          <cell r="V1649" t="str">
            <v>Available</v>
          </cell>
        </row>
        <row r="1650">
          <cell r="E1650">
            <v>10060098</v>
          </cell>
          <cell r="H1650">
            <v>66.86</v>
          </cell>
          <cell r="I1650">
            <v>2298.7400000000002</v>
          </cell>
          <cell r="J1650">
            <v>0</v>
          </cell>
          <cell r="K1650">
            <v>0</v>
          </cell>
          <cell r="M1650">
            <v>0</v>
          </cell>
          <cell r="P1650">
            <v>2299</v>
          </cell>
          <cell r="V1650" t="str">
            <v>Available</v>
          </cell>
        </row>
        <row r="1651">
          <cell r="E1651">
            <v>10060098</v>
          </cell>
          <cell r="H1651">
            <v>92.69</v>
          </cell>
          <cell r="I1651">
            <v>5312.92</v>
          </cell>
          <cell r="J1651">
            <v>0</v>
          </cell>
          <cell r="K1651">
            <v>0</v>
          </cell>
          <cell r="M1651">
            <v>0</v>
          </cell>
          <cell r="P1651">
            <v>5313</v>
          </cell>
          <cell r="V1651" t="str">
            <v>Available</v>
          </cell>
        </row>
        <row r="1652">
          <cell r="E1652">
            <v>10060098</v>
          </cell>
          <cell r="H1652">
            <v>40.629999999999995</v>
          </cell>
          <cell r="I1652">
            <v>1828.83</v>
          </cell>
          <cell r="J1652">
            <v>0</v>
          </cell>
          <cell r="K1652">
            <v>0</v>
          </cell>
          <cell r="M1652">
            <v>0</v>
          </cell>
          <cell r="P1652">
            <v>1829</v>
          </cell>
          <cell r="V1652" t="str">
            <v>Available</v>
          </cell>
        </row>
        <row r="1653">
          <cell r="E1653">
            <v>10060098</v>
          </cell>
          <cell r="H1653">
            <v>15.04</v>
          </cell>
          <cell r="I1653">
            <v>644.46</v>
          </cell>
          <cell r="J1653">
            <v>0</v>
          </cell>
          <cell r="K1653">
            <v>0</v>
          </cell>
          <cell r="M1653">
            <v>0</v>
          </cell>
          <cell r="P1653">
            <v>644</v>
          </cell>
          <cell r="V1653" t="str">
            <v>Available</v>
          </cell>
        </row>
        <row r="1654">
          <cell r="E1654">
            <v>10060098</v>
          </cell>
          <cell r="H1654">
            <v>7.24</v>
          </cell>
          <cell r="I1654">
            <v>585.08999999999992</v>
          </cell>
          <cell r="J1654">
            <v>0</v>
          </cell>
          <cell r="K1654">
            <v>0</v>
          </cell>
          <cell r="M1654">
            <v>0</v>
          </cell>
          <cell r="P1654">
            <v>585</v>
          </cell>
          <cell r="V1654" t="str">
            <v>Available</v>
          </cell>
        </row>
        <row r="1655">
          <cell r="E1655">
            <v>10060098</v>
          </cell>
          <cell r="H1655">
            <v>28.75</v>
          </cell>
          <cell r="I1655">
            <v>1208.06</v>
          </cell>
          <cell r="J1655">
            <v>0</v>
          </cell>
          <cell r="K1655">
            <v>0</v>
          </cell>
          <cell r="M1655">
            <v>0</v>
          </cell>
          <cell r="P1655">
            <v>1208</v>
          </cell>
          <cell r="V1655" t="str">
            <v>Available</v>
          </cell>
        </row>
        <row r="1656">
          <cell r="E1656">
            <v>10060098</v>
          </cell>
          <cell r="H1656">
            <v>9.4600000000000009</v>
          </cell>
          <cell r="I1656">
            <v>416.96000000000004</v>
          </cell>
          <cell r="J1656">
            <v>0</v>
          </cell>
          <cell r="K1656">
            <v>0</v>
          </cell>
          <cell r="M1656">
            <v>0</v>
          </cell>
          <cell r="P1656">
            <v>417</v>
          </cell>
          <cell r="V1656" t="str">
            <v>Available</v>
          </cell>
        </row>
        <row r="1657">
          <cell r="E1657">
            <v>10060098</v>
          </cell>
          <cell r="H1657">
            <v>20.29</v>
          </cell>
          <cell r="I1657">
            <v>902.93000000000006</v>
          </cell>
          <cell r="J1657">
            <v>0</v>
          </cell>
          <cell r="K1657">
            <v>0</v>
          </cell>
          <cell r="M1657">
            <v>0</v>
          </cell>
          <cell r="P1657">
            <v>903</v>
          </cell>
          <cell r="V1657" t="str">
            <v>Available</v>
          </cell>
        </row>
        <row r="1658">
          <cell r="E1658">
            <v>10060098</v>
          </cell>
          <cell r="H1658">
            <v>21.660000000000004</v>
          </cell>
          <cell r="I1658">
            <v>974.2299999999999</v>
          </cell>
          <cell r="J1658">
            <v>0</v>
          </cell>
          <cell r="K1658">
            <v>0</v>
          </cell>
          <cell r="M1658">
            <v>0</v>
          </cell>
          <cell r="P1658">
            <v>974</v>
          </cell>
          <cell r="V1658" t="str">
            <v>Available</v>
          </cell>
        </row>
        <row r="1659">
          <cell r="E1659">
            <v>10060098</v>
          </cell>
          <cell r="H1659">
            <v>158.38999999999999</v>
          </cell>
          <cell r="I1659">
            <v>6366.1100000000006</v>
          </cell>
          <cell r="J1659">
            <v>0</v>
          </cell>
          <cell r="K1659">
            <v>0</v>
          </cell>
          <cell r="M1659">
            <v>0</v>
          </cell>
          <cell r="P1659">
            <v>6366</v>
          </cell>
          <cell r="V1659" t="str">
            <v>Not Available</v>
          </cell>
        </row>
        <row r="1660">
          <cell r="E1660">
            <v>10060098</v>
          </cell>
          <cell r="H1660">
            <v>104.16000000000001</v>
          </cell>
          <cell r="I1660">
            <v>4207.1100000000006</v>
          </cell>
          <cell r="J1660">
            <v>0</v>
          </cell>
          <cell r="K1660">
            <v>0</v>
          </cell>
          <cell r="M1660">
            <v>0</v>
          </cell>
          <cell r="P1660">
            <v>4207</v>
          </cell>
          <cell r="V1660" t="str">
            <v>Not Available</v>
          </cell>
        </row>
        <row r="1661">
          <cell r="E1661">
            <v>10060098</v>
          </cell>
          <cell r="H1661">
            <v>166.71</v>
          </cell>
          <cell r="I1661">
            <v>7116.0300000000007</v>
          </cell>
          <cell r="J1661">
            <v>0</v>
          </cell>
          <cell r="K1661">
            <v>0</v>
          </cell>
          <cell r="M1661">
            <v>0</v>
          </cell>
          <cell r="P1661">
            <v>7116</v>
          </cell>
          <cell r="V1661" t="str">
            <v>Not Available</v>
          </cell>
        </row>
        <row r="1662">
          <cell r="E1662">
            <v>10060098</v>
          </cell>
          <cell r="H1662">
            <v>9.61</v>
          </cell>
          <cell r="I1662">
            <v>438.35</v>
          </cell>
          <cell r="J1662">
            <v>0</v>
          </cell>
          <cell r="K1662">
            <v>0</v>
          </cell>
          <cell r="M1662">
            <v>0</v>
          </cell>
          <cell r="P1662">
            <v>438</v>
          </cell>
          <cell r="V1662" t="str">
            <v>Not Available</v>
          </cell>
        </row>
        <row r="1663">
          <cell r="E1663">
            <v>10060098</v>
          </cell>
          <cell r="H1663">
            <v>24.89</v>
          </cell>
          <cell r="I1663">
            <v>959.92</v>
          </cell>
          <cell r="J1663">
            <v>0</v>
          </cell>
          <cell r="K1663">
            <v>0</v>
          </cell>
          <cell r="M1663">
            <v>0</v>
          </cell>
          <cell r="P1663">
            <v>960</v>
          </cell>
          <cell r="V1663" t="str">
            <v>Available</v>
          </cell>
        </row>
        <row r="1664">
          <cell r="E1664">
            <v>10060106</v>
          </cell>
          <cell r="H1664">
            <v>7.7299999999999978</v>
          </cell>
          <cell r="I1664">
            <v>311.64000000000004</v>
          </cell>
          <cell r="J1664">
            <v>0</v>
          </cell>
          <cell r="K1664">
            <v>311.64000000000004</v>
          </cell>
          <cell r="M1664">
            <v>0</v>
          </cell>
          <cell r="P1664">
            <v>0</v>
          </cell>
          <cell r="V1664" t="str">
            <v>Not Available</v>
          </cell>
        </row>
        <row r="1665">
          <cell r="E1665">
            <v>10060106</v>
          </cell>
          <cell r="H1665">
            <v>415.30000000000007</v>
          </cell>
          <cell r="I1665">
            <v>22411.079999999998</v>
          </cell>
          <cell r="J1665">
            <v>0</v>
          </cell>
          <cell r="K1665">
            <v>0</v>
          </cell>
          <cell r="M1665">
            <v>0</v>
          </cell>
          <cell r="P1665">
            <v>22411</v>
          </cell>
          <cell r="V1665" t="str">
            <v>Available</v>
          </cell>
        </row>
        <row r="1666">
          <cell r="E1666">
            <v>10060106</v>
          </cell>
          <cell r="H1666">
            <v>31.16</v>
          </cell>
          <cell r="I1666">
            <v>1255.3800000000001</v>
          </cell>
          <cell r="J1666">
            <v>0</v>
          </cell>
          <cell r="K1666">
            <v>0</v>
          </cell>
          <cell r="M1666">
            <v>0</v>
          </cell>
          <cell r="P1666">
            <v>1255</v>
          </cell>
          <cell r="V1666" t="str">
            <v>Available</v>
          </cell>
        </row>
        <row r="1667">
          <cell r="E1667">
            <v>10060106</v>
          </cell>
          <cell r="H1667">
            <v>39.630000000000003</v>
          </cell>
          <cell r="I1667">
            <v>2247.2799999999997</v>
          </cell>
          <cell r="J1667">
            <v>0</v>
          </cell>
          <cell r="K1667">
            <v>0</v>
          </cell>
          <cell r="M1667">
            <v>0</v>
          </cell>
          <cell r="P1667">
            <v>2247</v>
          </cell>
          <cell r="V1667" t="str">
            <v>Available</v>
          </cell>
        </row>
        <row r="1668">
          <cell r="E1668">
            <v>10060106</v>
          </cell>
          <cell r="H1668">
            <v>58.75</v>
          </cell>
          <cell r="I1668">
            <v>2337.7200000000003</v>
          </cell>
          <cell r="J1668">
            <v>0</v>
          </cell>
          <cell r="K1668">
            <v>0</v>
          </cell>
          <cell r="M1668">
            <v>0</v>
          </cell>
          <cell r="P1668">
            <v>2338</v>
          </cell>
          <cell r="V1668" t="str">
            <v>Available</v>
          </cell>
        </row>
        <row r="1669">
          <cell r="E1669">
            <v>10060106</v>
          </cell>
          <cell r="H1669">
            <v>41.970000000000006</v>
          </cell>
          <cell r="I1669">
            <v>1670.8899999999999</v>
          </cell>
          <cell r="J1669">
            <v>0</v>
          </cell>
          <cell r="K1669">
            <v>0</v>
          </cell>
          <cell r="M1669">
            <v>0</v>
          </cell>
          <cell r="P1669">
            <v>1671</v>
          </cell>
          <cell r="V1669" t="str">
            <v>Available</v>
          </cell>
        </row>
        <row r="1670">
          <cell r="E1670">
            <v>10060106</v>
          </cell>
          <cell r="H1670">
            <v>38.190000000000005</v>
          </cell>
          <cell r="I1670">
            <v>2268.21</v>
          </cell>
          <cell r="J1670">
            <v>0</v>
          </cell>
          <cell r="K1670">
            <v>0</v>
          </cell>
          <cell r="M1670">
            <v>0</v>
          </cell>
          <cell r="P1670">
            <v>2268</v>
          </cell>
          <cell r="V1670" t="str">
            <v>Available</v>
          </cell>
        </row>
        <row r="1671">
          <cell r="E1671">
            <v>10060106</v>
          </cell>
          <cell r="H1671">
            <v>19.440000000000001</v>
          </cell>
          <cell r="I1671">
            <v>751.18</v>
          </cell>
          <cell r="J1671">
            <v>0</v>
          </cell>
          <cell r="K1671">
            <v>0</v>
          </cell>
          <cell r="M1671">
            <v>0</v>
          </cell>
          <cell r="P1671">
            <v>751</v>
          </cell>
          <cell r="V1671" t="str">
            <v>Available</v>
          </cell>
        </row>
        <row r="1672">
          <cell r="E1672">
            <v>10060106</v>
          </cell>
          <cell r="H1672">
            <v>58.27</v>
          </cell>
          <cell r="I1672">
            <v>2692.26</v>
          </cell>
          <cell r="J1672">
            <v>0</v>
          </cell>
          <cell r="K1672">
            <v>0</v>
          </cell>
          <cell r="M1672">
            <v>0</v>
          </cell>
          <cell r="P1672">
            <v>2692</v>
          </cell>
          <cell r="V1672" t="str">
            <v>Available</v>
          </cell>
        </row>
        <row r="1673">
          <cell r="E1673">
            <v>10060106</v>
          </cell>
          <cell r="H1673">
            <v>40.099999999999994</v>
          </cell>
          <cell r="I1673">
            <v>1545.6499999999999</v>
          </cell>
          <cell r="J1673">
            <v>0</v>
          </cell>
          <cell r="K1673">
            <v>0</v>
          </cell>
          <cell r="M1673">
            <v>0</v>
          </cell>
          <cell r="P1673">
            <v>1546</v>
          </cell>
          <cell r="V1673" t="str">
            <v>Available</v>
          </cell>
        </row>
        <row r="1674">
          <cell r="E1674">
            <v>10060106</v>
          </cell>
          <cell r="H1674">
            <v>38.56</v>
          </cell>
          <cell r="I1674">
            <v>1478.24</v>
          </cell>
          <cell r="J1674">
            <v>0</v>
          </cell>
          <cell r="K1674">
            <v>0</v>
          </cell>
          <cell r="M1674">
            <v>0</v>
          </cell>
          <cell r="P1674">
            <v>1478</v>
          </cell>
          <cell r="V1674" t="str">
            <v>Available</v>
          </cell>
        </row>
        <row r="1675">
          <cell r="E1675">
            <v>10060106</v>
          </cell>
          <cell r="H1675">
            <v>31.98</v>
          </cell>
          <cell r="I1675">
            <v>1806.1699999999998</v>
          </cell>
          <cell r="J1675">
            <v>0</v>
          </cell>
          <cell r="K1675">
            <v>0</v>
          </cell>
          <cell r="M1675">
            <v>0</v>
          </cell>
          <cell r="P1675">
            <v>1806</v>
          </cell>
          <cell r="V1675" t="str">
            <v>Available</v>
          </cell>
        </row>
        <row r="1676">
          <cell r="E1676">
            <v>10060110</v>
          </cell>
          <cell r="H1676">
            <v>2.5999999999999996</v>
          </cell>
          <cell r="I1676">
            <v>112.24000000000001</v>
          </cell>
          <cell r="J1676">
            <v>0</v>
          </cell>
          <cell r="K1676">
            <v>112.24000000000001</v>
          </cell>
          <cell r="M1676">
            <v>0</v>
          </cell>
          <cell r="P1676">
            <v>0</v>
          </cell>
          <cell r="V1676" t="str">
            <v>Not Available</v>
          </cell>
        </row>
        <row r="1677">
          <cell r="E1677">
            <v>10060110</v>
          </cell>
          <cell r="H1677">
            <v>231.6</v>
          </cell>
          <cell r="I1677">
            <v>10104.429999999998</v>
          </cell>
          <cell r="J1677">
            <v>0</v>
          </cell>
          <cell r="K1677">
            <v>0</v>
          </cell>
          <cell r="M1677">
            <v>0</v>
          </cell>
          <cell r="P1677">
            <v>9537</v>
          </cell>
          <cell r="V1677" t="str">
            <v>Available</v>
          </cell>
        </row>
        <row r="1678">
          <cell r="E1678">
            <v>10060110</v>
          </cell>
          <cell r="H1678">
            <v>6.3</v>
          </cell>
          <cell r="I1678">
            <v>265.89999999999998</v>
          </cell>
          <cell r="J1678">
            <v>0</v>
          </cell>
          <cell r="K1678">
            <v>0</v>
          </cell>
          <cell r="M1678">
            <v>0</v>
          </cell>
          <cell r="P1678">
            <v>266</v>
          </cell>
          <cell r="V1678" t="str">
            <v>Not Available</v>
          </cell>
        </row>
        <row r="1679">
          <cell r="E1679">
            <v>10060110</v>
          </cell>
          <cell r="H1679">
            <v>35.1</v>
          </cell>
          <cell r="I1679">
            <v>1475.72</v>
          </cell>
          <cell r="J1679">
            <v>0</v>
          </cell>
          <cell r="K1679">
            <v>0</v>
          </cell>
          <cell r="M1679">
            <v>0</v>
          </cell>
          <cell r="P1679">
            <v>1476</v>
          </cell>
          <cell r="V1679" t="str">
            <v>Not Available</v>
          </cell>
        </row>
        <row r="1680">
          <cell r="E1680">
            <v>10060110</v>
          </cell>
          <cell r="H1680">
            <v>20</v>
          </cell>
          <cell r="I1680">
            <v>812.45</v>
          </cell>
          <cell r="J1680">
            <v>0</v>
          </cell>
          <cell r="K1680">
            <v>0</v>
          </cell>
          <cell r="M1680">
            <v>0</v>
          </cell>
          <cell r="P1680">
            <v>812</v>
          </cell>
          <cell r="V1680" t="str">
            <v>Not Available</v>
          </cell>
        </row>
        <row r="1681">
          <cell r="E1681">
            <v>10060110</v>
          </cell>
          <cell r="H1681">
            <v>26.7</v>
          </cell>
          <cell r="I1681">
            <v>1088.74</v>
          </cell>
          <cell r="J1681">
            <v>0</v>
          </cell>
          <cell r="K1681">
            <v>0</v>
          </cell>
          <cell r="M1681">
            <v>0</v>
          </cell>
          <cell r="P1681">
            <v>1089</v>
          </cell>
          <cell r="V1681" t="str">
            <v>Not Available</v>
          </cell>
        </row>
        <row r="1682">
          <cell r="E1682">
            <v>10060110</v>
          </cell>
          <cell r="H1682">
            <v>20.6</v>
          </cell>
          <cell r="I1682">
            <v>853.09999999999991</v>
          </cell>
          <cell r="J1682">
            <v>0</v>
          </cell>
          <cell r="K1682">
            <v>0</v>
          </cell>
          <cell r="M1682">
            <v>0</v>
          </cell>
          <cell r="P1682">
            <v>853</v>
          </cell>
          <cell r="V1682" t="str">
            <v>Not Available</v>
          </cell>
        </row>
        <row r="1683">
          <cell r="E1683">
            <v>10060111</v>
          </cell>
          <cell r="H1683">
            <v>34.26</v>
          </cell>
          <cell r="I1683">
            <v>1646.19</v>
          </cell>
          <cell r="J1683">
            <v>0</v>
          </cell>
          <cell r="K1683">
            <v>0</v>
          </cell>
          <cell r="M1683">
            <v>0</v>
          </cell>
          <cell r="P1683">
            <v>0</v>
          </cell>
          <cell r="V1683" t="str">
            <v>Available</v>
          </cell>
        </row>
        <row r="1684">
          <cell r="E1684">
            <v>10060111</v>
          </cell>
          <cell r="H1684">
            <v>30.7</v>
          </cell>
          <cell r="I1684">
            <v>1147.82</v>
          </cell>
          <cell r="J1684">
            <v>0</v>
          </cell>
          <cell r="K1684">
            <v>0</v>
          </cell>
          <cell r="M1684">
            <v>0</v>
          </cell>
          <cell r="P1684">
            <v>1061</v>
          </cell>
          <cell r="V1684" t="str">
            <v>Available</v>
          </cell>
        </row>
        <row r="1685">
          <cell r="E1685">
            <v>10060111</v>
          </cell>
          <cell r="H1685">
            <v>393.01</v>
          </cell>
          <cell r="I1685">
            <v>20420.919999999998</v>
          </cell>
          <cell r="J1685">
            <v>0</v>
          </cell>
          <cell r="K1685">
            <v>0</v>
          </cell>
          <cell r="M1685">
            <v>0</v>
          </cell>
          <cell r="P1685">
            <v>17521</v>
          </cell>
          <cell r="V1685" t="str">
            <v>Available</v>
          </cell>
        </row>
        <row r="1686">
          <cell r="E1686">
            <v>10060114</v>
          </cell>
          <cell r="H1686">
            <v>105.3</v>
          </cell>
          <cell r="I1686">
            <v>4923.9500000000007</v>
          </cell>
          <cell r="J1686">
            <v>0</v>
          </cell>
          <cell r="K1686">
            <v>0</v>
          </cell>
          <cell r="M1686">
            <v>0</v>
          </cell>
          <cell r="P1686">
            <v>4686</v>
          </cell>
          <cell r="V1686" t="str">
            <v>Available</v>
          </cell>
        </row>
        <row r="1687">
          <cell r="E1687">
            <v>10060115</v>
          </cell>
          <cell r="H1687">
            <v>19.7</v>
          </cell>
          <cell r="I1687">
            <v>936.54</v>
          </cell>
          <cell r="J1687">
            <v>0</v>
          </cell>
          <cell r="K1687">
            <v>0</v>
          </cell>
          <cell r="M1687">
            <v>0</v>
          </cell>
          <cell r="P1687">
            <v>0</v>
          </cell>
          <cell r="V1687" t="str">
            <v>Available</v>
          </cell>
        </row>
        <row r="1688">
          <cell r="E1688">
            <v>10060115</v>
          </cell>
          <cell r="H1688">
            <v>88.199999999999989</v>
          </cell>
          <cell r="I1688">
            <v>4617.3499999999995</v>
          </cell>
          <cell r="J1688">
            <v>0</v>
          </cell>
          <cell r="K1688">
            <v>0</v>
          </cell>
          <cell r="M1688">
            <v>0</v>
          </cell>
          <cell r="P1688">
            <v>4134</v>
          </cell>
          <cell r="V1688" t="str">
            <v>Available</v>
          </cell>
        </row>
        <row r="1689">
          <cell r="E1689">
            <v>10060115</v>
          </cell>
          <cell r="H1689">
            <v>47.2</v>
          </cell>
          <cell r="I1689">
            <v>2313</v>
          </cell>
          <cell r="J1689">
            <v>0</v>
          </cell>
          <cell r="K1689">
            <v>0</v>
          </cell>
          <cell r="M1689">
            <v>0</v>
          </cell>
          <cell r="P1689">
            <v>2313</v>
          </cell>
          <cell r="V1689" t="str">
            <v>Available</v>
          </cell>
        </row>
        <row r="1690">
          <cell r="E1690">
            <v>10060116</v>
          </cell>
          <cell r="H1690">
            <v>0.89999999999999991</v>
          </cell>
          <cell r="I1690">
            <v>35.07</v>
          </cell>
          <cell r="J1690">
            <v>0</v>
          </cell>
          <cell r="K1690">
            <v>35.07</v>
          </cell>
          <cell r="M1690">
            <v>0</v>
          </cell>
          <cell r="P1690">
            <v>0</v>
          </cell>
          <cell r="V1690" t="str">
            <v>Not Available</v>
          </cell>
        </row>
        <row r="1691">
          <cell r="E1691">
            <v>10060116</v>
          </cell>
          <cell r="H1691">
            <v>113.80000000000001</v>
          </cell>
          <cell r="I1691">
            <v>4419.84</v>
          </cell>
          <cell r="J1691">
            <v>0</v>
          </cell>
          <cell r="K1691">
            <v>0</v>
          </cell>
          <cell r="M1691">
            <v>0</v>
          </cell>
          <cell r="P1691">
            <v>4246</v>
          </cell>
          <cell r="V1691" t="str">
            <v>Available</v>
          </cell>
        </row>
        <row r="1692">
          <cell r="E1692">
            <v>10060116</v>
          </cell>
          <cell r="H1692">
            <v>1.5</v>
          </cell>
          <cell r="I1692">
            <v>53.82</v>
          </cell>
          <cell r="J1692">
            <v>0</v>
          </cell>
          <cell r="K1692">
            <v>0</v>
          </cell>
          <cell r="M1692">
            <v>0</v>
          </cell>
          <cell r="P1692">
            <v>54</v>
          </cell>
          <cell r="V1692" t="str">
            <v>Not Available</v>
          </cell>
        </row>
        <row r="1693">
          <cell r="E1693">
            <v>10060118</v>
          </cell>
          <cell r="H1693">
            <v>283.65000000000003</v>
          </cell>
          <cell r="I1693">
            <v>17262.349999999999</v>
          </cell>
          <cell r="J1693">
            <v>0</v>
          </cell>
          <cell r="K1693">
            <v>0</v>
          </cell>
          <cell r="M1693">
            <v>0</v>
          </cell>
          <cell r="P1693">
            <v>8309</v>
          </cell>
          <cell r="V1693" t="str">
            <v>Available</v>
          </cell>
        </row>
        <row r="1694">
          <cell r="E1694">
            <v>10060118</v>
          </cell>
          <cell r="H1694">
            <v>149.54</v>
          </cell>
          <cell r="I1694">
            <v>9598.69</v>
          </cell>
          <cell r="J1694">
            <v>0</v>
          </cell>
          <cell r="K1694">
            <v>0</v>
          </cell>
          <cell r="M1694">
            <v>0</v>
          </cell>
          <cell r="P1694">
            <v>9599</v>
          </cell>
          <cell r="V1694" t="str">
            <v>Not Available</v>
          </cell>
        </row>
        <row r="1695">
          <cell r="E1695">
            <v>10060118</v>
          </cell>
          <cell r="H1695">
            <v>11.14</v>
          </cell>
          <cell r="I1695">
            <v>838.4</v>
          </cell>
          <cell r="J1695">
            <v>0</v>
          </cell>
          <cell r="K1695">
            <v>0</v>
          </cell>
          <cell r="M1695">
            <v>0</v>
          </cell>
          <cell r="P1695">
            <v>838</v>
          </cell>
          <cell r="V1695" t="str">
            <v>Not Available</v>
          </cell>
        </row>
        <row r="1696">
          <cell r="E1696">
            <v>10060126</v>
          </cell>
          <cell r="H1696">
            <v>362.7</v>
          </cell>
          <cell r="I1696">
            <v>13146.73</v>
          </cell>
          <cell r="J1696">
            <v>0</v>
          </cell>
          <cell r="K1696">
            <v>0</v>
          </cell>
          <cell r="M1696">
            <v>0</v>
          </cell>
          <cell r="P1696">
            <v>7793</v>
          </cell>
          <cell r="V1696" t="str">
            <v>Available</v>
          </cell>
        </row>
        <row r="1697">
          <cell r="E1697">
            <v>10060126</v>
          </cell>
          <cell r="H1697">
            <v>70.099999999999994</v>
          </cell>
          <cell r="I1697">
            <v>2500.1699999999996</v>
          </cell>
          <cell r="J1697">
            <v>0</v>
          </cell>
          <cell r="K1697">
            <v>0</v>
          </cell>
          <cell r="M1697">
            <v>0</v>
          </cell>
          <cell r="P1697">
            <v>2500</v>
          </cell>
          <cell r="V1697" t="str">
            <v>Not Available</v>
          </cell>
        </row>
        <row r="1698">
          <cell r="E1698">
            <v>10060126</v>
          </cell>
          <cell r="H1698">
            <v>30</v>
          </cell>
          <cell r="I1698">
            <v>1075.95</v>
          </cell>
          <cell r="J1698">
            <v>0</v>
          </cell>
          <cell r="K1698">
            <v>0</v>
          </cell>
          <cell r="M1698">
            <v>0</v>
          </cell>
          <cell r="P1698">
            <v>1076</v>
          </cell>
          <cell r="V1698" t="str">
            <v>Not Available</v>
          </cell>
        </row>
        <row r="1699">
          <cell r="E1699">
            <v>10060126</v>
          </cell>
          <cell r="H1699">
            <v>21.6</v>
          </cell>
          <cell r="I1699">
            <v>756.65</v>
          </cell>
          <cell r="J1699">
            <v>0</v>
          </cell>
          <cell r="K1699">
            <v>0</v>
          </cell>
          <cell r="M1699">
            <v>0</v>
          </cell>
          <cell r="P1699">
            <v>757</v>
          </cell>
          <cell r="V1699" t="str">
            <v>Not Available</v>
          </cell>
        </row>
        <row r="1700">
          <cell r="E1700">
            <v>10060126</v>
          </cell>
          <cell r="H1700">
            <v>174.29999999999998</v>
          </cell>
          <cell r="I1700">
            <v>6252.22</v>
          </cell>
          <cell r="J1700">
            <v>0</v>
          </cell>
          <cell r="K1700">
            <v>0</v>
          </cell>
          <cell r="M1700">
            <v>0</v>
          </cell>
          <cell r="P1700">
            <v>6252</v>
          </cell>
          <cell r="V1700" t="str">
            <v>Not Available</v>
          </cell>
        </row>
        <row r="1701">
          <cell r="E1701">
            <v>10060129</v>
          </cell>
          <cell r="H1701">
            <v>3.4</v>
          </cell>
          <cell r="I1701">
            <v>144.57</v>
          </cell>
          <cell r="J1701">
            <v>0</v>
          </cell>
          <cell r="K1701">
            <v>144.57</v>
          </cell>
          <cell r="M1701">
            <v>0</v>
          </cell>
          <cell r="P1701">
            <v>0</v>
          </cell>
          <cell r="V1701" t="str">
            <v>Not Available</v>
          </cell>
        </row>
        <row r="1702">
          <cell r="E1702">
            <v>10060129</v>
          </cell>
          <cell r="H1702">
            <v>178.7</v>
          </cell>
          <cell r="I1702">
            <v>7538.1600000000008</v>
          </cell>
          <cell r="J1702">
            <v>0</v>
          </cell>
          <cell r="K1702">
            <v>0</v>
          </cell>
          <cell r="M1702">
            <v>0</v>
          </cell>
          <cell r="P1702">
            <v>7046</v>
          </cell>
          <cell r="V1702" t="str">
            <v>Available</v>
          </cell>
        </row>
        <row r="1703">
          <cell r="E1703">
            <v>10060129</v>
          </cell>
          <cell r="H1703">
            <v>105.6</v>
          </cell>
          <cell r="I1703">
            <v>4761.76</v>
          </cell>
          <cell r="J1703">
            <v>0</v>
          </cell>
          <cell r="K1703">
            <v>0</v>
          </cell>
          <cell r="M1703">
            <v>0</v>
          </cell>
          <cell r="P1703">
            <v>4762</v>
          </cell>
          <cell r="V1703" t="str">
            <v>Available</v>
          </cell>
        </row>
        <row r="1704">
          <cell r="E1704">
            <v>10060129</v>
          </cell>
          <cell r="H1704">
            <v>5.0999999999999996</v>
          </cell>
          <cell r="I1704">
            <v>218.33</v>
          </cell>
          <cell r="J1704">
            <v>0</v>
          </cell>
          <cell r="K1704">
            <v>0</v>
          </cell>
          <cell r="M1704">
            <v>0</v>
          </cell>
          <cell r="P1704">
            <v>218</v>
          </cell>
          <cell r="V1704" t="str">
            <v>Not Available</v>
          </cell>
        </row>
        <row r="1705">
          <cell r="E1705">
            <v>10060129</v>
          </cell>
          <cell r="H1705">
            <v>3.2</v>
          </cell>
          <cell r="I1705">
            <v>131.68</v>
          </cell>
          <cell r="J1705">
            <v>0</v>
          </cell>
          <cell r="K1705">
            <v>0</v>
          </cell>
          <cell r="M1705">
            <v>0</v>
          </cell>
          <cell r="P1705">
            <v>132</v>
          </cell>
          <cell r="V1705" t="str">
            <v>Not Available</v>
          </cell>
        </row>
        <row r="1706">
          <cell r="E1706">
            <v>10060129</v>
          </cell>
          <cell r="H1706">
            <v>17.799999999999997</v>
          </cell>
          <cell r="I1706">
            <v>757.65</v>
          </cell>
          <cell r="J1706">
            <v>0</v>
          </cell>
          <cell r="K1706">
            <v>0</v>
          </cell>
          <cell r="M1706">
            <v>0</v>
          </cell>
          <cell r="P1706">
            <v>758</v>
          </cell>
          <cell r="V1706" t="str">
            <v>Not Available</v>
          </cell>
        </row>
        <row r="1707">
          <cell r="E1707">
            <v>10060129</v>
          </cell>
          <cell r="H1707">
            <v>2.1</v>
          </cell>
          <cell r="I1707">
            <v>86.69</v>
          </cell>
          <cell r="J1707">
            <v>0</v>
          </cell>
          <cell r="K1707">
            <v>0</v>
          </cell>
          <cell r="M1707">
            <v>0</v>
          </cell>
          <cell r="P1707">
            <v>87</v>
          </cell>
          <cell r="V1707" t="str">
            <v>Not Available</v>
          </cell>
        </row>
        <row r="1708">
          <cell r="E1708">
            <v>10060130</v>
          </cell>
          <cell r="H1708">
            <v>20.11</v>
          </cell>
          <cell r="I1708">
            <v>923.84</v>
          </cell>
          <cell r="J1708">
            <v>0</v>
          </cell>
          <cell r="K1708">
            <v>923.84</v>
          </cell>
          <cell r="M1708">
            <v>0</v>
          </cell>
          <cell r="P1708">
            <v>0</v>
          </cell>
          <cell r="V1708" t="str">
            <v>Not Available</v>
          </cell>
        </row>
        <row r="1709">
          <cell r="E1709">
            <v>10060130</v>
          </cell>
          <cell r="H1709">
            <v>870.83999999999969</v>
          </cell>
          <cell r="I1709">
            <v>42561.710000000014</v>
          </cell>
          <cell r="J1709">
            <v>0</v>
          </cell>
          <cell r="K1709">
            <v>0</v>
          </cell>
          <cell r="M1709">
            <v>0</v>
          </cell>
          <cell r="P1709">
            <v>32330</v>
          </cell>
          <cell r="V1709" t="str">
            <v>Available</v>
          </cell>
        </row>
        <row r="1710">
          <cell r="E1710">
            <v>10060130</v>
          </cell>
          <cell r="H1710">
            <v>21.97</v>
          </cell>
          <cell r="I1710">
            <v>931.43000000000006</v>
          </cell>
          <cell r="J1710">
            <v>0</v>
          </cell>
          <cell r="K1710">
            <v>0</v>
          </cell>
          <cell r="M1710">
            <v>0</v>
          </cell>
          <cell r="P1710">
            <v>931</v>
          </cell>
          <cell r="V1710" t="str">
            <v>Available</v>
          </cell>
        </row>
        <row r="1711">
          <cell r="E1711">
            <v>10060130</v>
          </cell>
          <cell r="H1711">
            <v>93.220000000000013</v>
          </cell>
          <cell r="I1711">
            <v>4193.72</v>
          </cell>
          <cell r="J1711">
            <v>0</v>
          </cell>
          <cell r="K1711">
            <v>0</v>
          </cell>
          <cell r="M1711">
            <v>0</v>
          </cell>
          <cell r="P1711">
            <v>4194</v>
          </cell>
          <cell r="V1711" t="str">
            <v>Available</v>
          </cell>
        </row>
        <row r="1712">
          <cell r="E1712">
            <v>10060130</v>
          </cell>
          <cell r="H1712">
            <v>99.85</v>
          </cell>
          <cell r="I1712">
            <v>4299.5199999999995</v>
          </cell>
          <cell r="J1712">
            <v>0</v>
          </cell>
          <cell r="K1712">
            <v>0</v>
          </cell>
          <cell r="M1712">
            <v>0</v>
          </cell>
          <cell r="P1712">
            <v>4300</v>
          </cell>
          <cell r="V1712" t="str">
            <v>Available</v>
          </cell>
        </row>
        <row r="1713">
          <cell r="E1713">
            <v>10060130</v>
          </cell>
          <cell r="H1713">
            <v>84.59</v>
          </cell>
          <cell r="I1713">
            <v>3288.6899999999996</v>
          </cell>
          <cell r="J1713">
            <v>0</v>
          </cell>
          <cell r="K1713">
            <v>0</v>
          </cell>
          <cell r="M1713">
            <v>0</v>
          </cell>
          <cell r="P1713">
            <v>3289</v>
          </cell>
          <cell r="V1713" t="str">
            <v>Available</v>
          </cell>
        </row>
        <row r="1714">
          <cell r="E1714">
            <v>10060130</v>
          </cell>
          <cell r="H1714">
            <v>42.610000000000007</v>
          </cell>
          <cell r="I1714">
            <v>1729.7799999999997</v>
          </cell>
          <cell r="J1714">
            <v>0</v>
          </cell>
          <cell r="K1714">
            <v>0</v>
          </cell>
          <cell r="M1714">
            <v>0</v>
          </cell>
          <cell r="P1714">
            <v>1730</v>
          </cell>
          <cell r="V1714" t="str">
            <v>Available</v>
          </cell>
        </row>
        <row r="1715">
          <cell r="E1715">
            <v>10060130</v>
          </cell>
          <cell r="H1715">
            <v>29.310000000000002</v>
          </cell>
          <cell r="I1715">
            <v>1343.8</v>
          </cell>
          <cell r="J1715">
            <v>0</v>
          </cell>
          <cell r="K1715">
            <v>0</v>
          </cell>
          <cell r="M1715">
            <v>0</v>
          </cell>
          <cell r="P1715">
            <v>1344</v>
          </cell>
          <cell r="V1715" t="str">
            <v>Available</v>
          </cell>
        </row>
        <row r="1716">
          <cell r="E1716">
            <v>10060130</v>
          </cell>
          <cell r="H1716">
            <v>56.370000000000005</v>
          </cell>
          <cell r="I1716">
            <v>2723.79</v>
          </cell>
          <cell r="J1716">
            <v>0</v>
          </cell>
          <cell r="K1716">
            <v>0</v>
          </cell>
          <cell r="M1716">
            <v>0</v>
          </cell>
          <cell r="P1716">
            <v>2724</v>
          </cell>
          <cell r="V1716" t="str">
            <v>Available</v>
          </cell>
        </row>
        <row r="1717">
          <cell r="E1717">
            <v>10060130</v>
          </cell>
          <cell r="H1717">
            <v>12.88</v>
          </cell>
          <cell r="I1717">
            <v>558.99</v>
          </cell>
          <cell r="J1717">
            <v>0</v>
          </cell>
          <cell r="K1717">
            <v>0</v>
          </cell>
          <cell r="M1717">
            <v>0</v>
          </cell>
          <cell r="P1717">
            <v>559</v>
          </cell>
          <cell r="V1717" t="str">
            <v>Available</v>
          </cell>
        </row>
        <row r="1718">
          <cell r="E1718">
            <v>10060130</v>
          </cell>
          <cell r="H1718">
            <v>58.080000000000005</v>
          </cell>
          <cell r="I1718">
            <v>2848.5899999999997</v>
          </cell>
          <cell r="J1718">
            <v>0</v>
          </cell>
          <cell r="K1718">
            <v>0</v>
          </cell>
          <cell r="M1718">
            <v>0</v>
          </cell>
          <cell r="P1718">
            <v>2849</v>
          </cell>
          <cell r="V1718" t="str">
            <v>Available</v>
          </cell>
        </row>
        <row r="1719">
          <cell r="E1719">
            <v>10060130</v>
          </cell>
          <cell r="H1719">
            <v>13.15</v>
          </cell>
          <cell r="I1719">
            <v>522.71</v>
          </cell>
          <cell r="J1719">
            <v>0</v>
          </cell>
          <cell r="K1719">
            <v>0</v>
          </cell>
          <cell r="M1719">
            <v>0</v>
          </cell>
          <cell r="P1719">
            <v>523</v>
          </cell>
          <cell r="V1719" t="str">
            <v>Available</v>
          </cell>
        </row>
        <row r="1720">
          <cell r="E1720">
            <v>10060130</v>
          </cell>
          <cell r="H1720">
            <v>77.230000000000018</v>
          </cell>
          <cell r="I1720">
            <v>3896.2100000000005</v>
          </cell>
          <cell r="J1720">
            <v>0</v>
          </cell>
          <cell r="K1720">
            <v>0</v>
          </cell>
          <cell r="M1720">
            <v>0</v>
          </cell>
          <cell r="P1720">
            <v>3896</v>
          </cell>
          <cell r="V1720" t="str">
            <v>Available</v>
          </cell>
        </row>
        <row r="1721">
          <cell r="E1721">
            <v>10060130</v>
          </cell>
          <cell r="H1721">
            <v>100.81</v>
          </cell>
          <cell r="I1721">
            <v>5429.0800000000008</v>
          </cell>
          <cell r="J1721">
            <v>0</v>
          </cell>
          <cell r="K1721">
            <v>0</v>
          </cell>
          <cell r="M1721">
            <v>0</v>
          </cell>
          <cell r="P1721">
            <v>5429</v>
          </cell>
          <cell r="V1721" t="str">
            <v>Available</v>
          </cell>
        </row>
        <row r="1722">
          <cell r="E1722">
            <v>10060130</v>
          </cell>
          <cell r="H1722">
            <v>21.369999999999997</v>
          </cell>
          <cell r="I1722">
            <v>842.42</v>
          </cell>
          <cell r="J1722">
            <v>0</v>
          </cell>
          <cell r="K1722">
            <v>0</v>
          </cell>
          <cell r="M1722">
            <v>0</v>
          </cell>
          <cell r="P1722">
            <v>842</v>
          </cell>
          <cell r="V1722" t="str">
            <v>Available</v>
          </cell>
        </row>
        <row r="1723">
          <cell r="E1723">
            <v>10060130</v>
          </cell>
          <cell r="H1723">
            <v>14.3</v>
          </cell>
          <cell r="I1723">
            <v>651.94999999999993</v>
          </cell>
          <cell r="J1723">
            <v>0</v>
          </cell>
          <cell r="K1723">
            <v>0</v>
          </cell>
          <cell r="M1723">
            <v>0</v>
          </cell>
          <cell r="P1723">
            <v>652</v>
          </cell>
          <cell r="V1723" t="str">
            <v>Available</v>
          </cell>
        </row>
        <row r="1724">
          <cell r="E1724">
            <v>10060130</v>
          </cell>
          <cell r="H1724">
            <v>55.59</v>
          </cell>
          <cell r="I1724">
            <v>2630.41</v>
          </cell>
          <cell r="J1724">
            <v>0</v>
          </cell>
          <cell r="K1724">
            <v>0</v>
          </cell>
          <cell r="M1724">
            <v>0</v>
          </cell>
          <cell r="P1724">
            <v>2630</v>
          </cell>
          <cell r="V1724" t="str">
            <v>Available</v>
          </cell>
        </row>
        <row r="1725">
          <cell r="E1725">
            <v>10060130</v>
          </cell>
          <cell r="H1725">
            <v>86.23</v>
          </cell>
          <cell r="I1725">
            <v>3486.5</v>
          </cell>
          <cell r="J1725">
            <v>0</v>
          </cell>
          <cell r="K1725">
            <v>0</v>
          </cell>
          <cell r="M1725">
            <v>0</v>
          </cell>
          <cell r="P1725">
            <v>3487</v>
          </cell>
          <cell r="V1725" t="str">
            <v>Available</v>
          </cell>
        </row>
        <row r="1726">
          <cell r="E1726">
            <v>10060130</v>
          </cell>
          <cell r="H1726">
            <v>26.619999999999997</v>
          </cell>
          <cell r="I1726">
            <v>1170.5</v>
          </cell>
          <cell r="J1726">
            <v>0</v>
          </cell>
          <cell r="K1726">
            <v>0</v>
          </cell>
          <cell r="M1726">
            <v>0</v>
          </cell>
          <cell r="P1726">
            <v>1171</v>
          </cell>
          <cell r="V1726" t="str">
            <v>Available</v>
          </cell>
        </row>
        <row r="1727">
          <cell r="E1727">
            <v>10060130</v>
          </cell>
          <cell r="H1727">
            <v>62.899999999999991</v>
          </cell>
          <cell r="I1727">
            <v>3108.84</v>
          </cell>
          <cell r="J1727">
            <v>0</v>
          </cell>
          <cell r="K1727">
            <v>0</v>
          </cell>
          <cell r="M1727">
            <v>0</v>
          </cell>
          <cell r="P1727">
            <v>3109</v>
          </cell>
          <cell r="V1727" t="str">
            <v>Not Available</v>
          </cell>
        </row>
        <row r="1728">
          <cell r="E1728">
            <v>10060130</v>
          </cell>
          <cell r="H1728">
            <v>154.6</v>
          </cell>
          <cell r="I1728">
            <v>7544.8700000000008</v>
          </cell>
          <cell r="J1728">
            <v>0</v>
          </cell>
          <cell r="K1728">
            <v>0</v>
          </cell>
          <cell r="M1728">
            <v>0</v>
          </cell>
          <cell r="P1728">
            <v>7545</v>
          </cell>
          <cell r="V1728" t="str">
            <v>Not Available</v>
          </cell>
        </row>
        <row r="1729">
          <cell r="E1729">
            <v>10060130</v>
          </cell>
          <cell r="H1729">
            <v>14.009999999999996</v>
          </cell>
          <cell r="I1729">
            <v>1239.9399999999998</v>
          </cell>
          <cell r="J1729">
            <v>0</v>
          </cell>
          <cell r="K1729">
            <v>0</v>
          </cell>
          <cell r="M1729">
            <v>0</v>
          </cell>
          <cell r="P1729">
            <v>1240</v>
          </cell>
          <cell r="V1729" t="str">
            <v>Not Available</v>
          </cell>
        </row>
        <row r="1730">
          <cell r="E1730">
            <v>10060130</v>
          </cell>
          <cell r="H1730">
            <v>5.63</v>
          </cell>
          <cell r="I1730">
            <v>252.79</v>
          </cell>
          <cell r="J1730">
            <v>0</v>
          </cell>
          <cell r="K1730">
            <v>0</v>
          </cell>
          <cell r="M1730">
            <v>0</v>
          </cell>
          <cell r="P1730">
            <v>253</v>
          </cell>
          <cell r="V1730" t="str">
            <v>Not Available</v>
          </cell>
        </row>
        <row r="1731">
          <cell r="E1731">
            <v>10060130</v>
          </cell>
          <cell r="H1731">
            <v>42.230000000000004</v>
          </cell>
          <cell r="I1731">
            <v>2005.45</v>
          </cell>
          <cell r="J1731">
            <v>0</v>
          </cell>
          <cell r="K1731">
            <v>0</v>
          </cell>
          <cell r="M1731">
            <v>0</v>
          </cell>
          <cell r="P1731">
            <v>2005</v>
          </cell>
          <cell r="V1731" t="str">
            <v>Not Available</v>
          </cell>
        </row>
        <row r="1732">
          <cell r="E1732">
            <v>10060130</v>
          </cell>
          <cell r="H1732">
            <v>13.190000000000001</v>
          </cell>
          <cell r="I1732">
            <v>641.28</v>
          </cell>
          <cell r="J1732">
            <v>0</v>
          </cell>
          <cell r="K1732">
            <v>0</v>
          </cell>
          <cell r="M1732">
            <v>0</v>
          </cell>
          <cell r="P1732">
            <v>641</v>
          </cell>
          <cell r="V1732" t="str">
            <v>Not Available</v>
          </cell>
        </row>
        <row r="1733">
          <cell r="E1733">
            <v>10060130</v>
          </cell>
          <cell r="H1733">
            <v>27.49</v>
          </cell>
          <cell r="I1733">
            <v>1196.3499999999999</v>
          </cell>
          <cell r="J1733">
            <v>0</v>
          </cell>
          <cell r="K1733">
            <v>0</v>
          </cell>
          <cell r="M1733">
            <v>0</v>
          </cell>
          <cell r="P1733">
            <v>1196</v>
          </cell>
          <cell r="V1733" t="str">
            <v>Not Available</v>
          </cell>
        </row>
        <row r="1734">
          <cell r="E1734">
            <v>10060130</v>
          </cell>
          <cell r="H1734">
            <v>28.25</v>
          </cell>
          <cell r="I1734">
            <v>1196.23</v>
          </cell>
          <cell r="J1734">
            <v>0</v>
          </cell>
          <cell r="K1734">
            <v>0</v>
          </cell>
          <cell r="M1734">
            <v>0</v>
          </cell>
          <cell r="P1734">
            <v>1196</v>
          </cell>
          <cell r="V1734" t="str">
            <v>Not Available</v>
          </cell>
        </row>
        <row r="1735">
          <cell r="E1735">
            <v>10060130</v>
          </cell>
          <cell r="H1735">
            <v>13.099999999999998</v>
          </cell>
          <cell r="I1735">
            <v>660.87</v>
          </cell>
          <cell r="J1735">
            <v>0</v>
          </cell>
          <cell r="K1735">
            <v>0</v>
          </cell>
          <cell r="M1735">
            <v>0</v>
          </cell>
          <cell r="P1735">
            <v>661</v>
          </cell>
          <cell r="V1735" t="str">
            <v>Not Available</v>
          </cell>
        </row>
        <row r="1736">
          <cell r="E1736">
            <v>10060135</v>
          </cell>
          <cell r="H1736">
            <v>255.53999999999996</v>
          </cell>
          <cell r="I1736">
            <v>11508.35</v>
          </cell>
          <cell r="J1736">
            <v>0</v>
          </cell>
          <cell r="K1736">
            <v>0</v>
          </cell>
          <cell r="M1736">
            <v>0</v>
          </cell>
          <cell r="P1736">
            <v>11508</v>
          </cell>
          <cell r="V1736" t="str">
            <v>Available</v>
          </cell>
        </row>
        <row r="1737">
          <cell r="E1737">
            <v>10060135</v>
          </cell>
          <cell r="H1737">
            <v>67.77000000000001</v>
          </cell>
          <cell r="I1737">
            <v>3364.91</v>
          </cell>
          <cell r="J1737">
            <v>0</v>
          </cell>
          <cell r="K1737">
            <v>0</v>
          </cell>
          <cell r="M1737">
            <v>0</v>
          </cell>
          <cell r="P1737">
            <v>3365</v>
          </cell>
          <cell r="V1737" t="str">
            <v>Available</v>
          </cell>
        </row>
        <row r="1738">
          <cell r="E1738">
            <v>10060135</v>
          </cell>
          <cell r="H1738">
            <v>71.14</v>
          </cell>
          <cell r="I1738">
            <v>2878.8199999999993</v>
          </cell>
          <cell r="J1738">
            <v>0</v>
          </cell>
          <cell r="K1738">
            <v>0</v>
          </cell>
          <cell r="M1738">
            <v>0</v>
          </cell>
          <cell r="P1738">
            <v>2879</v>
          </cell>
          <cell r="V1738" t="str">
            <v>Available</v>
          </cell>
        </row>
        <row r="1739">
          <cell r="E1739">
            <v>10060135</v>
          </cell>
          <cell r="H1739">
            <v>17.18</v>
          </cell>
          <cell r="I1739">
            <v>657.51</v>
          </cell>
          <cell r="J1739">
            <v>0</v>
          </cell>
          <cell r="K1739">
            <v>0</v>
          </cell>
          <cell r="M1739">
            <v>0</v>
          </cell>
          <cell r="P1739">
            <v>658</v>
          </cell>
          <cell r="V1739" t="str">
            <v>Available</v>
          </cell>
        </row>
        <row r="1740">
          <cell r="E1740">
            <v>10060135</v>
          </cell>
          <cell r="H1740">
            <v>53.000000000000007</v>
          </cell>
          <cell r="I1740">
            <v>2047.3000000000002</v>
          </cell>
          <cell r="J1740">
            <v>0</v>
          </cell>
          <cell r="K1740">
            <v>0</v>
          </cell>
          <cell r="M1740">
            <v>0</v>
          </cell>
          <cell r="P1740">
            <v>2047</v>
          </cell>
          <cell r="V1740" t="str">
            <v>Not Available</v>
          </cell>
        </row>
        <row r="1741">
          <cell r="E1741">
            <v>10060135</v>
          </cell>
          <cell r="H1741">
            <v>21.910000000000004</v>
          </cell>
          <cell r="I1741">
            <v>864.62000000000012</v>
          </cell>
          <cell r="J1741">
            <v>0</v>
          </cell>
          <cell r="K1741">
            <v>0</v>
          </cell>
          <cell r="M1741">
            <v>0</v>
          </cell>
          <cell r="P1741">
            <v>865</v>
          </cell>
          <cell r="V1741" t="str">
            <v>Not Available</v>
          </cell>
        </row>
        <row r="1742">
          <cell r="E1742">
            <v>10060135</v>
          </cell>
          <cell r="H1742">
            <v>21.72</v>
          </cell>
          <cell r="I1742">
            <v>854.37000000000012</v>
          </cell>
          <cell r="J1742">
            <v>0</v>
          </cell>
          <cell r="K1742">
            <v>0</v>
          </cell>
          <cell r="M1742">
            <v>0</v>
          </cell>
          <cell r="P1742">
            <v>854</v>
          </cell>
          <cell r="V1742" t="str">
            <v>Not Available</v>
          </cell>
        </row>
        <row r="1743">
          <cell r="E1743">
            <v>10070013</v>
          </cell>
          <cell r="H1743">
            <v>3.72</v>
          </cell>
          <cell r="I1743">
            <v>157.59</v>
          </cell>
          <cell r="J1743">
            <v>0</v>
          </cell>
          <cell r="K1743">
            <v>157.59</v>
          </cell>
          <cell r="M1743">
            <v>0</v>
          </cell>
          <cell r="P1743">
            <v>0</v>
          </cell>
          <cell r="V1743" t="str">
            <v>Not Available</v>
          </cell>
        </row>
        <row r="1744">
          <cell r="E1744">
            <v>10070013</v>
          </cell>
          <cell r="H1744">
            <v>33.960000000000008</v>
          </cell>
          <cell r="I1744">
            <v>1364.41</v>
          </cell>
          <cell r="J1744">
            <v>0</v>
          </cell>
          <cell r="K1744">
            <v>0</v>
          </cell>
          <cell r="M1744">
            <v>0</v>
          </cell>
          <cell r="P1744">
            <v>921</v>
          </cell>
          <cell r="V1744" t="str">
            <v>Available</v>
          </cell>
        </row>
        <row r="1745">
          <cell r="E1745">
            <v>10070013</v>
          </cell>
          <cell r="H1745">
            <v>3.8200000000000003</v>
          </cell>
          <cell r="I1745">
            <v>161.53</v>
          </cell>
          <cell r="J1745">
            <v>0</v>
          </cell>
          <cell r="K1745">
            <v>0</v>
          </cell>
          <cell r="M1745">
            <v>0</v>
          </cell>
          <cell r="P1745">
            <v>162</v>
          </cell>
          <cell r="V1745" t="str">
            <v>Available</v>
          </cell>
        </row>
        <row r="1746">
          <cell r="E1746">
            <v>10070013</v>
          </cell>
          <cell r="H1746">
            <v>164.60999999999999</v>
          </cell>
          <cell r="I1746">
            <v>6705.2300000000005</v>
          </cell>
          <cell r="J1746">
            <v>0</v>
          </cell>
          <cell r="K1746">
            <v>0</v>
          </cell>
          <cell r="M1746">
            <v>0</v>
          </cell>
          <cell r="P1746">
            <v>6705</v>
          </cell>
          <cell r="V1746" t="str">
            <v>Available</v>
          </cell>
        </row>
        <row r="1747">
          <cell r="E1747">
            <v>10070013</v>
          </cell>
          <cell r="H1747">
            <v>18.099999999999998</v>
          </cell>
          <cell r="I1747">
            <v>750.41000000000008</v>
          </cell>
          <cell r="J1747">
            <v>0</v>
          </cell>
          <cell r="K1747">
            <v>0</v>
          </cell>
          <cell r="M1747">
            <v>0</v>
          </cell>
          <cell r="P1747">
            <v>750</v>
          </cell>
          <cell r="V1747" t="str">
            <v>Available</v>
          </cell>
        </row>
        <row r="1748">
          <cell r="E1748">
            <v>10070013</v>
          </cell>
          <cell r="H1748">
            <v>8.5299999999999994</v>
          </cell>
          <cell r="I1748">
            <v>359.09</v>
          </cell>
          <cell r="J1748">
            <v>0</v>
          </cell>
          <cell r="K1748">
            <v>0</v>
          </cell>
          <cell r="M1748">
            <v>0</v>
          </cell>
          <cell r="P1748">
            <v>359</v>
          </cell>
          <cell r="V1748" t="str">
            <v>Not Available</v>
          </cell>
        </row>
        <row r="1749">
          <cell r="E1749">
            <v>10070013</v>
          </cell>
          <cell r="H1749">
            <v>9.9499999999999993</v>
          </cell>
          <cell r="I1749">
            <v>406.75</v>
          </cell>
          <cell r="J1749">
            <v>0</v>
          </cell>
          <cell r="K1749">
            <v>0</v>
          </cell>
          <cell r="M1749">
            <v>0</v>
          </cell>
          <cell r="P1749">
            <v>407</v>
          </cell>
          <cell r="V1749" t="str">
            <v>Not Available</v>
          </cell>
        </row>
        <row r="1750">
          <cell r="E1750">
            <v>10070013</v>
          </cell>
          <cell r="H1750">
            <v>8.879999999999999</v>
          </cell>
          <cell r="I1750">
            <v>357.51</v>
          </cell>
          <cell r="J1750">
            <v>0</v>
          </cell>
          <cell r="K1750">
            <v>0</v>
          </cell>
          <cell r="M1750">
            <v>0</v>
          </cell>
          <cell r="P1750">
            <v>358</v>
          </cell>
          <cell r="V1750" t="str">
            <v>Not Available</v>
          </cell>
        </row>
        <row r="1751">
          <cell r="E1751">
            <v>10070013</v>
          </cell>
          <cell r="H1751">
            <v>6.7</v>
          </cell>
          <cell r="I1751">
            <v>284.38</v>
          </cell>
          <cell r="J1751">
            <v>0</v>
          </cell>
          <cell r="K1751">
            <v>0</v>
          </cell>
          <cell r="M1751">
            <v>0</v>
          </cell>
          <cell r="P1751">
            <v>284</v>
          </cell>
          <cell r="V1751" t="str">
            <v>Not Available</v>
          </cell>
        </row>
        <row r="1752">
          <cell r="E1752">
            <v>10070013</v>
          </cell>
          <cell r="H1752">
            <v>5.66</v>
          </cell>
          <cell r="I1752">
            <v>246.67</v>
          </cell>
          <cell r="J1752">
            <v>0</v>
          </cell>
          <cell r="K1752">
            <v>0</v>
          </cell>
          <cell r="M1752">
            <v>0</v>
          </cell>
          <cell r="P1752">
            <v>247</v>
          </cell>
          <cell r="V1752" t="str">
            <v>Not Available</v>
          </cell>
        </row>
        <row r="1753">
          <cell r="E1753">
            <v>10070016</v>
          </cell>
          <cell r="H1753">
            <v>0.71</v>
          </cell>
          <cell r="I1753">
            <v>27.310000000000002</v>
          </cell>
          <cell r="J1753">
            <v>0</v>
          </cell>
          <cell r="K1753">
            <v>27.310000000000002</v>
          </cell>
          <cell r="M1753">
            <v>0</v>
          </cell>
          <cell r="P1753">
            <v>0</v>
          </cell>
          <cell r="V1753" t="str">
            <v>Not Available</v>
          </cell>
        </row>
        <row r="1754">
          <cell r="E1754">
            <v>10070016</v>
          </cell>
          <cell r="H1754">
            <v>135</v>
          </cell>
          <cell r="I1754">
            <v>5273.1</v>
          </cell>
          <cell r="J1754">
            <v>0</v>
          </cell>
          <cell r="K1754">
            <v>0</v>
          </cell>
          <cell r="M1754">
            <v>0</v>
          </cell>
          <cell r="P1754">
            <v>5273</v>
          </cell>
          <cell r="V1754" t="str">
            <v>Available</v>
          </cell>
        </row>
        <row r="1755">
          <cell r="E1755">
            <v>10070016</v>
          </cell>
          <cell r="H1755">
            <v>35.6</v>
          </cell>
          <cell r="I1755">
            <v>1346.19</v>
          </cell>
          <cell r="J1755">
            <v>0</v>
          </cell>
          <cell r="K1755">
            <v>0</v>
          </cell>
          <cell r="M1755">
            <v>0</v>
          </cell>
          <cell r="P1755">
            <v>1346</v>
          </cell>
          <cell r="V1755" t="str">
            <v>Available</v>
          </cell>
        </row>
        <row r="1756">
          <cell r="E1756">
            <v>10070016</v>
          </cell>
          <cell r="H1756">
            <v>81.33</v>
          </cell>
          <cell r="I1756">
            <v>3129.3499999999995</v>
          </cell>
          <cell r="J1756">
            <v>0</v>
          </cell>
          <cell r="K1756">
            <v>0</v>
          </cell>
          <cell r="M1756">
            <v>0</v>
          </cell>
          <cell r="P1756">
            <v>3129</v>
          </cell>
          <cell r="V1756" t="str">
            <v>Available</v>
          </cell>
        </row>
        <row r="1757">
          <cell r="E1757">
            <v>10070016</v>
          </cell>
          <cell r="H1757">
            <v>37.53</v>
          </cell>
          <cell r="I1757">
            <v>1459.1200000000001</v>
          </cell>
          <cell r="J1757">
            <v>0</v>
          </cell>
          <cell r="K1757">
            <v>0</v>
          </cell>
          <cell r="M1757">
            <v>0</v>
          </cell>
          <cell r="P1757">
            <v>1459</v>
          </cell>
          <cell r="V1757" t="str">
            <v>Available</v>
          </cell>
        </row>
        <row r="1758">
          <cell r="E1758">
            <v>10070016</v>
          </cell>
          <cell r="H1758">
            <v>50</v>
          </cell>
          <cell r="I1758">
            <v>1944.06</v>
          </cell>
          <cell r="J1758">
            <v>0</v>
          </cell>
          <cell r="K1758">
            <v>0</v>
          </cell>
          <cell r="M1758">
            <v>0</v>
          </cell>
          <cell r="P1758">
            <v>1944</v>
          </cell>
          <cell r="V1758" t="str">
            <v>Available</v>
          </cell>
        </row>
        <row r="1759">
          <cell r="E1759">
            <v>10070033</v>
          </cell>
          <cell r="H1759">
            <v>101.7</v>
          </cell>
          <cell r="I1759">
            <v>5785.4</v>
          </cell>
          <cell r="J1759">
            <v>0</v>
          </cell>
          <cell r="K1759">
            <v>0</v>
          </cell>
          <cell r="M1759">
            <v>0</v>
          </cell>
          <cell r="P1759">
            <v>2420</v>
          </cell>
          <cell r="V1759" t="str">
            <v>Available</v>
          </cell>
        </row>
        <row r="1760">
          <cell r="E1760">
            <v>10070033</v>
          </cell>
          <cell r="H1760">
            <v>269</v>
          </cell>
          <cell r="I1760">
            <v>15813.23</v>
          </cell>
          <cell r="J1760">
            <v>0</v>
          </cell>
          <cell r="K1760">
            <v>0</v>
          </cell>
          <cell r="M1760">
            <v>0</v>
          </cell>
          <cell r="P1760">
            <v>15813</v>
          </cell>
          <cell r="V1760" t="str">
            <v>Available</v>
          </cell>
        </row>
        <row r="1761">
          <cell r="E1761">
            <v>10070042</v>
          </cell>
          <cell r="H1761">
            <v>4.49</v>
          </cell>
          <cell r="I1761">
            <v>182.83999999999997</v>
          </cell>
          <cell r="J1761">
            <v>0</v>
          </cell>
          <cell r="K1761">
            <v>182.83999999999997</v>
          </cell>
          <cell r="M1761">
            <v>0</v>
          </cell>
          <cell r="P1761">
            <v>0</v>
          </cell>
          <cell r="V1761" t="str">
            <v>Not Available</v>
          </cell>
        </row>
        <row r="1762">
          <cell r="E1762">
            <v>10070042</v>
          </cell>
          <cell r="H1762">
            <v>293.13</v>
          </cell>
          <cell r="I1762">
            <v>11649.910000000002</v>
          </cell>
          <cell r="J1762">
            <v>0</v>
          </cell>
          <cell r="K1762">
            <v>0</v>
          </cell>
          <cell r="M1762">
            <v>0</v>
          </cell>
          <cell r="P1762">
            <v>5929</v>
          </cell>
          <cell r="V1762" t="str">
            <v>Available</v>
          </cell>
        </row>
        <row r="1763">
          <cell r="E1763">
            <v>10070042</v>
          </cell>
          <cell r="H1763">
            <v>54.11</v>
          </cell>
          <cell r="I1763">
            <v>2208.25</v>
          </cell>
          <cell r="J1763">
            <v>0</v>
          </cell>
          <cell r="K1763">
            <v>0</v>
          </cell>
          <cell r="M1763">
            <v>0</v>
          </cell>
          <cell r="P1763">
            <v>2208</v>
          </cell>
          <cell r="V1763" t="str">
            <v>Available</v>
          </cell>
        </row>
        <row r="1764">
          <cell r="E1764">
            <v>10070042</v>
          </cell>
          <cell r="H1764">
            <v>3</v>
          </cell>
          <cell r="I1764">
            <v>123.44</v>
          </cell>
          <cell r="J1764">
            <v>0</v>
          </cell>
          <cell r="K1764">
            <v>0</v>
          </cell>
          <cell r="M1764">
            <v>0</v>
          </cell>
          <cell r="P1764">
            <v>123</v>
          </cell>
          <cell r="V1764" t="str">
            <v>Available</v>
          </cell>
        </row>
        <row r="1765">
          <cell r="E1765">
            <v>10070045</v>
          </cell>
          <cell r="H1765">
            <v>19.2</v>
          </cell>
          <cell r="I1765">
            <v>765.89</v>
          </cell>
          <cell r="J1765">
            <v>0</v>
          </cell>
          <cell r="K1765">
            <v>0</v>
          </cell>
          <cell r="M1765">
            <v>0</v>
          </cell>
          <cell r="P1765">
            <v>766</v>
          </cell>
          <cell r="V1765" t="str">
            <v>Available</v>
          </cell>
        </row>
        <row r="1766">
          <cell r="E1766">
            <v>10070046</v>
          </cell>
          <cell r="H1766">
            <v>5.6000000000000005</v>
          </cell>
          <cell r="I1766">
            <v>202.97000000000003</v>
          </cell>
          <cell r="J1766">
            <v>0</v>
          </cell>
          <cell r="K1766">
            <v>202.97000000000003</v>
          </cell>
          <cell r="M1766">
            <v>0</v>
          </cell>
          <cell r="P1766">
            <v>0</v>
          </cell>
          <cell r="V1766" t="str">
            <v>Not Available</v>
          </cell>
        </row>
        <row r="1767">
          <cell r="E1767">
            <v>10070046</v>
          </cell>
          <cell r="H1767">
            <v>295.5</v>
          </cell>
          <cell r="I1767">
            <v>11606.609999999999</v>
          </cell>
          <cell r="J1767">
            <v>0</v>
          </cell>
          <cell r="K1767">
            <v>0</v>
          </cell>
          <cell r="M1767">
            <v>0</v>
          </cell>
          <cell r="P1767">
            <v>9908</v>
          </cell>
          <cell r="V1767" t="str">
            <v>Available</v>
          </cell>
        </row>
        <row r="1768">
          <cell r="E1768">
            <v>10070046</v>
          </cell>
          <cell r="H1768">
            <v>180</v>
          </cell>
          <cell r="I1768">
            <v>7474.2999999999993</v>
          </cell>
          <cell r="J1768">
            <v>0</v>
          </cell>
          <cell r="K1768">
            <v>0</v>
          </cell>
          <cell r="M1768">
            <v>0</v>
          </cell>
          <cell r="P1768">
            <v>7474</v>
          </cell>
          <cell r="V1768" t="str">
            <v>Available</v>
          </cell>
        </row>
        <row r="1769">
          <cell r="E1769">
            <v>10070046</v>
          </cell>
          <cell r="H1769">
            <v>180</v>
          </cell>
          <cell r="I1769">
            <v>7535.55</v>
          </cell>
          <cell r="J1769">
            <v>0</v>
          </cell>
          <cell r="K1769">
            <v>0</v>
          </cell>
          <cell r="M1769">
            <v>0</v>
          </cell>
          <cell r="P1769">
            <v>7536</v>
          </cell>
          <cell r="V1769" t="str">
            <v>Available</v>
          </cell>
        </row>
        <row r="1770">
          <cell r="E1770">
            <v>10070046</v>
          </cell>
          <cell r="H1770">
            <v>21.61</v>
          </cell>
          <cell r="I1770">
            <v>919.31999999999994</v>
          </cell>
          <cell r="J1770">
            <v>0</v>
          </cell>
          <cell r="K1770">
            <v>0</v>
          </cell>
          <cell r="M1770">
            <v>0</v>
          </cell>
          <cell r="P1770">
            <v>919</v>
          </cell>
          <cell r="V1770" t="str">
            <v>Available</v>
          </cell>
        </row>
        <row r="1771">
          <cell r="E1771">
            <v>10070046</v>
          </cell>
          <cell r="H1771">
            <v>180</v>
          </cell>
          <cell r="I1771">
            <v>7609.8499999999995</v>
          </cell>
          <cell r="J1771">
            <v>0</v>
          </cell>
          <cell r="K1771">
            <v>0</v>
          </cell>
          <cell r="M1771">
            <v>0</v>
          </cell>
          <cell r="P1771">
            <v>7610</v>
          </cell>
          <cell r="V1771" t="str">
            <v>Available</v>
          </cell>
        </row>
        <row r="1772">
          <cell r="E1772">
            <v>10070046</v>
          </cell>
          <cell r="H1772">
            <v>180</v>
          </cell>
          <cell r="I1772">
            <v>7700.35</v>
          </cell>
          <cell r="J1772">
            <v>0</v>
          </cell>
          <cell r="K1772">
            <v>0</v>
          </cell>
          <cell r="M1772">
            <v>0</v>
          </cell>
          <cell r="P1772">
            <v>7700</v>
          </cell>
          <cell r="V1772" t="str">
            <v>Available</v>
          </cell>
        </row>
        <row r="1773">
          <cell r="E1773">
            <v>10070048</v>
          </cell>
          <cell r="H1773">
            <v>512.71</v>
          </cell>
          <cell r="I1773">
            <v>21114.620000000003</v>
          </cell>
          <cell r="J1773">
            <v>0</v>
          </cell>
          <cell r="K1773">
            <v>0</v>
          </cell>
          <cell r="M1773">
            <v>0</v>
          </cell>
          <cell r="P1773">
            <v>17362</v>
          </cell>
          <cell r="V1773" t="str">
            <v>Available</v>
          </cell>
        </row>
        <row r="1774">
          <cell r="E1774">
            <v>10070048</v>
          </cell>
          <cell r="H1774">
            <v>90.32</v>
          </cell>
          <cell r="I1774">
            <v>3503.68</v>
          </cell>
          <cell r="J1774">
            <v>0</v>
          </cell>
          <cell r="K1774">
            <v>0</v>
          </cell>
          <cell r="M1774">
            <v>0</v>
          </cell>
          <cell r="P1774">
            <v>3504</v>
          </cell>
          <cell r="V1774" t="str">
            <v>Available</v>
          </cell>
        </row>
        <row r="1775">
          <cell r="E1775">
            <v>10070048</v>
          </cell>
          <cell r="H1775">
            <v>569.28000000000009</v>
          </cell>
          <cell r="I1775">
            <v>25868.77</v>
          </cell>
          <cell r="J1775">
            <v>0</v>
          </cell>
          <cell r="K1775">
            <v>0</v>
          </cell>
          <cell r="M1775">
            <v>0</v>
          </cell>
          <cell r="P1775">
            <v>25869</v>
          </cell>
          <cell r="V1775" t="str">
            <v>Available</v>
          </cell>
        </row>
        <row r="1776">
          <cell r="E1776">
            <v>10070048</v>
          </cell>
          <cell r="H1776">
            <v>25.13</v>
          </cell>
          <cell r="I1776">
            <v>909.25</v>
          </cell>
          <cell r="J1776">
            <v>0</v>
          </cell>
          <cell r="K1776">
            <v>0</v>
          </cell>
          <cell r="M1776">
            <v>0</v>
          </cell>
          <cell r="P1776">
            <v>909</v>
          </cell>
          <cell r="V1776" t="str">
            <v>Available</v>
          </cell>
        </row>
        <row r="1777">
          <cell r="E1777">
            <v>10070048</v>
          </cell>
          <cell r="H1777">
            <v>71.709999999999994</v>
          </cell>
          <cell r="I1777">
            <v>2909.35</v>
          </cell>
          <cell r="J1777">
            <v>0</v>
          </cell>
          <cell r="K1777">
            <v>0</v>
          </cell>
          <cell r="M1777">
            <v>0</v>
          </cell>
          <cell r="P1777">
            <v>2909</v>
          </cell>
          <cell r="V1777" t="str">
            <v>Available</v>
          </cell>
        </row>
        <row r="1778">
          <cell r="E1778">
            <v>10070048</v>
          </cell>
          <cell r="H1778">
            <v>13.729999999999999</v>
          </cell>
          <cell r="I1778">
            <v>634.04999999999995</v>
          </cell>
          <cell r="J1778">
            <v>0</v>
          </cell>
          <cell r="K1778">
            <v>0</v>
          </cell>
          <cell r="M1778">
            <v>0</v>
          </cell>
          <cell r="P1778">
            <v>634</v>
          </cell>
          <cell r="V1778" t="str">
            <v>Available</v>
          </cell>
        </row>
        <row r="1779">
          <cell r="E1779">
            <v>10070048</v>
          </cell>
          <cell r="H1779">
            <v>54.859999999999992</v>
          </cell>
          <cell r="I1779">
            <v>1974.3100000000002</v>
          </cell>
          <cell r="J1779">
            <v>0</v>
          </cell>
          <cell r="K1779">
            <v>0</v>
          </cell>
          <cell r="M1779">
            <v>0</v>
          </cell>
          <cell r="P1779">
            <v>1974</v>
          </cell>
          <cell r="V1779" t="str">
            <v>Available</v>
          </cell>
        </row>
        <row r="1780">
          <cell r="E1780">
            <v>10070048</v>
          </cell>
          <cell r="H1780">
            <v>27.76</v>
          </cell>
          <cell r="I1780">
            <v>1047.1199999999999</v>
          </cell>
          <cell r="J1780">
            <v>0</v>
          </cell>
          <cell r="K1780">
            <v>0</v>
          </cell>
          <cell r="M1780">
            <v>0</v>
          </cell>
          <cell r="P1780">
            <v>1047</v>
          </cell>
          <cell r="V1780" t="str">
            <v>Available</v>
          </cell>
        </row>
        <row r="1781">
          <cell r="E1781">
            <v>10070048</v>
          </cell>
          <cell r="H1781">
            <v>13.82</v>
          </cell>
          <cell r="I1781">
            <v>598.14</v>
          </cell>
          <cell r="J1781">
            <v>0</v>
          </cell>
          <cell r="K1781">
            <v>0</v>
          </cell>
          <cell r="M1781">
            <v>0</v>
          </cell>
          <cell r="P1781">
            <v>598</v>
          </cell>
          <cell r="V1781" t="str">
            <v>Available</v>
          </cell>
        </row>
        <row r="1782">
          <cell r="E1782">
            <v>10070053</v>
          </cell>
          <cell r="H1782">
            <v>284.79000000000002</v>
          </cell>
          <cell r="I1782">
            <v>10566.56</v>
          </cell>
          <cell r="J1782">
            <v>0</v>
          </cell>
          <cell r="K1782">
            <v>0</v>
          </cell>
          <cell r="M1782">
            <v>0</v>
          </cell>
          <cell r="P1782">
            <v>10567</v>
          </cell>
          <cell r="V1782" t="str">
            <v>Available</v>
          </cell>
        </row>
        <row r="1783">
          <cell r="E1783">
            <v>10070059</v>
          </cell>
          <cell r="H1783">
            <v>93</v>
          </cell>
          <cell r="I1783">
            <v>3622.45</v>
          </cell>
          <cell r="J1783">
            <v>0</v>
          </cell>
          <cell r="K1783">
            <v>0</v>
          </cell>
          <cell r="M1783">
            <v>0</v>
          </cell>
          <cell r="P1783">
            <v>3431</v>
          </cell>
          <cell r="V1783" t="str">
            <v>Available</v>
          </cell>
        </row>
        <row r="1784">
          <cell r="E1784">
            <v>10070059</v>
          </cell>
          <cell r="H1784">
            <v>89</v>
          </cell>
          <cell r="I1784">
            <v>3472.2</v>
          </cell>
          <cell r="J1784">
            <v>0</v>
          </cell>
          <cell r="K1784">
            <v>0</v>
          </cell>
          <cell r="M1784">
            <v>0</v>
          </cell>
          <cell r="P1784">
            <v>3472</v>
          </cell>
          <cell r="V1784" t="str">
            <v>Not Available</v>
          </cell>
        </row>
        <row r="1785">
          <cell r="E1785">
            <v>10070059</v>
          </cell>
          <cell r="H1785">
            <v>79</v>
          </cell>
          <cell r="I1785">
            <v>3077.29</v>
          </cell>
          <cell r="J1785">
            <v>0</v>
          </cell>
          <cell r="K1785">
            <v>0</v>
          </cell>
          <cell r="M1785">
            <v>0</v>
          </cell>
          <cell r="P1785">
            <v>3077</v>
          </cell>
          <cell r="V1785" t="str">
            <v>Not Available</v>
          </cell>
        </row>
        <row r="1786">
          <cell r="E1786">
            <v>10070059</v>
          </cell>
          <cell r="H1786">
            <v>61.98</v>
          </cell>
          <cell r="I1786">
            <v>2411.2600000000002</v>
          </cell>
          <cell r="J1786">
            <v>0</v>
          </cell>
          <cell r="K1786">
            <v>0</v>
          </cell>
          <cell r="M1786">
            <v>0</v>
          </cell>
          <cell r="P1786">
            <v>2411</v>
          </cell>
          <cell r="V1786" t="str">
            <v>Not Available</v>
          </cell>
        </row>
        <row r="1787">
          <cell r="E1787">
            <v>10070059</v>
          </cell>
          <cell r="H1787">
            <v>76</v>
          </cell>
          <cell r="I1787">
            <v>3007.5299999999997</v>
          </cell>
          <cell r="J1787">
            <v>0</v>
          </cell>
          <cell r="K1787">
            <v>0</v>
          </cell>
          <cell r="M1787">
            <v>0</v>
          </cell>
          <cell r="P1787">
            <v>3008</v>
          </cell>
          <cell r="V1787" t="str">
            <v>Not Available</v>
          </cell>
        </row>
        <row r="1788">
          <cell r="E1788">
            <v>10070059</v>
          </cell>
          <cell r="H1788">
            <v>76.460000000000008</v>
          </cell>
          <cell r="I1788">
            <v>3026.4300000000003</v>
          </cell>
          <cell r="J1788">
            <v>0</v>
          </cell>
          <cell r="K1788">
            <v>0</v>
          </cell>
          <cell r="M1788">
            <v>0</v>
          </cell>
          <cell r="P1788">
            <v>3026</v>
          </cell>
          <cell r="V1788" t="str">
            <v>Not Available</v>
          </cell>
        </row>
        <row r="1789">
          <cell r="E1789">
            <v>10070059</v>
          </cell>
          <cell r="H1789">
            <v>84</v>
          </cell>
          <cell r="I1789">
            <v>3295.1200000000003</v>
          </cell>
          <cell r="J1789">
            <v>0</v>
          </cell>
          <cell r="K1789">
            <v>0</v>
          </cell>
          <cell r="M1789">
            <v>0</v>
          </cell>
          <cell r="P1789">
            <v>3295</v>
          </cell>
          <cell r="V1789" t="str">
            <v>Not Available</v>
          </cell>
        </row>
        <row r="1790">
          <cell r="E1790">
            <v>10070059</v>
          </cell>
          <cell r="H1790">
            <v>82</v>
          </cell>
          <cell r="I1790">
            <v>3208.6299999999997</v>
          </cell>
          <cell r="J1790">
            <v>0</v>
          </cell>
          <cell r="K1790">
            <v>0</v>
          </cell>
          <cell r="M1790">
            <v>0</v>
          </cell>
          <cell r="P1790">
            <v>3209</v>
          </cell>
          <cell r="V1790" t="str">
            <v>Not Available</v>
          </cell>
        </row>
        <row r="1791">
          <cell r="E1791">
            <v>10070059</v>
          </cell>
          <cell r="H1791">
            <v>65.599999999999994</v>
          </cell>
          <cell r="I1791">
            <v>2570.6799999999998</v>
          </cell>
          <cell r="J1791">
            <v>0</v>
          </cell>
          <cell r="K1791">
            <v>0</v>
          </cell>
          <cell r="M1791">
            <v>0</v>
          </cell>
          <cell r="P1791">
            <v>2571</v>
          </cell>
          <cell r="V1791" t="str">
            <v>Not Available</v>
          </cell>
        </row>
        <row r="1792">
          <cell r="E1792">
            <v>10070059</v>
          </cell>
          <cell r="H1792">
            <v>51.66</v>
          </cell>
          <cell r="I1792">
            <v>2017.8100000000002</v>
          </cell>
          <cell r="J1792">
            <v>0</v>
          </cell>
          <cell r="K1792">
            <v>0</v>
          </cell>
          <cell r="M1792">
            <v>0</v>
          </cell>
          <cell r="P1792">
            <v>2018</v>
          </cell>
          <cell r="V1792" t="str">
            <v>Not Available</v>
          </cell>
        </row>
        <row r="1793">
          <cell r="E1793">
            <v>10070063</v>
          </cell>
          <cell r="H1793">
            <v>362.2</v>
          </cell>
          <cell r="I1793">
            <v>13656.52</v>
          </cell>
          <cell r="J1793">
            <v>0</v>
          </cell>
          <cell r="K1793">
            <v>0</v>
          </cell>
          <cell r="M1793">
            <v>0</v>
          </cell>
          <cell r="P1793">
            <v>12379</v>
          </cell>
          <cell r="V1793" t="str">
            <v>Available</v>
          </cell>
        </row>
        <row r="1794">
          <cell r="E1794">
            <v>10070064</v>
          </cell>
          <cell r="H1794">
            <v>3.6899999999999995</v>
          </cell>
          <cell r="I1794">
            <v>160.34</v>
          </cell>
          <cell r="J1794">
            <v>0</v>
          </cell>
          <cell r="K1794">
            <v>160.34</v>
          </cell>
          <cell r="M1794">
            <v>0</v>
          </cell>
          <cell r="P1794">
            <v>0</v>
          </cell>
          <cell r="V1794" t="str">
            <v>Not Available</v>
          </cell>
        </row>
        <row r="1795">
          <cell r="E1795">
            <v>10070064</v>
          </cell>
          <cell r="H1795">
            <v>345.29</v>
          </cell>
          <cell r="I1795">
            <v>14241.919999999998</v>
          </cell>
          <cell r="J1795">
            <v>0</v>
          </cell>
          <cell r="K1795">
            <v>0</v>
          </cell>
          <cell r="M1795">
            <v>0</v>
          </cell>
          <cell r="P1795">
            <v>12919</v>
          </cell>
          <cell r="V1795" t="str">
            <v>Available</v>
          </cell>
        </row>
        <row r="1796">
          <cell r="E1796">
            <v>10070064</v>
          </cell>
          <cell r="H1796">
            <v>39.199999999999996</v>
          </cell>
          <cell r="I1796">
            <v>1608.0000000000002</v>
          </cell>
          <cell r="J1796">
            <v>0</v>
          </cell>
          <cell r="K1796">
            <v>0</v>
          </cell>
          <cell r="M1796">
            <v>0</v>
          </cell>
          <cell r="P1796">
            <v>1608</v>
          </cell>
          <cell r="V1796" t="str">
            <v>Available</v>
          </cell>
        </row>
        <row r="1797">
          <cell r="E1797">
            <v>10070064</v>
          </cell>
          <cell r="H1797">
            <v>39.4</v>
          </cell>
          <cell r="I1797">
            <v>1617.99</v>
          </cell>
          <cell r="J1797">
            <v>0</v>
          </cell>
          <cell r="K1797">
            <v>0</v>
          </cell>
          <cell r="M1797">
            <v>0</v>
          </cell>
          <cell r="P1797">
            <v>1618</v>
          </cell>
          <cell r="V1797" t="str">
            <v>Not Available</v>
          </cell>
        </row>
        <row r="1798">
          <cell r="E1798">
            <v>10070064</v>
          </cell>
          <cell r="H1798">
            <v>59</v>
          </cell>
          <cell r="I1798">
            <v>2418.6400000000003</v>
          </cell>
          <cell r="J1798">
            <v>0</v>
          </cell>
          <cell r="K1798">
            <v>0</v>
          </cell>
          <cell r="M1798">
            <v>0</v>
          </cell>
          <cell r="P1798">
            <v>2419</v>
          </cell>
          <cell r="V1798" t="str">
            <v>Not Available</v>
          </cell>
        </row>
        <row r="1799">
          <cell r="E1799">
            <v>10070064</v>
          </cell>
          <cell r="H1799">
            <v>47.2</v>
          </cell>
          <cell r="I1799">
            <v>2716.6099999999997</v>
          </cell>
          <cell r="J1799">
            <v>0</v>
          </cell>
          <cell r="K1799">
            <v>0</v>
          </cell>
          <cell r="M1799">
            <v>0</v>
          </cell>
          <cell r="P1799">
            <v>2717</v>
          </cell>
          <cell r="V1799" t="str">
            <v>Not Available</v>
          </cell>
        </row>
        <row r="1800">
          <cell r="E1800">
            <v>10070064</v>
          </cell>
          <cell r="H1800">
            <v>17.2</v>
          </cell>
          <cell r="I1800">
            <v>785.37</v>
          </cell>
          <cell r="J1800">
            <v>0</v>
          </cell>
          <cell r="K1800">
            <v>0</v>
          </cell>
          <cell r="M1800">
            <v>0</v>
          </cell>
          <cell r="P1800">
            <v>785</v>
          </cell>
          <cell r="V1800" t="str">
            <v>Not Available</v>
          </cell>
        </row>
        <row r="1801">
          <cell r="E1801">
            <v>10070064</v>
          </cell>
          <cell r="H1801">
            <v>66.5</v>
          </cell>
          <cell r="I1801">
            <v>2812.91</v>
          </cell>
          <cell r="J1801">
            <v>0</v>
          </cell>
          <cell r="K1801">
            <v>0</v>
          </cell>
          <cell r="M1801">
            <v>0</v>
          </cell>
          <cell r="P1801">
            <v>2813</v>
          </cell>
          <cell r="V1801" t="str">
            <v>Not Available</v>
          </cell>
        </row>
        <row r="1802">
          <cell r="E1802">
            <v>10070072</v>
          </cell>
          <cell r="H1802">
            <v>292.2</v>
          </cell>
          <cell r="I1802">
            <v>11372.42</v>
          </cell>
          <cell r="J1802">
            <v>0</v>
          </cell>
          <cell r="K1802">
            <v>0</v>
          </cell>
          <cell r="M1802">
            <v>0</v>
          </cell>
          <cell r="P1802">
            <v>11372</v>
          </cell>
          <cell r="V1802" t="str">
            <v>Available</v>
          </cell>
        </row>
        <row r="1803">
          <cell r="E1803">
            <v>10070077</v>
          </cell>
          <cell r="H1803">
            <v>445.36</v>
          </cell>
          <cell r="I1803">
            <v>17476.87</v>
          </cell>
          <cell r="J1803">
            <v>0</v>
          </cell>
          <cell r="K1803">
            <v>0</v>
          </cell>
          <cell r="M1803">
            <v>0</v>
          </cell>
          <cell r="P1803">
            <v>15660</v>
          </cell>
          <cell r="V1803" t="str">
            <v>Available</v>
          </cell>
        </row>
        <row r="1804">
          <cell r="E1804">
            <v>10070077</v>
          </cell>
          <cell r="H1804">
            <v>30.499999999999996</v>
          </cell>
          <cell r="I1804">
            <v>2249.9599999999996</v>
          </cell>
          <cell r="J1804">
            <v>0</v>
          </cell>
          <cell r="K1804">
            <v>0</v>
          </cell>
          <cell r="M1804">
            <v>0</v>
          </cell>
          <cell r="P1804">
            <v>2250</v>
          </cell>
          <cell r="V1804" t="str">
            <v>Not Available</v>
          </cell>
        </row>
        <row r="1805">
          <cell r="E1805">
            <v>10070077</v>
          </cell>
          <cell r="H1805">
            <v>4.03</v>
          </cell>
          <cell r="I1805">
            <v>146.88999999999999</v>
          </cell>
          <cell r="J1805">
            <v>0</v>
          </cell>
          <cell r="K1805">
            <v>0</v>
          </cell>
          <cell r="M1805">
            <v>0</v>
          </cell>
          <cell r="P1805">
            <v>147</v>
          </cell>
          <cell r="V1805" t="str">
            <v>Not Available</v>
          </cell>
        </row>
        <row r="1806">
          <cell r="E1806">
            <v>10070077</v>
          </cell>
          <cell r="H1806">
            <v>13.9</v>
          </cell>
          <cell r="I1806">
            <v>558.24</v>
          </cell>
          <cell r="J1806">
            <v>0</v>
          </cell>
          <cell r="K1806">
            <v>0</v>
          </cell>
          <cell r="M1806">
            <v>0</v>
          </cell>
          <cell r="P1806">
            <v>558</v>
          </cell>
          <cell r="V1806" t="str">
            <v>Not Available</v>
          </cell>
        </row>
        <row r="1807">
          <cell r="E1807">
            <v>10070077</v>
          </cell>
          <cell r="H1807">
            <v>69.490000000000009</v>
          </cell>
          <cell r="I1807">
            <v>2984.6899999999996</v>
          </cell>
          <cell r="J1807">
            <v>0</v>
          </cell>
          <cell r="K1807">
            <v>0</v>
          </cell>
          <cell r="M1807">
            <v>0</v>
          </cell>
          <cell r="P1807">
            <v>2985</v>
          </cell>
          <cell r="V1807" t="str">
            <v>Not Available</v>
          </cell>
        </row>
        <row r="1808">
          <cell r="E1808">
            <v>10070078</v>
          </cell>
          <cell r="H1808">
            <v>684.3</v>
          </cell>
          <cell r="I1808">
            <v>24655.33</v>
          </cell>
          <cell r="J1808">
            <v>0</v>
          </cell>
          <cell r="K1808">
            <v>0</v>
          </cell>
          <cell r="M1808">
            <v>0</v>
          </cell>
          <cell r="P1808">
            <v>24529</v>
          </cell>
          <cell r="V1808" t="str">
            <v>Available</v>
          </cell>
        </row>
        <row r="1809">
          <cell r="E1809">
            <v>10070080</v>
          </cell>
          <cell r="H1809">
            <v>943.19</v>
          </cell>
          <cell r="I1809">
            <v>40883.280000000006</v>
          </cell>
          <cell r="J1809">
            <v>0</v>
          </cell>
          <cell r="K1809">
            <v>0</v>
          </cell>
          <cell r="M1809">
            <v>0</v>
          </cell>
          <cell r="P1809">
            <v>39019</v>
          </cell>
          <cell r="V1809" t="str">
            <v>Available</v>
          </cell>
        </row>
        <row r="1810">
          <cell r="E1810">
            <v>10070080</v>
          </cell>
          <cell r="H1810">
            <v>37.780000000000008</v>
          </cell>
          <cell r="I1810">
            <v>1590.2999999999997</v>
          </cell>
          <cell r="J1810">
            <v>0</v>
          </cell>
          <cell r="K1810">
            <v>0</v>
          </cell>
          <cell r="M1810">
            <v>0</v>
          </cell>
          <cell r="P1810">
            <v>1590</v>
          </cell>
          <cell r="V1810" t="str">
            <v>Available</v>
          </cell>
        </row>
        <row r="1811">
          <cell r="E1811">
            <v>10070080</v>
          </cell>
          <cell r="H1811">
            <v>43.49</v>
          </cell>
          <cell r="I1811">
            <v>1753.7799999999997</v>
          </cell>
          <cell r="J1811">
            <v>0</v>
          </cell>
          <cell r="K1811">
            <v>0</v>
          </cell>
          <cell r="M1811">
            <v>0</v>
          </cell>
          <cell r="P1811">
            <v>1754</v>
          </cell>
          <cell r="V1811" t="str">
            <v>Available</v>
          </cell>
        </row>
        <row r="1812">
          <cell r="E1812">
            <v>10070080</v>
          </cell>
          <cell r="H1812">
            <v>37.06</v>
          </cell>
          <cell r="I1812">
            <v>1503.2</v>
          </cell>
          <cell r="J1812">
            <v>0</v>
          </cell>
          <cell r="K1812">
            <v>0</v>
          </cell>
          <cell r="M1812">
            <v>0</v>
          </cell>
          <cell r="P1812">
            <v>1503</v>
          </cell>
          <cell r="V1812" t="str">
            <v>Available</v>
          </cell>
        </row>
        <row r="1813">
          <cell r="E1813">
            <v>10070080</v>
          </cell>
          <cell r="H1813">
            <v>42.02</v>
          </cell>
          <cell r="I1813">
            <v>1771.14</v>
          </cell>
          <cell r="J1813">
            <v>0</v>
          </cell>
          <cell r="K1813">
            <v>0</v>
          </cell>
          <cell r="M1813">
            <v>0</v>
          </cell>
          <cell r="P1813">
            <v>1771</v>
          </cell>
          <cell r="V1813" t="str">
            <v>Available</v>
          </cell>
        </row>
        <row r="1814">
          <cell r="E1814">
            <v>10070080</v>
          </cell>
          <cell r="H1814">
            <v>65.09</v>
          </cell>
          <cell r="I1814">
            <v>2668.0200000000004</v>
          </cell>
          <cell r="J1814">
            <v>0</v>
          </cell>
          <cell r="K1814">
            <v>0</v>
          </cell>
          <cell r="M1814">
            <v>0</v>
          </cell>
          <cell r="P1814">
            <v>2668</v>
          </cell>
          <cell r="V1814" t="str">
            <v>Available</v>
          </cell>
        </row>
        <row r="1815">
          <cell r="E1815">
            <v>10070080</v>
          </cell>
          <cell r="H1815">
            <v>9.07</v>
          </cell>
          <cell r="I1815">
            <v>509.59000000000009</v>
          </cell>
          <cell r="J1815">
            <v>0</v>
          </cell>
          <cell r="K1815">
            <v>0</v>
          </cell>
          <cell r="M1815">
            <v>0</v>
          </cell>
          <cell r="P1815">
            <v>510</v>
          </cell>
          <cell r="V1815" t="str">
            <v>Available</v>
          </cell>
        </row>
        <row r="1816">
          <cell r="E1816">
            <v>10070080</v>
          </cell>
          <cell r="H1816">
            <v>15.83</v>
          </cell>
          <cell r="I1816">
            <v>722.61</v>
          </cell>
          <cell r="J1816">
            <v>0</v>
          </cell>
          <cell r="K1816">
            <v>0</v>
          </cell>
          <cell r="M1816">
            <v>0</v>
          </cell>
          <cell r="P1816">
            <v>723</v>
          </cell>
          <cell r="V1816" t="str">
            <v>Available</v>
          </cell>
        </row>
        <row r="1817">
          <cell r="E1817">
            <v>10070080</v>
          </cell>
          <cell r="H1817">
            <v>1.97</v>
          </cell>
          <cell r="I1817">
            <v>83.53</v>
          </cell>
          <cell r="J1817">
            <v>0</v>
          </cell>
          <cell r="K1817">
            <v>0</v>
          </cell>
          <cell r="M1817">
            <v>0</v>
          </cell>
          <cell r="P1817">
            <v>84</v>
          </cell>
          <cell r="V1817" t="str">
            <v>Available</v>
          </cell>
        </row>
        <row r="1818">
          <cell r="E1818">
            <v>10080015</v>
          </cell>
          <cell r="H1818">
            <v>308</v>
          </cell>
          <cell r="I1818">
            <v>11691.68</v>
          </cell>
          <cell r="J1818">
            <v>0</v>
          </cell>
          <cell r="K1818">
            <v>0</v>
          </cell>
          <cell r="M1818">
            <v>0</v>
          </cell>
          <cell r="P1818">
            <v>11502</v>
          </cell>
          <cell r="V1818" t="str">
            <v>Available</v>
          </cell>
        </row>
        <row r="1819">
          <cell r="E1819">
            <v>10080015</v>
          </cell>
          <cell r="H1819">
            <v>200</v>
          </cell>
          <cell r="I1819">
            <v>7592</v>
          </cell>
          <cell r="J1819">
            <v>0</v>
          </cell>
          <cell r="K1819">
            <v>0</v>
          </cell>
          <cell r="M1819">
            <v>0</v>
          </cell>
          <cell r="P1819">
            <v>7592</v>
          </cell>
          <cell r="V1819" t="str">
            <v>Available</v>
          </cell>
        </row>
        <row r="1820">
          <cell r="E1820">
            <v>10080015</v>
          </cell>
          <cell r="H1820">
            <v>200</v>
          </cell>
          <cell r="I1820">
            <v>7592</v>
          </cell>
          <cell r="J1820">
            <v>0</v>
          </cell>
          <cell r="K1820">
            <v>0</v>
          </cell>
          <cell r="M1820">
            <v>0</v>
          </cell>
          <cell r="P1820">
            <v>7592</v>
          </cell>
          <cell r="V1820" t="str">
            <v>Available</v>
          </cell>
        </row>
        <row r="1821">
          <cell r="E1821">
            <v>10080016</v>
          </cell>
          <cell r="H1821">
            <v>0.79999999999999993</v>
          </cell>
          <cell r="I1821">
            <v>28.830000000000002</v>
          </cell>
          <cell r="J1821">
            <v>0</v>
          </cell>
          <cell r="K1821">
            <v>28.830000000000002</v>
          </cell>
          <cell r="M1821">
            <v>0</v>
          </cell>
          <cell r="P1821">
            <v>0</v>
          </cell>
          <cell r="V1821" t="str">
            <v>Not Available</v>
          </cell>
        </row>
        <row r="1822">
          <cell r="E1822">
            <v>10080016</v>
          </cell>
          <cell r="H1822">
            <v>24.099999999999998</v>
          </cell>
          <cell r="I1822">
            <v>910.98</v>
          </cell>
          <cell r="J1822">
            <v>0</v>
          </cell>
          <cell r="K1822">
            <v>0</v>
          </cell>
          <cell r="M1822">
            <v>0</v>
          </cell>
          <cell r="P1822">
            <v>406</v>
          </cell>
          <cell r="V1822" t="str">
            <v>Available</v>
          </cell>
        </row>
        <row r="1823">
          <cell r="E1823">
            <v>10080016</v>
          </cell>
          <cell r="H1823">
            <v>59</v>
          </cell>
          <cell r="I1823">
            <v>2246.9</v>
          </cell>
          <cell r="J1823">
            <v>0</v>
          </cell>
          <cell r="K1823">
            <v>0</v>
          </cell>
          <cell r="M1823">
            <v>0</v>
          </cell>
          <cell r="P1823">
            <v>2247</v>
          </cell>
          <cell r="V1823" t="str">
            <v>Available</v>
          </cell>
        </row>
        <row r="1824">
          <cell r="E1824">
            <v>10080016</v>
          </cell>
          <cell r="H1824">
            <v>25.6</v>
          </cell>
          <cell r="I1824">
            <v>943.38000000000011</v>
          </cell>
          <cell r="J1824">
            <v>0</v>
          </cell>
          <cell r="K1824">
            <v>0</v>
          </cell>
          <cell r="M1824">
            <v>0</v>
          </cell>
          <cell r="P1824">
            <v>943</v>
          </cell>
          <cell r="V1824" t="str">
            <v>Available</v>
          </cell>
        </row>
        <row r="1825">
          <cell r="E1825">
            <v>10080022</v>
          </cell>
          <cell r="H1825">
            <v>2.3499999999999996</v>
          </cell>
          <cell r="I1825">
            <v>98.34</v>
          </cell>
          <cell r="J1825">
            <v>0</v>
          </cell>
          <cell r="K1825">
            <v>98.34</v>
          </cell>
          <cell r="M1825">
            <v>0</v>
          </cell>
          <cell r="P1825">
            <v>0</v>
          </cell>
          <cell r="V1825" t="str">
            <v>Not Available</v>
          </cell>
        </row>
        <row r="1826">
          <cell r="E1826">
            <v>10080022</v>
          </cell>
          <cell r="H1826">
            <v>4</v>
          </cell>
          <cell r="I1826">
            <v>126.4</v>
          </cell>
          <cell r="J1826">
            <v>0</v>
          </cell>
          <cell r="K1826">
            <v>0</v>
          </cell>
          <cell r="M1826">
            <v>0</v>
          </cell>
          <cell r="P1826">
            <v>0</v>
          </cell>
          <cell r="V1826" t="str">
            <v>Available</v>
          </cell>
        </row>
        <row r="1827">
          <cell r="E1827">
            <v>10080022</v>
          </cell>
          <cell r="H1827">
            <v>119.33</v>
          </cell>
          <cell r="I1827">
            <v>5207.7899999999991</v>
          </cell>
          <cell r="J1827">
            <v>0</v>
          </cell>
          <cell r="K1827">
            <v>0</v>
          </cell>
          <cell r="M1827">
            <v>0</v>
          </cell>
          <cell r="P1827">
            <v>5208</v>
          </cell>
          <cell r="V1827" t="str">
            <v>Available</v>
          </cell>
        </row>
        <row r="1828">
          <cell r="E1828">
            <v>10080022</v>
          </cell>
          <cell r="H1828">
            <v>17.690000000000001</v>
          </cell>
          <cell r="I1828">
            <v>735.82000000000016</v>
          </cell>
          <cell r="J1828">
            <v>0</v>
          </cell>
          <cell r="K1828">
            <v>0</v>
          </cell>
          <cell r="M1828">
            <v>0</v>
          </cell>
          <cell r="P1828">
            <v>736</v>
          </cell>
          <cell r="V1828" t="str">
            <v>Available</v>
          </cell>
        </row>
        <row r="1829">
          <cell r="E1829">
            <v>10080022</v>
          </cell>
          <cell r="H1829">
            <v>13.23</v>
          </cell>
          <cell r="I1829">
            <v>697.28</v>
          </cell>
          <cell r="J1829">
            <v>0</v>
          </cell>
          <cell r="K1829">
            <v>0</v>
          </cell>
          <cell r="M1829">
            <v>0</v>
          </cell>
          <cell r="P1829">
            <v>697</v>
          </cell>
          <cell r="V1829" t="str">
            <v>Available</v>
          </cell>
        </row>
        <row r="1830">
          <cell r="E1830">
            <v>10080022</v>
          </cell>
          <cell r="H1830">
            <v>10.85</v>
          </cell>
          <cell r="I1830">
            <v>625.84</v>
          </cell>
          <cell r="J1830">
            <v>0</v>
          </cell>
          <cell r="K1830">
            <v>0</v>
          </cell>
          <cell r="M1830">
            <v>0</v>
          </cell>
          <cell r="P1830">
            <v>626</v>
          </cell>
          <cell r="V1830" t="str">
            <v>Available</v>
          </cell>
        </row>
        <row r="1831">
          <cell r="E1831">
            <v>10080022</v>
          </cell>
          <cell r="H1831">
            <v>15.799999999999999</v>
          </cell>
          <cell r="I1831">
            <v>707.12999999999988</v>
          </cell>
          <cell r="J1831">
            <v>0</v>
          </cell>
          <cell r="K1831">
            <v>0</v>
          </cell>
          <cell r="M1831">
            <v>0</v>
          </cell>
          <cell r="P1831">
            <v>707</v>
          </cell>
          <cell r="V1831" t="str">
            <v>Available</v>
          </cell>
        </row>
        <row r="1832">
          <cell r="E1832">
            <v>10080025</v>
          </cell>
          <cell r="H1832">
            <v>12.03</v>
          </cell>
          <cell r="I1832">
            <v>454.55999999999995</v>
          </cell>
          <cell r="J1832">
            <v>0</v>
          </cell>
          <cell r="K1832">
            <v>454.55999999999995</v>
          </cell>
          <cell r="M1832">
            <v>0</v>
          </cell>
          <cell r="P1832">
            <v>0</v>
          </cell>
          <cell r="V1832" t="str">
            <v>Not Available</v>
          </cell>
        </row>
        <row r="1833">
          <cell r="E1833">
            <v>10080025</v>
          </cell>
          <cell r="H1833">
            <v>33.760000000000005</v>
          </cell>
          <cell r="I1833">
            <v>1384.19</v>
          </cell>
          <cell r="J1833">
            <v>0</v>
          </cell>
          <cell r="K1833">
            <v>0</v>
          </cell>
          <cell r="M1833">
            <v>0</v>
          </cell>
          <cell r="P1833">
            <v>0</v>
          </cell>
          <cell r="V1833" t="str">
            <v>Available</v>
          </cell>
        </row>
        <row r="1834">
          <cell r="E1834">
            <v>10080025</v>
          </cell>
          <cell r="H1834">
            <v>138.81</v>
          </cell>
          <cell r="I1834">
            <v>5153.6000000000004</v>
          </cell>
          <cell r="J1834">
            <v>0</v>
          </cell>
          <cell r="K1834">
            <v>0</v>
          </cell>
          <cell r="M1834">
            <v>0</v>
          </cell>
          <cell r="P1834">
            <v>5154</v>
          </cell>
          <cell r="V1834" t="str">
            <v>Available</v>
          </cell>
        </row>
        <row r="1835">
          <cell r="E1835">
            <v>10080025</v>
          </cell>
          <cell r="H1835">
            <v>17.509999999999998</v>
          </cell>
          <cell r="I1835">
            <v>766.21</v>
          </cell>
          <cell r="J1835">
            <v>0</v>
          </cell>
          <cell r="K1835">
            <v>0</v>
          </cell>
          <cell r="M1835">
            <v>0</v>
          </cell>
          <cell r="P1835">
            <v>766</v>
          </cell>
          <cell r="V1835" t="str">
            <v>Available</v>
          </cell>
        </row>
        <row r="1836">
          <cell r="E1836">
            <v>10080025</v>
          </cell>
          <cell r="H1836">
            <v>10.59</v>
          </cell>
          <cell r="I1836">
            <v>428.79999999999995</v>
          </cell>
          <cell r="J1836">
            <v>0</v>
          </cell>
          <cell r="K1836">
            <v>0</v>
          </cell>
          <cell r="M1836">
            <v>0</v>
          </cell>
          <cell r="P1836">
            <v>429</v>
          </cell>
          <cell r="V1836" t="str">
            <v>Available</v>
          </cell>
        </row>
        <row r="1837">
          <cell r="E1837">
            <v>10080025</v>
          </cell>
          <cell r="H1837">
            <v>113.15</v>
          </cell>
          <cell r="I1837">
            <v>4415.66</v>
          </cell>
          <cell r="J1837">
            <v>0</v>
          </cell>
          <cell r="K1837">
            <v>0</v>
          </cell>
          <cell r="M1837">
            <v>0</v>
          </cell>
          <cell r="P1837">
            <v>4416</v>
          </cell>
          <cell r="V1837" t="str">
            <v>Available</v>
          </cell>
        </row>
        <row r="1838">
          <cell r="E1838">
            <v>10080025</v>
          </cell>
          <cell r="H1838">
            <v>38.58</v>
          </cell>
          <cell r="I1838">
            <v>1453.4199999999998</v>
          </cell>
          <cell r="J1838">
            <v>0</v>
          </cell>
          <cell r="K1838">
            <v>0</v>
          </cell>
          <cell r="M1838">
            <v>0</v>
          </cell>
          <cell r="P1838">
            <v>1453</v>
          </cell>
          <cell r="V1838" t="str">
            <v>Available</v>
          </cell>
        </row>
        <row r="1839">
          <cell r="E1839">
            <v>10080025</v>
          </cell>
          <cell r="H1839">
            <v>45.849999999999994</v>
          </cell>
          <cell r="I1839">
            <v>1834.25</v>
          </cell>
          <cell r="J1839">
            <v>0</v>
          </cell>
          <cell r="K1839">
            <v>0</v>
          </cell>
          <cell r="M1839">
            <v>0</v>
          </cell>
          <cell r="P1839">
            <v>1834</v>
          </cell>
          <cell r="V1839" t="str">
            <v>Available</v>
          </cell>
        </row>
        <row r="1840">
          <cell r="E1840">
            <v>10080025</v>
          </cell>
          <cell r="H1840">
            <v>17.32</v>
          </cell>
          <cell r="I1840">
            <v>674.28</v>
          </cell>
          <cell r="J1840">
            <v>0</v>
          </cell>
          <cell r="K1840">
            <v>0</v>
          </cell>
          <cell r="M1840">
            <v>0</v>
          </cell>
          <cell r="P1840">
            <v>674</v>
          </cell>
          <cell r="V1840" t="str">
            <v>Available</v>
          </cell>
        </row>
        <row r="1841">
          <cell r="E1841">
            <v>10080025</v>
          </cell>
          <cell r="H1841">
            <v>1.92</v>
          </cell>
          <cell r="I1841">
            <v>78.990000000000009</v>
          </cell>
          <cell r="J1841">
            <v>0</v>
          </cell>
          <cell r="K1841">
            <v>0</v>
          </cell>
          <cell r="M1841">
            <v>0</v>
          </cell>
          <cell r="P1841">
            <v>79</v>
          </cell>
          <cell r="V1841" t="str">
            <v>Available</v>
          </cell>
        </row>
        <row r="1842">
          <cell r="E1842">
            <v>10080025</v>
          </cell>
          <cell r="H1842">
            <v>17.77</v>
          </cell>
          <cell r="I1842">
            <v>643.31000000000006</v>
          </cell>
          <cell r="J1842">
            <v>0</v>
          </cell>
          <cell r="K1842">
            <v>0</v>
          </cell>
          <cell r="M1842">
            <v>0</v>
          </cell>
          <cell r="P1842">
            <v>643</v>
          </cell>
          <cell r="V1842" t="str">
            <v>Available</v>
          </cell>
        </row>
        <row r="1843">
          <cell r="E1843">
            <v>10080025</v>
          </cell>
          <cell r="H1843">
            <v>31.6</v>
          </cell>
          <cell r="I1843">
            <v>1220.9100000000003</v>
          </cell>
          <cell r="J1843">
            <v>0</v>
          </cell>
          <cell r="K1843">
            <v>0</v>
          </cell>
          <cell r="M1843">
            <v>0</v>
          </cell>
          <cell r="P1843">
            <v>1221</v>
          </cell>
          <cell r="V1843" t="str">
            <v>Available</v>
          </cell>
        </row>
        <row r="1844">
          <cell r="E1844">
            <v>10080025</v>
          </cell>
          <cell r="H1844">
            <v>1.36</v>
          </cell>
          <cell r="I1844">
            <v>50.5</v>
          </cell>
          <cell r="J1844">
            <v>0</v>
          </cell>
          <cell r="K1844">
            <v>0</v>
          </cell>
          <cell r="M1844">
            <v>0</v>
          </cell>
          <cell r="P1844">
            <v>51</v>
          </cell>
          <cell r="V1844" t="str">
            <v>Available</v>
          </cell>
        </row>
        <row r="1845">
          <cell r="E1845">
            <v>10080025</v>
          </cell>
          <cell r="H1845">
            <v>26.39</v>
          </cell>
          <cell r="I1845">
            <v>992.42000000000007</v>
          </cell>
          <cell r="J1845">
            <v>0</v>
          </cell>
          <cell r="K1845">
            <v>0</v>
          </cell>
          <cell r="M1845">
            <v>0</v>
          </cell>
          <cell r="P1845">
            <v>992</v>
          </cell>
          <cell r="V1845" t="str">
            <v>Available</v>
          </cell>
        </row>
        <row r="1846">
          <cell r="E1846">
            <v>10080025</v>
          </cell>
          <cell r="H1846">
            <v>20.400000000000002</v>
          </cell>
          <cell r="I1846">
            <v>807.31999999999994</v>
          </cell>
          <cell r="J1846">
            <v>0</v>
          </cell>
          <cell r="K1846">
            <v>0</v>
          </cell>
          <cell r="M1846">
            <v>0</v>
          </cell>
          <cell r="P1846">
            <v>807</v>
          </cell>
          <cell r="V1846" t="str">
            <v>Available</v>
          </cell>
        </row>
        <row r="1847">
          <cell r="E1847">
            <v>10080025</v>
          </cell>
          <cell r="H1847">
            <v>13.62</v>
          </cell>
          <cell r="I1847">
            <v>549.40000000000009</v>
          </cell>
          <cell r="J1847">
            <v>0</v>
          </cell>
          <cell r="K1847">
            <v>0</v>
          </cell>
          <cell r="M1847">
            <v>0</v>
          </cell>
          <cell r="P1847">
            <v>549</v>
          </cell>
          <cell r="V1847" t="str">
            <v>Available</v>
          </cell>
        </row>
        <row r="1848">
          <cell r="E1848">
            <v>10080025</v>
          </cell>
          <cell r="H1848">
            <v>9.3000000000000007</v>
          </cell>
          <cell r="I1848">
            <v>348.38</v>
          </cell>
          <cell r="J1848">
            <v>0</v>
          </cell>
          <cell r="K1848">
            <v>0</v>
          </cell>
          <cell r="M1848">
            <v>0</v>
          </cell>
          <cell r="P1848">
            <v>348</v>
          </cell>
          <cell r="V1848" t="str">
            <v>Available</v>
          </cell>
        </row>
        <row r="1849">
          <cell r="E1849">
            <v>10080025</v>
          </cell>
          <cell r="H1849">
            <v>32.29</v>
          </cell>
          <cell r="I1849">
            <v>1205.46</v>
          </cell>
          <cell r="J1849">
            <v>0</v>
          </cell>
          <cell r="K1849">
            <v>0</v>
          </cell>
          <cell r="M1849">
            <v>0</v>
          </cell>
          <cell r="P1849">
            <v>1205</v>
          </cell>
          <cell r="V1849" t="str">
            <v>Available</v>
          </cell>
        </row>
        <row r="1850">
          <cell r="E1850">
            <v>10080025</v>
          </cell>
          <cell r="H1850">
            <v>11.839999999999998</v>
          </cell>
          <cell r="I1850">
            <v>473.72</v>
          </cell>
          <cell r="J1850">
            <v>0</v>
          </cell>
          <cell r="K1850">
            <v>0</v>
          </cell>
          <cell r="M1850">
            <v>0</v>
          </cell>
          <cell r="P1850">
            <v>474</v>
          </cell>
          <cell r="V1850" t="str">
            <v>Available</v>
          </cell>
        </row>
        <row r="1851">
          <cell r="E1851">
            <v>10080025</v>
          </cell>
          <cell r="H1851">
            <v>28.830000000000002</v>
          </cell>
          <cell r="I1851">
            <v>1096.98</v>
          </cell>
          <cell r="J1851">
            <v>0</v>
          </cell>
          <cell r="K1851">
            <v>0</v>
          </cell>
          <cell r="M1851">
            <v>0</v>
          </cell>
          <cell r="P1851">
            <v>1097</v>
          </cell>
          <cell r="V1851" t="str">
            <v>Available</v>
          </cell>
        </row>
        <row r="1852">
          <cell r="E1852">
            <v>10080025</v>
          </cell>
          <cell r="H1852">
            <v>5.4300000000000006</v>
          </cell>
          <cell r="I1852">
            <v>206.94000000000003</v>
          </cell>
          <cell r="J1852">
            <v>0</v>
          </cell>
          <cell r="K1852">
            <v>0</v>
          </cell>
          <cell r="M1852">
            <v>0</v>
          </cell>
          <cell r="P1852">
            <v>207</v>
          </cell>
          <cell r="V1852" t="str">
            <v>Available</v>
          </cell>
        </row>
        <row r="1853">
          <cell r="E1853">
            <v>10080025</v>
          </cell>
          <cell r="H1853">
            <v>33.99</v>
          </cell>
          <cell r="I1853">
            <v>1346.71</v>
          </cell>
          <cell r="J1853">
            <v>0</v>
          </cell>
          <cell r="K1853">
            <v>0</v>
          </cell>
          <cell r="M1853">
            <v>0</v>
          </cell>
          <cell r="P1853">
            <v>1347</v>
          </cell>
          <cell r="V1853" t="str">
            <v>Available</v>
          </cell>
        </row>
        <row r="1854">
          <cell r="E1854">
            <v>10080025</v>
          </cell>
          <cell r="H1854">
            <v>58.54</v>
          </cell>
          <cell r="I1854">
            <v>2102.2799999999997</v>
          </cell>
          <cell r="J1854">
            <v>0</v>
          </cell>
          <cell r="K1854">
            <v>0</v>
          </cell>
          <cell r="M1854">
            <v>0</v>
          </cell>
          <cell r="P1854">
            <v>2102</v>
          </cell>
          <cell r="V1854" t="str">
            <v>Available</v>
          </cell>
        </row>
        <row r="1855">
          <cell r="E1855">
            <v>10080032</v>
          </cell>
          <cell r="H1855">
            <v>4.46</v>
          </cell>
          <cell r="I1855">
            <v>202.08</v>
          </cell>
          <cell r="J1855">
            <v>0</v>
          </cell>
          <cell r="K1855">
            <v>202.08</v>
          </cell>
          <cell r="M1855">
            <v>0</v>
          </cell>
          <cell r="P1855">
            <v>0</v>
          </cell>
          <cell r="V1855" t="str">
            <v>Not Available</v>
          </cell>
        </row>
        <row r="1856">
          <cell r="E1856">
            <v>10080032</v>
          </cell>
          <cell r="H1856">
            <v>39.339999999999996</v>
          </cell>
          <cell r="I1856">
            <v>1768.86</v>
          </cell>
          <cell r="J1856">
            <v>0</v>
          </cell>
          <cell r="K1856">
            <v>0</v>
          </cell>
          <cell r="M1856">
            <v>0</v>
          </cell>
          <cell r="P1856">
            <v>1374</v>
          </cell>
          <cell r="V1856" t="str">
            <v>Available</v>
          </cell>
        </row>
        <row r="1857">
          <cell r="E1857">
            <v>10080032</v>
          </cell>
          <cell r="H1857">
            <v>19.14</v>
          </cell>
          <cell r="I1857">
            <v>819.67000000000007</v>
          </cell>
          <cell r="J1857">
            <v>0</v>
          </cell>
          <cell r="K1857">
            <v>0</v>
          </cell>
          <cell r="M1857">
            <v>0</v>
          </cell>
          <cell r="P1857">
            <v>820</v>
          </cell>
          <cell r="V1857" t="str">
            <v>Not Available</v>
          </cell>
        </row>
        <row r="1858">
          <cell r="E1858">
            <v>10080032</v>
          </cell>
          <cell r="H1858">
            <v>23.29</v>
          </cell>
          <cell r="I1858">
            <v>1017.9</v>
          </cell>
          <cell r="J1858">
            <v>0</v>
          </cell>
          <cell r="K1858">
            <v>0</v>
          </cell>
          <cell r="M1858">
            <v>0</v>
          </cell>
          <cell r="P1858">
            <v>1018</v>
          </cell>
          <cell r="V1858" t="str">
            <v>Not Available</v>
          </cell>
        </row>
        <row r="1859">
          <cell r="E1859">
            <v>10080032</v>
          </cell>
          <cell r="H1859">
            <v>34.209999999999994</v>
          </cell>
          <cell r="I1859">
            <v>1534.53</v>
          </cell>
          <cell r="J1859">
            <v>0</v>
          </cell>
          <cell r="K1859">
            <v>0</v>
          </cell>
          <cell r="M1859">
            <v>0</v>
          </cell>
          <cell r="P1859">
            <v>1535</v>
          </cell>
          <cell r="V1859" t="str">
            <v>Not Available</v>
          </cell>
        </row>
        <row r="1860">
          <cell r="E1860">
            <v>10080032</v>
          </cell>
          <cell r="H1860">
            <v>33.89</v>
          </cell>
          <cell r="I1860">
            <v>1519.18</v>
          </cell>
          <cell r="J1860">
            <v>0</v>
          </cell>
          <cell r="K1860">
            <v>0</v>
          </cell>
          <cell r="M1860">
            <v>0</v>
          </cell>
          <cell r="P1860">
            <v>1519</v>
          </cell>
          <cell r="V1860" t="str">
            <v>Not Available</v>
          </cell>
        </row>
        <row r="1861">
          <cell r="E1861">
            <v>10080032</v>
          </cell>
          <cell r="H1861">
            <v>20.45</v>
          </cell>
          <cell r="I1861">
            <v>907.44</v>
          </cell>
          <cell r="J1861">
            <v>0</v>
          </cell>
          <cell r="K1861">
            <v>0</v>
          </cell>
          <cell r="M1861">
            <v>0</v>
          </cell>
          <cell r="P1861">
            <v>907</v>
          </cell>
          <cell r="V1861" t="str">
            <v>Not Available</v>
          </cell>
        </row>
        <row r="1862">
          <cell r="E1862">
            <v>10080032</v>
          </cell>
          <cell r="H1862">
            <v>35.119999999999997</v>
          </cell>
          <cell r="I1862">
            <v>1550.2099999999996</v>
          </cell>
          <cell r="J1862">
            <v>0</v>
          </cell>
          <cell r="K1862">
            <v>0</v>
          </cell>
          <cell r="M1862">
            <v>0</v>
          </cell>
          <cell r="P1862">
            <v>1550</v>
          </cell>
          <cell r="V1862" t="str">
            <v>Not Available</v>
          </cell>
        </row>
        <row r="1863">
          <cell r="E1863">
            <v>10080032</v>
          </cell>
          <cell r="H1863">
            <v>1.93</v>
          </cell>
          <cell r="I1863">
            <v>81.56</v>
          </cell>
          <cell r="J1863">
            <v>0</v>
          </cell>
          <cell r="K1863">
            <v>0</v>
          </cell>
          <cell r="M1863">
            <v>0</v>
          </cell>
          <cell r="P1863">
            <v>82</v>
          </cell>
          <cell r="V1863" t="str">
            <v>Not Available</v>
          </cell>
        </row>
        <row r="1864">
          <cell r="E1864">
            <v>10080032</v>
          </cell>
          <cell r="H1864">
            <v>33.18</v>
          </cell>
          <cell r="I1864">
            <v>1440.7799999999997</v>
          </cell>
          <cell r="J1864">
            <v>0</v>
          </cell>
          <cell r="K1864">
            <v>0</v>
          </cell>
          <cell r="M1864">
            <v>0</v>
          </cell>
          <cell r="P1864">
            <v>1441</v>
          </cell>
          <cell r="V1864" t="str">
            <v>Not Available</v>
          </cell>
        </row>
        <row r="1865">
          <cell r="E1865">
            <v>10080032</v>
          </cell>
          <cell r="H1865">
            <v>54.360000000000007</v>
          </cell>
          <cell r="I1865">
            <v>2476.2600000000002</v>
          </cell>
          <cell r="J1865">
            <v>0</v>
          </cell>
          <cell r="K1865">
            <v>0</v>
          </cell>
          <cell r="M1865">
            <v>0</v>
          </cell>
          <cell r="P1865">
            <v>2476</v>
          </cell>
          <cell r="V1865" t="str">
            <v>Available</v>
          </cell>
        </row>
        <row r="1866">
          <cell r="E1866">
            <v>10080048</v>
          </cell>
          <cell r="H1866">
            <v>0.75000000000000011</v>
          </cell>
          <cell r="I1866">
            <v>30.03</v>
          </cell>
          <cell r="J1866">
            <v>0</v>
          </cell>
          <cell r="K1866">
            <v>30.03</v>
          </cell>
          <cell r="M1866">
            <v>0</v>
          </cell>
          <cell r="P1866">
            <v>0</v>
          </cell>
          <cell r="V1866" t="str">
            <v>Not Available</v>
          </cell>
        </row>
        <row r="1867">
          <cell r="E1867">
            <v>10080048</v>
          </cell>
          <cell r="H1867">
            <v>12.27</v>
          </cell>
          <cell r="I1867">
            <v>480.35</v>
          </cell>
          <cell r="J1867">
            <v>0</v>
          </cell>
          <cell r="K1867">
            <v>0</v>
          </cell>
          <cell r="M1867">
            <v>0</v>
          </cell>
          <cell r="P1867">
            <v>0</v>
          </cell>
          <cell r="V1867" t="str">
            <v>Available</v>
          </cell>
        </row>
        <row r="1868">
          <cell r="E1868">
            <v>10080048</v>
          </cell>
          <cell r="H1868">
            <v>44.06</v>
          </cell>
          <cell r="I1868">
            <v>1799.28</v>
          </cell>
          <cell r="J1868">
            <v>0</v>
          </cell>
          <cell r="K1868">
            <v>0</v>
          </cell>
          <cell r="M1868">
            <v>0</v>
          </cell>
          <cell r="P1868">
            <v>1799</v>
          </cell>
          <cell r="V1868" t="str">
            <v>Available</v>
          </cell>
        </row>
        <row r="1869">
          <cell r="E1869">
            <v>10080048</v>
          </cell>
          <cell r="H1869">
            <v>5.21</v>
          </cell>
          <cell r="I1869">
            <v>189.68</v>
          </cell>
          <cell r="J1869">
            <v>0</v>
          </cell>
          <cell r="K1869">
            <v>0</v>
          </cell>
          <cell r="M1869">
            <v>0</v>
          </cell>
          <cell r="P1869">
            <v>190</v>
          </cell>
          <cell r="V1869" t="str">
            <v>Available</v>
          </cell>
        </row>
        <row r="1870">
          <cell r="E1870">
            <v>10080052</v>
          </cell>
          <cell r="H1870">
            <v>1.7499999999999998</v>
          </cell>
          <cell r="I1870">
            <v>69.930000000000021</v>
          </cell>
          <cell r="J1870">
            <v>0</v>
          </cell>
          <cell r="K1870">
            <v>69.930000000000021</v>
          </cell>
          <cell r="M1870">
            <v>0</v>
          </cell>
          <cell r="P1870">
            <v>0</v>
          </cell>
          <cell r="V1870" t="str">
            <v>Not Available</v>
          </cell>
        </row>
        <row r="1871">
          <cell r="E1871">
            <v>10080052</v>
          </cell>
          <cell r="H1871">
            <v>237.83000000000004</v>
          </cell>
          <cell r="I1871">
            <v>9494.619999999999</v>
          </cell>
          <cell r="J1871">
            <v>0</v>
          </cell>
          <cell r="K1871">
            <v>0</v>
          </cell>
          <cell r="M1871">
            <v>0</v>
          </cell>
          <cell r="P1871">
            <v>9195</v>
          </cell>
          <cell r="V1871" t="str">
            <v>Available</v>
          </cell>
        </row>
        <row r="1872">
          <cell r="E1872">
            <v>10080052</v>
          </cell>
          <cell r="H1872">
            <v>230.25</v>
          </cell>
          <cell r="I1872">
            <v>9212.76</v>
          </cell>
          <cell r="J1872">
            <v>0</v>
          </cell>
          <cell r="K1872">
            <v>0</v>
          </cell>
          <cell r="M1872">
            <v>0</v>
          </cell>
          <cell r="P1872">
            <v>9213</v>
          </cell>
          <cell r="V1872" t="str">
            <v>Available</v>
          </cell>
        </row>
        <row r="1873">
          <cell r="E1873">
            <v>10080052</v>
          </cell>
          <cell r="H1873">
            <v>102.06000000000002</v>
          </cell>
          <cell r="I1873">
            <v>4086.1099999999997</v>
          </cell>
          <cell r="J1873">
            <v>0</v>
          </cell>
          <cell r="K1873">
            <v>0</v>
          </cell>
          <cell r="M1873">
            <v>0</v>
          </cell>
          <cell r="P1873">
            <v>4086</v>
          </cell>
          <cell r="V1873" t="str">
            <v>Available</v>
          </cell>
        </row>
        <row r="1874">
          <cell r="E1874">
            <v>10080055</v>
          </cell>
          <cell r="H1874">
            <v>51.57</v>
          </cell>
          <cell r="I1874">
            <v>2209.6</v>
          </cell>
          <cell r="J1874">
            <v>0</v>
          </cell>
          <cell r="K1874">
            <v>0</v>
          </cell>
          <cell r="M1874">
            <v>0</v>
          </cell>
          <cell r="P1874">
            <v>2210</v>
          </cell>
          <cell r="V1874" t="str">
            <v>Available</v>
          </cell>
        </row>
        <row r="1875">
          <cell r="E1875">
            <v>10080055</v>
          </cell>
          <cell r="H1875">
            <v>70.19</v>
          </cell>
          <cell r="I1875">
            <v>2974.6100000000006</v>
          </cell>
          <cell r="J1875">
            <v>0</v>
          </cell>
          <cell r="K1875">
            <v>0</v>
          </cell>
          <cell r="M1875">
            <v>0</v>
          </cell>
          <cell r="P1875">
            <v>2975</v>
          </cell>
          <cell r="V1875" t="str">
            <v>Available</v>
          </cell>
        </row>
        <row r="1876">
          <cell r="E1876">
            <v>10080055</v>
          </cell>
          <cell r="H1876">
            <v>82.320000000000007</v>
          </cell>
          <cell r="I1876">
            <v>3486.88</v>
          </cell>
          <cell r="J1876">
            <v>0</v>
          </cell>
          <cell r="K1876">
            <v>0</v>
          </cell>
          <cell r="M1876">
            <v>0</v>
          </cell>
          <cell r="P1876">
            <v>3487</v>
          </cell>
          <cell r="V1876" t="str">
            <v>Available</v>
          </cell>
        </row>
        <row r="1877">
          <cell r="E1877">
            <v>10080055</v>
          </cell>
          <cell r="H1877">
            <v>75.930000000000007</v>
          </cell>
          <cell r="I1877">
            <v>3203.0799999999995</v>
          </cell>
          <cell r="J1877">
            <v>0</v>
          </cell>
          <cell r="K1877">
            <v>0</v>
          </cell>
          <cell r="M1877">
            <v>0</v>
          </cell>
          <cell r="P1877">
            <v>3203</v>
          </cell>
          <cell r="V1877" t="str">
            <v>Available</v>
          </cell>
        </row>
        <row r="1878">
          <cell r="E1878">
            <v>10080055</v>
          </cell>
          <cell r="H1878">
            <v>8.5399999999999991</v>
          </cell>
          <cell r="I1878">
            <v>365.38</v>
          </cell>
          <cell r="J1878">
            <v>0</v>
          </cell>
          <cell r="K1878">
            <v>0</v>
          </cell>
          <cell r="M1878">
            <v>0</v>
          </cell>
          <cell r="P1878">
            <v>365</v>
          </cell>
          <cell r="V1878" t="str">
            <v>Not Available</v>
          </cell>
        </row>
        <row r="1879">
          <cell r="E1879">
            <v>10080055</v>
          </cell>
          <cell r="H1879">
            <v>9.57</v>
          </cell>
          <cell r="I1879">
            <v>407.89</v>
          </cell>
          <cell r="J1879">
            <v>0</v>
          </cell>
          <cell r="K1879">
            <v>0</v>
          </cell>
          <cell r="M1879">
            <v>0</v>
          </cell>
          <cell r="P1879">
            <v>408</v>
          </cell>
          <cell r="V1879" t="str">
            <v>Not Available</v>
          </cell>
        </row>
        <row r="1880">
          <cell r="E1880">
            <v>10080055</v>
          </cell>
          <cell r="H1880">
            <v>10.58</v>
          </cell>
          <cell r="I1880">
            <v>453.15</v>
          </cell>
          <cell r="J1880">
            <v>0</v>
          </cell>
          <cell r="K1880">
            <v>0</v>
          </cell>
          <cell r="M1880">
            <v>0</v>
          </cell>
          <cell r="P1880">
            <v>453</v>
          </cell>
          <cell r="V1880" t="str">
            <v>Not Available</v>
          </cell>
        </row>
        <row r="1881">
          <cell r="E1881">
            <v>10080055</v>
          </cell>
          <cell r="H1881">
            <v>9.4699999999999989</v>
          </cell>
          <cell r="I1881">
            <v>405.19</v>
          </cell>
          <cell r="J1881">
            <v>0</v>
          </cell>
          <cell r="K1881">
            <v>0</v>
          </cell>
          <cell r="M1881">
            <v>0</v>
          </cell>
          <cell r="P1881">
            <v>405</v>
          </cell>
          <cell r="V1881" t="str">
            <v>Not Available</v>
          </cell>
        </row>
        <row r="1882">
          <cell r="E1882">
            <v>10080055</v>
          </cell>
          <cell r="H1882">
            <v>7.92</v>
          </cell>
          <cell r="I1882">
            <v>336.42</v>
          </cell>
          <cell r="J1882">
            <v>0</v>
          </cell>
          <cell r="K1882">
            <v>0</v>
          </cell>
          <cell r="M1882">
            <v>0</v>
          </cell>
          <cell r="P1882">
            <v>336</v>
          </cell>
          <cell r="V1882" t="str">
            <v>Not Available</v>
          </cell>
        </row>
        <row r="1883">
          <cell r="E1883">
            <v>10080061</v>
          </cell>
          <cell r="H1883">
            <v>160.29999999999998</v>
          </cell>
          <cell r="I1883">
            <v>5881.7800000000007</v>
          </cell>
          <cell r="J1883">
            <v>0</v>
          </cell>
          <cell r="K1883">
            <v>0</v>
          </cell>
          <cell r="M1883">
            <v>0</v>
          </cell>
          <cell r="P1883">
            <v>5882</v>
          </cell>
          <cell r="V1883" t="str">
            <v>Available</v>
          </cell>
        </row>
        <row r="1884">
          <cell r="E1884">
            <v>10080065</v>
          </cell>
          <cell r="H1884">
            <v>0.65</v>
          </cell>
          <cell r="I1884">
            <v>24.54</v>
          </cell>
          <cell r="J1884">
            <v>0</v>
          </cell>
          <cell r="K1884">
            <v>24.54</v>
          </cell>
          <cell r="M1884">
            <v>0</v>
          </cell>
          <cell r="P1884">
            <v>0</v>
          </cell>
          <cell r="V1884" t="str">
            <v>Not Available</v>
          </cell>
        </row>
        <row r="1885">
          <cell r="E1885">
            <v>10080065</v>
          </cell>
          <cell r="H1885">
            <v>381.73</v>
          </cell>
          <cell r="I1885">
            <v>14473.120000000003</v>
          </cell>
          <cell r="J1885">
            <v>0</v>
          </cell>
          <cell r="K1885">
            <v>0</v>
          </cell>
          <cell r="M1885">
            <v>0</v>
          </cell>
          <cell r="P1885">
            <v>13578</v>
          </cell>
          <cell r="V1885" t="str">
            <v>Available</v>
          </cell>
        </row>
        <row r="1886">
          <cell r="E1886">
            <v>10080067</v>
          </cell>
          <cell r="H1886">
            <v>8.8000000000000007</v>
          </cell>
          <cell r="I1886">
            <v>348.73</v>
          </cell>
          <cell r="J1886">
            <v>0</v>
          </cell>
          <cell r="K1886">
            <v>0</v>
          </cell>
          <cell r="M1886">
            <v>0</v>
          </cell>
          <cell r="P1886">
            <v>0</v>
          </cell>
          <cell r="V1886" t="str">
            <v>Available</v>
          </cell>
        </row>
        <row r="1887">
          <cell r="E1887">
            <v>10080067</v>
          </cell>
          <cell r="H1887">
            <v>24.310000000000002</v>
          </cell>
          <cell r="I1887">
            <v>863.93</v>
          </cell>
          <cell r="J1887">
            <v>0</v>
          </cell>
          <cell r="K1887">
            <v>0</v>
          </cell>
          <cell r="M1887">
            <v>0</v>
          </cell>
          <cell r="P1887">
            <v>864</v>
          </cell>
          <cell r="V1887" t="str">
            <v>Available</v>
          </cell>
        </row>
        <row r="1888">
          <cell r="E1888">
            <v>10080067</v>
          </cell>
          <cell r="H1888">
            <v>51.120000000000005</v>
          </cell>
          <cell r="I1888">
            <v>2078.1</v>
          </cell>
          <cell r="J1888">
            <v>0</v>
          </cell>
          <cell r="K1888">
            <v>0</v>
          </cell>
          <cell r="M1888">
            <v>0</v>
          </cell>
          <cell r="P1888">
            <v>2078</v>
          </cell>
          <cell r="V1888" t="str">
            <v>Available</v>
          </cell>
        </row>
        <row r="1889">
          <cell r="E1889">
            <v>10080067</v>
          </cell>
          <cell r="H1889">
            <v>36.199999999999996</v>
          </cell>
          <cell r="I1889">
            <v>1342.65</v>
          </cell>
          <cell r="J1889">
            <v>0</v>
          </cell>
          <cell r="K1889">
            <v>0</v>
          </cell>
          <cell r="M1889">
            <v>0</v>
          </cell>
          <cell r="P1889">
            <v>1343</v>
          </cell>
          <cell r="V1889" t="str">
            <v>Available</v>
          </cell>
        </row>
        <row r="1890">
          <cell r="E1890">
            <v>10080077</v>
          </cell>
          <cell r="H1890">
            <v>54</v>
          </cell>
          <cell r="I1890">
            <v>2161.62</v>
          </cell>
          <cell r="J1890">
            <v>0</v>
          </cell>
          <cell r="K1890">
            <v>0</v>
          </cell>
          <cell r="M1890">
            <v>0</v>
          </cell>
          <cell r="P1890">
            <v>2147</v>
          </cell>
          <cell r="V1890" t="str">
            <v>Available</v>
          </cell>
        </row>
        <row r="1891">
          <cell r="E1891">
            <v>10080086</v>
          </cell>
          <cell r="H1891">
            <v>2.0000000000000004</v>
          </cell>
          <cell r="I1891">
            <v>76.409999999999982</v>
          </cell>
          <cell r="J1891">
            <v>0</v>
          </cell>
          <cell r="K1891">
            <v>76.409999999999982</v>
          </cell>
          <cell r="M1891">
            <v>0</v>
          </cell>
          <cell r="P1891">
            <v>0</v>
          </cell>
          <cell r="V1891" t="str">
            <v>Not Available</v>
          </cell>
        </row>
        <row r="1892">
          <cell r="E1892">
            <v>10080086</v>
          </cell>
          <cell r="H1892">
            <v>249.6</v>
          </cell>
          <cell r="I1892">
            <v>9376</v>
          </cell>
          <cell r="J1892">
            <v>0</v>
          </cell>
          <cell r="K1892">
            <v>0</v>
          </cell>
          <cell r="M1892">
            <v>0</v>
          </cell>
          <cell r="P1892">
            <v>8876</v>
          </cell>
          <cell r="V1892" t="str">
            <v>Available</v>
          </cell>
        </row>
        <row r="1893">
          <cell r="E1893">
            <v>10080086</v>
          </cell>
          <cell r="H1893">
            <v>168.4</v>
          </cell>
          <cell r="I1893">
            <v>6264.8000000000011</v>
          </cell>
          <cell r="J1893">
            <v>0</v>
          </cell>
          <cell r="K1893">
            <v>0</v>
          </cell>
          <cell r="M1893">
            <v>0</v>
          </cell>
          <cell r="P1893">
            <v>6265</v>
          </cell>
          <cell r="V1893" t="str">
            <v>Available</v>
          </cell>
        </row>
        <row r="1894">
          <cell r="E1894">
            <v>10080087</v>
          </cell>
          <cell r="H1894">
            <v>0.56000000000000005</v>
          </cell>
          <cell r="I1894">
            <v>21.96</v>
          </cell>
          <cell r="J1894">
            <v>0</v>
          </cell>
          <cell r="K1894">
            <v>21.96</v>
          </cell>
          <cell r="M1894">
            <v>0</v>
          </cell>
          <cell r="P1894">
            <v>0</v>
          </cell>
          <cell r="V1894" t="str">
            <v>Not Available</v>
          </cell>
        </row>
        <row r="1895">
          <cell r="E1895">
            <v>10080087</v>
          </cell>
          <cell r="H1895">
            <v>434.55</v>
          </cell>
          <cell r="I1895">
            <v>16972.47</v>
          </cell>
          <cell r="J1895">
            <v>0</v>
          </cell>
          <cell r="K1895">
            <v>0</v>
          </cell>
          <cell r="M1895">
            <v>0</v>
          </cell>
          <cell r="P1895">
            <v>16972</v>
          </cell>
          <cell r="V1895" t="str">
            <v>Available</v>
          </cell>
        </row>
        <row r="1896">
          <cell r="E1896">
            <v>10080087</v>
          </cell>
          <cell r="H1896">
            <v>20</v>
          </cell>
          <cell r="I1896">
            <v>795.2</v>
          </cell>
          <cell r="J1896">
            <v>0</v>
          </cell>
          <cell r="K1896">
            <v>0</v>
          </cell>
          <cell r="M1896">
            <v>0</v>
          </cell>
          <cell r="P1896">
            <v>795</v>
          </cell>
          <cell r="V1896" t="str">
            <v>Available</v>
          </cell>
        </row>
        <row r="1897">
          <cell r="E1897">
            <v>10080087</v>
          </cell>
          <cell r="H1897">
            <v>43.22</v>
          </cell>
          <cell r="I1897">
            <v>1600.58</v>
          </cell>
          <cell r="J1897">
            <v>0</v>
          </cell>
          <cell r="K1897">
            <v>0</v>
          </cell>
          <cell r="M1897">
            <v>0</v>
          </cell>
          <cell r="P1897">
            <v>1601</v>
          </cell>
          <cell r="V1897" t="str">
            <v>Available</v>
          </cell>
        </row>
        <row r="1898">
          <cell r="E1898">
            <v>10080088</v>
          </cell>
          <cell r="H1898">
            <v>1.7999999999999998</v>
          </cell>
          <cell r="I1898">
            <v>65.39</v>
          </cell>
          <cell r="J1898">
            <v>0</v>
          </cell>
          <cell r="K1898">
            <v>65.39</v>
          </cell>
          <cell r="M1898">
            <v>0</v>
          </cell>
          <cell r="P1898">
            <v>0</v>
          </cell>
          <cell r="V1898" t="str">
            <v>Not Available</v>
          </cell>
        </row>
        <row r="1899">
          <cell r="E1899">
            <v>10080088</v>
          </cell>
          <cell r="H1899">
            <v>157.19999999999999</v>
          </cell>
          <cell r="I1899">
            <v>6109.9500000000007</v>
          </cell>
          <cell r="J1899">
            <v>0</v>
          </cell>
          <cell r="K1899">
            <v>0</v>
          </cell>
          <cell r="M1899">
            <v>0</v>
          </cell>
          <cell r="P1899">
            <v>6110</v>
          </cell>
          <cell r="V1899" t="str">
            <v>Available</v>
          </cell>
        </row>
        <row r="1900">
          <cell r="E1900">
            <v>10080088</v>
          </cell>
          <cell r="H1900">
            <v>34.599999999999994</v>
          </cell>
          <cell r="I1900">
            <v>1394.8899999999999</v>
          </cell>
          <cell r="J1900">
            <v>0</v>
          </cell>
          <cell r="K1900">
            <v>0</v>
          </cell>
          <cell r="M1900">
            <v>0</v>
          </cell>
          <cell r="P1900">
            <v>1395</v>
          </cell>
          <cell r="V1900" t="str">
            <v>Available</v>
          </cell>
        </row>
        <row r="1901">
          <cell r="E1901">
            <v>10080088</v>
          </cell>
          <cell r="H1901">
            <v>26.9</v>
          </cell>
          <cell r="I1901">
            <v>934.06000000000006</v>
          </cell>
          <cell r="J1901">
            <v>0</v>
          </cell>
          <cell r="K1901">
            <v>0</v>
          </cell>
          <cell r="M1901">
            <v>0</v>
          </cell>
          <cell r="P1901">
            <v>934</v>
          </cell>
          <cell r="V1901" t="str">
            <v>Available</v>
          </cell>
        </row>
        <row r="1902">
          <cell r="E1902">
            <v>10080088</v>
          </cell>
          <cell r="H1902">
            <v>27.7</v>
          </cell>
          <cell r="I1902">
            <v>900.5</v>
          </cell>
          <cell r="J1902">
            <v>0</v>
          </cell>
          <cell r="K1902">
            <v>0</v>
          </cell>
          <cell r="M1902">
            <v>0</v>
          </cell>
          <cell r="P1902">
            <v>901</v>
          </cell>
          <cell r="V1902" t="str">
            <v>Available</v>
          </cell>
        </row>
        <row r="1903">
          <cell r="E1903">
            <v>10080088</v>
          </cell>
          <cell r="H1903">
            <v>111.30000000000001</v>
          </cell>
          <cell r="I1903">
            <v>3275.5</v>
          </cell>
          <cell r="J1903">
            <v>0</v>
          </cell>
          <cell r="K1903">
            <v>0</v>
          </cell>
          <cell r="M1903">
            <v>0</v>
          </cell>
          <cell r="P1903">
            <v>3276</v>
          </cell>
          <cell r="V1903" t="str">
            <v>Available</v>
          </cell>
        </row>
        <row r="1904">
          <cell r="E1904">
            <v>10080088</v>
          </cell>
          <cell r="H1904">
            <v>88.8</v>
          </cell>
          <cell r="I1904">
            <v>3080.89</v>
          </cell>
          <cell r="J1904">
            <v>0</v>
          </cell>
          <cell r="K1904">
            <v>0</v>
          </cell>
          <cell r="M1904">
            <v>0</v>
          </cell>
          <cell r="P1904">
            <v>3081</v>
          </cell>
          <cell r="V1904" t="str">
            <v>Available</v>
          </cell>
        </row>
        <row r="1905">
          <cell r="E1905">
            <v>10080093</v>
          </cell>
          <cell r="H1905">
            <v>344</v>
          </cell>
          <cell r="I1905">
            <v>12958.48</v>
          </cell>
          <cell r="J1905">
            <v>0</v>
          </cell>
          <cell r="K1905">
            <v>0</v>
          </cell>
          <cell r="M1905">
            <v>0</v>
          </cell>
          <cell r="P1905">
            <v>12946</v>
          </cell>
          <cell r="V1905" t="str">
            <v>Available</v>
          </cell>
        </row>
        <row r="1906">
          <cell r="E1906">
            <v>10080099</v>
          </cell>
          <cell r="H1906">
            <v>46</v>
          </cell>
          <cell r="I1906">
            <v>1809.64</v>
          </cell>
          <cell r="J1906">
            <v>0</v>
          </cell>
          <cell r="K1906">
            <v>0</v>
          </cell>
          <cell r="M1906">
            <v>0</v>
          </cell>
          <cell r="P1906">
            <v>1810</v>
          </cell>
          <cell r="V1906" t="str">
            <v>Available</v>
          </cell>
        </row>
        <row r="1907">
          <cell r="E1907">
            <v>10080115</v>
          </cell>
          <cell r="H1907">
            <v>143</v>
          </cell>
          <cell r="I1907">
            <v>5446.87</v>
          </cell>
          <cell r="J1907">
            <v>0</v>
          </cell>
          <cell r="K1907">
            <v>0</v>
          </cell>
          <cell r="M1907">
            <v>0</v>
          </cell>
          <cell r="P1907">
            <v>5447</v>
          </cell>
          <cell r="V1907" t="str">
            <v>Available</v>
          </cell>
        </row>
        <row r="1908">
          <cell r="E1908">
            <v>10080119</v>
          </cell>
          <cell r="H1908">
            <v>159.53</v>
          </cell>
          <cell r="I1908">
            <v>6576.9500000000007</v>
          </cell>
          <cell r="J1908">
            <v>0</v>
          </cell>
          <cell r="K1908">
            <v>0</v>
          </cell>
          <cell r="M1908">
            <v>0</v>
          </cell>
          <cell r="P1908">
            <v>5779</v>
          </cell>
          <cell r="V1908" t="str">
            <v>Available</v>
          </cell>
        </row>
        <row r="1909">
          <cell r="E1909">
            <v>10080119</v>
          </cell>
          <cell r="H1909">
            <v>2.81</v>
          </cell>
          <cell r="I1909">
            <v>115.63</v>
          </cell>
          <cell r="J1909">
            <v>0</v>
          </cell>
          <cell r="K1909">
            <v>0</v>
          </cell>
          <cell r="M1909">
            <v>0</v>
          </cell>
          <cell r="P1909">
            <v>116</v>
          </cell>
          <cell r="V1909" t="str">
            <v>Available</v>
          </cell>
        </row>
        <row r="1910">
          <cell r="E1910">
            <v>10080119</v>
          </cell>
          <cell r="H1910">
            <v>2.74</v>
          </cell>
          <cell r="I1910">
            <v>112.75</v>
          </cell>
          <cell r="J1910">
            <v>0</v>
          </cell>
          <cell r="K1910">
            <v>0</v>
          </cell>
          <cell r="M1910">
            <v>0</v>
          </cell>
          <cell r="P1910">
            <v>113</v>
          </cell>
          <cell r="V1910" t="str">
            <v>Not Available</v>
          </cell>
        </row>
        <row r="1911">
          <cell r="E1911">
            <v>10080119</v>
          </cell>
          <cell r="H1911">
            <v>2.88</v>
          </cell>
          <cell r="I1911">
            <v>118.51</v>
          </cell>
          <cell r="J1911">
            <v>0</v>
          </cell>
          <cell r="K1911">
            <v>0</v>
          </cell>
          <cell r="M1911">
            <v>0</v>
          </cell>
          <cell r="P1911">
            <v>119</v>
          </cell>
          <cell r="V1911" t="str">
            <v>Not Available</v>
          </cell>
        </row>
        <row r="1912">
          <cell r="E1912">
            <v>10080119</v>
          </cell>
          <cell r="H1912">
            <v>5.24</v>
          </cell>
          <cell r="I1912">
            <v>219.19</v>
          </cell>
          <cell r="J1912">
            <v>0</v>
          </cell>
          <cell r="K1912">
            <v>0</v>
          </cell>
          <cell r="M1912">
            <v>0</v>
          </cell>
          <cell r="P1912">
            <v>219</v>
          </cell>
          <cell r="V1912" t="str">
            <v>Not Available</v>
          </cell>
        </row>
        <row r="1913">
          <cell r="E1913">
            <v>10080119</v>
          </cell>
          <cell r="H1913">
            <v>7.42</v>
          </cell>
          <cell r="I1913">
            <v>287.38</v>
          </cell>
          <cell r="J1913">
            <v>0</v>
          </cell>
          <cell r="K1913">
            <v>0</v>
          </cell>
          <cell r="M1913">
            <v>0</v>
          </cell>
          <cell r="P1913">
            <v>287</v>
          </cell>
          <cell r="V1913" t="str">
            <v>Not Available</v>
          </cell>
        </row>
        <row r="1914">
          <cell r="E1914">
            <v>10080119</v>
          </cell>
          <cell r="H1914">
            <v>4.74</v>
          </cell>
          <cell r="I1914">
            <v>195.05</v>
          </cell>
          <cell r="J1914">
            <v>0</v>
          </cell>
          <cell r="K1914">
            <v>0</v>
          </cell>
          <cell r="M1914">
            <v>0</v>
          </cell>
          <cell r="P1914">
            <v>195</v>
          </cell>
          <cell r="V1914" t="str">
            <v>Not Available</v>
          </cell>
        </row>
        <row r="1915">
          <cell r="E1915">
            <v>10080119</v>
          </cell>
          <cell r="H1915">
            <v>3.13</v>
          </cell>
          <cell r="I1915">
            <v>123.13</v>
          </cell>
          <cell r="J1915">
            <v>0</v>
          </cell>
          <cell r="K1915">
            <v>0</v>
          </cell>
          <cell r="M1915">
            <v>0</v>
          </cell>
          <cell r="P1915">
            <v>123</v>
          </cell>
          <cell r="V1915" t="str">
            <v>Not Available</v>
          </cell>
        </row>
        <row r="1916">
          <cell r="E1916">
            <v>10080119</v>
          </cell>
          <cell r="H1916">
            <v>1.06</v>
          </cell>
          <cell r="I1916">
            <v>43.47</v>
          </cell>
          <cell r="J1916">
            <v>0</v>
          </cell>
          <cell r="K1916">
            <v>0</v>
          </cell>
          <cell r="M1916">
            <v>0</v>
          </cell>
          <cell r="P1916">
            <v>43</v>
          </cell>
          <cell r="V1916" t="str">
            <v>Not Available</v>
          </cell>
        </row>
        <row r="1917">
          <cell r="E1917">
            <v>10080119</v>
          </cell>
          <cell r="H1917">
            <v>2.77</v>
          </cell>
          <cell r="I1917">
            <v>113.99</v>
          </cell>
          <cell r="J1917">
            <v>0</v>
          </cell>
          <cell r="K1917">
            <v>0</v>
          </cell>
          <cell r="M1917">
            <v>0</v>
          </cell>
          <cell r="P1917">
            <v>114</v>
          </cell>
          <cell r="V1917" t="str">
            <v>Not Available</v>
          </cell>
        </row>
        <row r="1918">
          <cell r="E1918">
            <v>10080119</v>
          </cell>
          <cell r="H1918">
            <v>4.97</v>
          </cell>
          <cell r="I1918">
            <v>184.83</v>
          </cell>
          <cell r="J1918">
            <v>0</v>
          </cell>
          <cell r="K1918">
            <v>0</v>
          </cell>
          <cell r="M1918">
            <v>0</v>
          </cell>
          <cell r="P1918">
            <v>185</v>
          </cell>
          <cell r="V1918" t="str">
            <v>Not Available</v>
          </cell>
        </row>
        <row r="1919">
          <cell r="E1919">
            <v>10080119</v>
          </cell>
          <cell r="H1919">
            <v>5.64</v>
          </cell>
          <cell r="I1919">
            <v>232.09</v>
          </cell>
          <cell r="J1919">
            <v>0</v>
          </cell>
          <cell r="K1919">
            <v>0</v>
          </cell>
          <cell r="M1919">
            <v>0</v>
          </cell>
          <cell r="P1919">
            <v>232</v>
          </cell>
          <cell r="V1919" t="str">
            <v>Not Available</v>
          </cell>
        </row>
        <row r="1920">
          <cell r="E1920">
            <v>10080120</v>
          </cell>
          <cell r="H1920">
            <v>146.21</v>
          </cell>
          <cell r="I1920">
            <v>5531.6600000000008</v>
          </cell>
          <cell r="J1920">
            <v>0</v>
          </cell>
          <cell r="K1920">
            <v>0</v>
          </cell>
          <cell r="M1920">
            <v>0</v>
          </cell>
          <cell r="P1920">
            <v>5342</v>
          </cell>
          <cell r="V1920" t="str">
            <v>Available</v>
          </cell>
        </row>
        <row r="1921">
          <cell r="E1921">
            <v>10080120</v>
          </cell>
          <cell r="H1921">
            <v>98.25</v>
          </cell>
          <cell r="I1921">
            <v>3830.68</v>
          </cell>
          <cell r="J1921">
            <v>0</v>
          </cell>
          <cell r="K1921">
            <v>0</v>
          </cell>
          <cell r="M1921">
            <v>0</v>
          </cell>
          <cell r="P1921">
            <v>3831</v>
          </cell>
          <cell r="V1921" t="str">
            <v>Available</v>
          </cell>
        </row>
        <row r="1922">
          <cell r="E1922">
            <v>10080120</v>
          </cell>
          <cell r="H1922">
            <v>38.530000000000008</v>
          </cell>
          <cell r="I1922">
            <v>1463.9099999999999</v>
          </cell>
          <cell r="J1922">
            <v>0</v>
          </cell>
          <cell r="K1922">
            <v>0</v>
          </cell>
          <cell r="M1922">
            <v>0</v>
          </cell>
          <cell r="P1922">
            <v>1464</v>
          </cell>
          <cell r="V1922" t="str">
            <v>Available</v>
          </cell>
        </row>
        <row r="1923">
          <cell r="E1923">
            <v>10080120</v>
          </cell>
          <cell r="H1923">
            <v>44.499999999999993</v>
          </cell>
          <cell r="I1923">
            <v>1847.4599999999998</v>
          </cell>
          <cell r="J1923">
            <v>0</v>
          </cell>
          <cell r="K1923">
            <v>0</v>
          </cell>
          <cell r="M1923">
            <v>0</v>
          </cell>
          <cell r="P1923">
            <v>1847</v>
          </cell>
          <cell r="V1923" t="str">
            <v>Available</v>
          </cell>
        </row>
        <row r="1924">
          <cell r="E1924">
            <v>10080120</v>
          </cell>
          <cell r="H1924">
            <v>52.95</v>
          </cell>
          <cell r="I1924">
            <v>1997.23</v>
          </cell>
          <cell r="J1924">
            <v>0</v>
          </cell>
          <cell r="K1924">
            <v>0</v>
          </cell>
          <cell r="M1924">
            <v>0</v>
          </cell>
          <cell r="P1924">
            <v>1997</v>
          </cell>
          <cell r="V1924" t="str">
            <v>Available</v>
          </cell>
        </row>
        <row r="1925">
          <cell r="E1925">
            <v>10080120</v>
          </cell>
          <cell r="H1925">
            <v>35.059999999999995</v>
          </cell>
          <cell r="I1925">
            <v>1001.8799999999999</v>
          </cell>
          <cell r="J1925">
            <v>0</v>
          </cell>
          <cell r="K1925">
            <v>0</v>
          </cell>
          <cell r="M1925">
            <v>0</v>
          </cell>
          <cell r="P1925">
            <v>1002</v>
          </cell>
          <cell r="V1925" t="str">
            <v>Available</v>
          </cell>
        </row>
        <row r="1926">
          <cell r="E1926">
            <v>10080120</v>
          </cell>
          <cell r="H1926">
            <v>41.35</v>
          </cell>
          <cell r="I1926">
            <v>1621.1499999999999</v>
          </cell>
          <cell r="J1926">
            <v>0</v>
          </cell>
          <cell r="K1926">
            <v>0</v>
          </cell>
          <cell r="M1926">
            <v>0</v>
          </cell>
          <cell r="P1926">
            <v>1621</v>
          </cell>
          <cell r="V1926" t="str">
            <v>Available</v>
          </cell>
        </row>
        <row r="1927">
          <cell r="E1927">
            <v>10080120</v>
          </cell>
          <cell r="H1927">
            <v>1.82</v>
          </cell>
          <cell r="I1927">
            <v>64.540000000000006</v>
          </cell>
          <cell r="J1927">
            <v>0</v>
          </cell>
          <cell r="K1927">
            <v>0</v>
          </cell>
          <cell r="M1927">
            <v>0</v>
          </cell>
          <cell r="P1927">
            <v>65</v>
          </cell>
          <cell r="V1927" t="str">
            <v>Available</v>
          </cell>
        </row>
        <row r="1928">
          <cell r="E1928">
            <v>10080120</v>
          </cell>
          <cell r="H1928">
            <v>2.75</v>
          </cell>
          <cell r="I1928">
            <v>105.43</v>
          </cell>
          <cell r="J1928">
            <v>0</v>
          </cell>
          <cell r="K1928">
            <v>0</v>
          </cell>
          <cell r="M1928">
            <v>0</v>
          </cell>
          <cell r="P1928">
            <v>105</v>
          </cell>
          <cell r="V1928" t="str">
            <v>Available</v>
          </cell>
        </row>
        <row r="1929">
          <cell r="E1929">
            <v>10080120</v>
          </cell>
          <cell r="H1929">
            <v>41.19</v>
          </cell>
          <cell r="I1929">
            <v>1627.1700000000003</v>
          </cell>
          <cell r="J1929">
            <v>0</v>
          </cell>
          <cell r="K1929">
            <v>0</v>
          </cell>
          <cell r="M1929">
            <v>0</v>
          </cell>
          <cell r="P1929">
            <v>1627</v>
          </cell>
          <cell r="V1929" t="str">
            <v>Not Available</v>
          </cell>
        </row>
        <row r="1930">
          <cell r="E1930">
            <v>10080120</v>
          </cell>
          <cell r="H1930">
            <v>35.88000000000001</v>
          </cell>
          <cell r="I1930">
            <v>1376.9099999999999</v>
          </cell>
          <cell r="J1930">
            <v>0</v>
          </cell>
          <cell r="K1930">
            <v>0</v>
          </cell>
          <cell r="M1930">
            <v>0</v>
          </cell>
          <cell r="P1930">
            <v>1377</v>
          </cell>
          <cell r="V1930" t="str">
            <v>Not Available</v>
          </cell>
        </row>
        <row r="1931">
          <cell r="E1931">
            <v>10080122</v>
          </cell>
          <cell r="H1931">
            <v>487</v>
          </cell>
          <cell r="I1931">
            <v>19363.12</v>
          </cell>
          <cell r="J1931">
            <v>0</v>
          </cell>
          <cell r="K1931">
            <v>0</v>
          </cell>
          <cell r="M1931">
            <v>0</v>
          </cell>
          <cell r="P1931">
            <v>19363</v>
          </cell>
          <cell r="V1931" t="str">
            <v>Available</v>
          </cell>
        </row>
        <row r="1932">
          <cell r="E1932">
            <v>10080124</v>
          </cell>
          <cell r="H1932">
            <v>175</v>
          </cell>
          <cell r="I1932">
            <v>7005.25</v>
          </cell>
          <cell r="J1932">
            <v>0</v>
          </cell>
          <cell r="K1932">
            <v>0</v>
          </cell>
          <cell r="M1932">
            <v>0</v>
          </cell>
          <cell r="P1932">
            <v>7005</v>
          </cell>
          <cell r="V1932" t="str">
            <v>Available</v>
          </cell>
        </row>
        <row r="1933">
          <cell r="E1933">
            <v>10080126</v>
          </cell>
          <cell r="H1933">
            <v>151</v>
          </cell>
          <cell r="I1933">
            <v>5688.17</v>
          </cell>
          <cell r="J1933">
            <v>0</v>
          </cell>
          <cell r="K1933">
            <v>0</v>
          </cell>
          <cell r="M1933">
            <v>0</v>
          </cell>
          <cell r="P1933">
            <v>5688</v>
          </cell>
          <cell r="V1933" t="str">
            <v>Available</v>
          </cell>
        </row>
        <row r="1934">
          <cell r="E1934">
            <v>10090002</v>
          </cell>
          <cell r="H1934">
            <v>11.29</v>
          </cell>
          <cell r="I1934">
            <v>456.33999999999992</v>
          </cell>
          <cell r="J1934">
            <v>0</v>
          </cell>
          <cell r="K1934">
            <v>456.33999999999992</v>
          </cell>
          <cell r="M1934">
            <v>0</v>
          </cell>
          <cell r="P1934">
            <v>0</v>
          </cell>
          <cell r="V1934" t="str">
            <v>Not Available</v>
          </cell>
        </row>
        <row r="1935">
          <cell r="E1935">
            <v>10090002</v>
          </cell>
          <cell r="H1935">
            <v>230.53000000000003</v>
          </cell>
          <cell r="I1935">
            <v>10055.579999999996</v>
          </cell>
          <cell r="J1935">
            <v>0</v>
          </cell>
          <cell r="K1935">
            <v>0</v>
          </cell>
          <cell r="M1935">
            <v>0</v>
          </cell>
          <cell r="P1935">
            <v>297</v>
          </cell>
          <cell r="V1935" t="str">
            <v>Available</v>
          </cell>
        </row>
        <row r="1936">
          <cell r="E1936">
            <v>10090002</v>
          </cell>
          <cell r="H1936">
            <v>109.39000000000001</v>
          </cell>
          <cell r="I1936">
            <v>4804.5099999999993</v>
          </cell>
          <cell r="J1936">
            <v>0</v>
          </cell>
          <cell r="K1936">
            <v>0</v>
          </cell>
          <cell r="M1936">
            <v>0</v>
          </cell>
          <cell r="P1936">
            <v>4805</v>
          </cell>
          <cell r="V1936" t="str">
            <v>Available</v>
          </cell>
        </row>
        <row r="1937">
          <cell r="E1937">
            <v>10090002</v>
          </cell>
          <cell r="H1937">
            <v>114.61999999999999</v>
          </cell>
          <cell r="I1937">
            <v>4998.1100000000006</v>
          </cell>
          <cell r="J1937">
            <v>0</v>
          </cell>
          <cell r="K1937">
            <v>0</v>
          </cell>
          <cell r="M1937">
            <v>0</v>
          </cell>
          <cell r="P1937">
            <v>4998</v>
          </cell>
          <cell r="V1937" t="str">
            <v>Available</v>
          </cell>
        </row>
        <row r="1938">
          <cell r="E1938">
            <v>10090002</v>
          </cell>
          <cell r="H1938">
            <v>101.15000000000002</v>
          </cell>
          <cell r="I1938">
            <v>4329.9199999999992</v>
          </cell>
          <cell r="J1938">
            <v>0</v>
          </cell>
          <cell r="K1938">
            <v>0</v>
          </cell>
          <cell r="M1938">
            <v>0</v>
          </cell>
          <cell r="P1938">
            <v>4330</v>
          </cell>
          <cell r="V1938" t="str">
            <v>Available</v>
          </cell>
        </row>
        <row r="1939">
          <cell r="E1939">
            <v>10090002</v>
          </cell>
          <cell r="H1939">
            <v>6.49</v>
          </cell>
          <cell r="I1939">
            <v>321.52999999999997</v>
          </cell>
          <cell r="J1939">
            <v>0</v>
          </cell>
          <cell r="K1939">
            <v>0</v>
          </cell>
          <cell r="M1939">
            <v>0</v>
          </cell>
          <cell r="P1939">
            <v>322</v>
          </cell>
          <cell r="V1939" t="str">
            <v>Available</v>
          </cell>
        </row>
        <row r="1940">
          <cell r="E1940">
            <v>10090002</v>
          </cell>
          <cell r="H1940">
            <v>108.10000000000001</v>
          </cell>
          <cell r="I1940">
            <v>4619.29</v>
          </cell>
          <cell r="J1940">
            <v>0</v>
          </cell>
          <cell r="K1940">
            <v>0</v>
          </cell>
          <cell r="M1940">
            <v>0</v>
          </cell>
          <cell r="P1940">
            <v>4619</v>
          </cell>
          <cell r="V1940" t="str">
            <v>Available</v>
          </cell>
        </row>
        <row r="1941">
          <cell r="E1941">
            <v>10090002</v>
          </cell>
          <cell r="H1941">
            <v>93.16</v>
          </cell>
          <cell r="I1941">
            <v>3916.1399999999994</v>
          </cell>
          <cell r="J1941">
            <v>0</v>
          </cell>
          <cell r="K1941">
            <v>0</v>
          </cell>
          <cell r="M1941">
            <v>0</v>
          </cell>
          <cell r="P1941">
            <v>3916</v>
          </cell>
          <cell r="V1941" t="str">
            <v>Available</v>
          </cell>
        </row>
        <row r="1942">
          <cell r="E1942">
            <v>10090002</v>
          </cell>
          <cell r="H1942">
            <v>30.86</v>
          </cell>
          <cell r="I1942">
            <v>1280.45</v>
          </cell>
          <cell r="J1942">
            <v>0</v>
          </cell>
          <cell r="K1942">
            <v>0</v>
          </cell>
          <cell r="M1942">
            <v>0</v>
          </cell>
          <cell r="P1942">
            <v>1280</v>
          </cell>
          <cell r="V1942" t="str">
            <v>Not Available</v>
          </cell>
        </row>
        <row r="1943">
          <cell r="E1943">
            <v>10090002</v>
          </cell>
          <cell r="H1943">
            <v>74.509999999999991</v>
          </cell>
          <cell r="I1943">
            <v>3153.72</v>
          </cell>
          <cell r="J1943">
            <v>0</v>
          </cell>
          <cell r="K1943">
            <v>0</v>
          </cell>
          <cell r="M1943">
            <v>0</v>
          </cell>
          <cell r="P1943">
            <v>3154</v>
          </cell>
          <cell r="V1943" t="str">
            <v>Not Available</v>
          </cell>
        </row>
        <row r="1944">
          <cell r="E1944">
            <v>10090002</v>
          </cell>
          <cell r="H1944">
            <v>78.89</v>
          </cell>
          <cell r="I1944">
            <v>3525.5300000000007</v>
          </cell>
          <cell r="J1944">
            <v>0</v>
          </cell>
          <cell r="K1944">
            <v>0</v>
          </cell>
          <cell r="M1944">
            <v>0</v>
          </cell>
          <cell r="P1944">
            <v>3526</v>
          </cell>
          <cell r="V1944" t="str">
            <v>Not Available</v>
          </cell>
        </row>
        <row r="1945">
          <cell r="E1945">
            <v>10090002</v>
          </cell>
          <cell r="H1945">
            <v>80.309999999999988</v>
          </cell>
          <cell r="I1945">
            <v>3611.3500000000004</v>
          </cell>
          <cell r="J1945">
            <v>0</v>
          </cell>
          <cell r="K1945">
            <v>0</v>
          </cell>
          <cell r="M1945">
            <v>0</v>
          </cell>
          <cell r="P1945">
            <v>3611</v>
          </cell>
          <cell r="V1945" t="str">
            <v>Not Available</v>
          </cell>
        </row>
        <row r="1946">
          <cell r="E1946">
            <v>10090002</v>
          </cell>
          <cell r="H1946">
            <v>197.53</v>
          </cell>
          <cell r="I1946">
            <v>8710.76</v>
          </cell>
          <cell r="J1946">
            <v>0</v>
          </cell>
          <cell r="K1946">
            <v>0</v>
          </cell>
          <cell r="M1946">
            <v>0</v>
          </cell>
          <cell r="P1946">
            <v>8711</v>
          </cell>
          <cell r="V1946" t="str">
            <v>Available</v>
          </cell>
        </row>
        <row r="1947">
          <cell r="E1947">
            <v>10090002</v>
          </cell>
          <cell r="H1947">
            <v>26.04</v>
          </cell>
          <cell r="I1947">
            <v>1179.02</v>
          </cell>
          <cell r="J1947">
            <v>0</v>
          </cell>
          <cell r="K1947">
            <v>0</v>
          </cell>
          <cell r="M1947">
            <v>0</v>
          </cell>
          <cell r="P1947">
            <v>1179</v>
          </cell>
          <cell r="V1947" t="str">
            <v>Available</v>
          </cell>
        </row>
        <row r="1948">
          <cell r="E1948">
            <v>10090003</v>
          </cell>
          <cell r="H1948">
            <v>0.7</v>
          </cell>
          <cell r="I1948">
            <v>24.589999999999996</v>
          </cell>
          <cell r="J1948">
            <v>0</v>
          </cell>
          <cell r="K1948">
            <v>24.589999999999996</v>
          </cell>
          <cell r="M1948">
            <v>0</v>
          </cell>
          <cell r="P1948">
            <v>0</v>
          </cell>
          <cell r="V1948" t="str">
            <v>Not Available</v>
          </cell>
        </row>
        <row r="1949">
          <cell r="E1949">
            <v>10090003</v>
          </cell>
          <cell r="H1949">
            <v>25</v>
          </cell>
          <cell r="I1949">
            <v>865.01</v>
          </cell>
          <cell r="J1949">
            <v>0</v>
          </cell>
          <cell r="K1949">
            <v>0</v>
          </cell>
          <cell r="M1949">
            <v>0</v>
          </cell>
          <cell r="P1949">
            <v>865</v>
          </cell>
          <cell r="V1949" t="str">
            <v>Available</v>
          </cell>
        </row>
        <row r="1950">
          <cell r="E1950">
            <v>10090003</v>
          </cell>
          <cell r="H1950">
            <v>19.100000000000001</v>
          </cell>
          <cell r="I1950">
            <v>671.62</v>
          </cell>
          <cell r="J1950">
            <v>0</v>
          </cell>
          <cell r="K1950">
            <v>0</v>
          </cell>
          <cell r="M1950">
            <v>0</v>
          </cell>
          <cell r="P1950">
            <v>672</v>
          </cell>
          <cell r="V1950" t="str">
            <v>Available</v>
          </cell>
        </row>
        <row r="1951">
          <cell r="E1951">
            <v>10090006</v>
          </cell>
          <cell r="H1951">
            <v>216.00000000000003</v>
          </cell>
          <cell r="I1951">
            <v>10138.320000000002</v>
          </cell>
          <cell r="J1951">
            <v>0</v>
          </cell>
          <cell r="K1951">
            <v>0</v>
          </cell>
          <cell r="M1951">
            <v>0</v>
          </cell>
          <cell r="P1951">
            <v>8511</v>
          </cell>
          <cell r="V1951" t="str">
            <v>Available</v>
          </cell>
        </row>
        <row r="1952">
          <cell r="E1952">
            <v>10090006</v>
          </cell>
          <cell r="H1952">
            <v>84.300000000000011</v>
          </cell>
          <cell r="I1952">
            <v>3226.96</v>
          </cell>
          <cell r="J1952">
            <v>0</v>
          </cell>
          <cell r="K1952">
            <v>0</v>
          </cell>
          <cell r="M1952">
            <v>0</v>
          </cell>
          <cell r="P1952">
            <v>3227</v>
          </cell>
          <cell r="V1952" t="str">
            <v>Available</v>
          </cell>
        </row>
        <row r="1953">
          <cell r="E1953">
            <v>10090006</v>
          </cell>
          <cell r="H1953">
            <v>162.6</v>
          </cell>
          <cell r="I1953">
            <v>7816.6600000000008</v>
          </cell>
          <cell r="J1953">
            <v>0</v>
          </cell>
          <cell r="K1953">
            <v>0</v>
          </cell>
          <cell r="M1953">
            <v>0</v>
          </cell>
          <cell r="P1953">
            <v>7817</v>
          </cell>
          <cell r="V1953" t="str">
            <v>Available</v>
          </cell>
        </row>
        <row r="1954">
          <cell r="E1954">
            <v>10090006</v>
          </cell>
          <cell r="H1954">
            <v>347.09999999999997</v>
          </cell>
          <cell r="I1954">
            <v>13369.919999999998</v>
          </cell>
          <cell r="J1954">
            <v>0</v>
          </cell>
          <cell r="K1954">
            <v>0</v>
          </cell>
          <cell r="M1954">
            <v>0</v>
          </cell>
          <cell r="P1954">
            <v>13370</v>
          </cell>
          <cell r="V1954" t="str">
            <v>Available</v>
          </cell>
        </row>
        <row r="1955">
          <cell r="E1955">
            <v>10090006</v>
          </cell>
          <cell r="H1955">
            <v>30.6</v>
          </cell>
          <cell r="I1955">
            <v>1923.55</v>
          </cell>
          <cell r="J1955">
            <v>0</v>
          </cell>
          <cell r="K1955">
            <v>0</v>
          </cell>
          <cell r="M1955">
            <v>0</v>
          </cell>
          <cell r="P1955">
            <v>1924</v>
          </cell>
          <cell r="V1955" t="str">
            <v>Available</v>
          </cell>
        </row>
        <row r="1956">
          <cell r="E1956">
            <v>10090006</v>
          </cell>
          <cell r="H1956">
            <v>264.40000000000003</v>
          </cell>
          <cell r="I1956">
            <v>11581.84</v>
          </cell>
          <cell r="J1956">
            <v>0</v>
          </cell>
          <cell r="K1956">
            <v>0</v>
          </cell>
          <cell r="M1956">
            <v>0</v>
          </cell>
          <cell r="P1956">
            <v>11582</v>
          </cell>
          <cell r="V1956" t="str">
            <v>Available</v>
          </cell>
        </row>
        <row r="1957">
          <cell r="E1957">
            <v>10090006</v>
          </cell>
          <cell r="H1957">
            <v>12.7</v>
          </cell>
          <cell r="I1957">
            <v>1027.0999999999999</v>
          </cell>
          <cell r="J1957">
            <v>0</v>
          </cell>
          <cell r="K1957">
            <v>0</v>
          </cell>
          <cell r="M1957">
            <v>0</v>
          </cell>
          <cell r="P1957">
            <v>1027</v>
          </cell>
          <cell r="V1957" t="str">
            <v>Available</v>
          </cell>
        </row>
        <row r="1958">
          <cell r="E1958">
            <v>10090006</v>
          </cell>
          <cell r="H1958">
            <v>115.2</v>
          </cell>
          <cell r="I1958">
            <v>5271.7999999999993</v>
          </cell>
          <cell r="J1958">
            <v>0</v>
          </cell>
          <cell r="K1958">
            <v>0</v>
          </cell>
          <cell r="M1958">
            <v>0</v>
          </cell>
          <cell r="P1958">
            <v>5272</v>
          </cell>
          <cell r="V1958" t="str">
            <v>Available</v>
          </cell>
        </row>
        <row r="1959">
          <cell r="E1959">
            <v>10090006</v>
          </cell>
          <cell r="H1959">
            <v>64.099999999999994</v>
          </cell>
          <cell r="I1959">
            <v>3183.2199999999993</v>
          </cell>
          <cell r="J1959">
            <v>0</v>
          </cell>
          <cell r="K1959">
            <v>0</v>
          </cell>
          <cell r="M1959">
            <v>0</v>
          </cell>
          <cell r="P1959">
            <v>3183</v>
          </cell>
          <cell r="V1959" t="str">
            <v>Available</v>
          </cell>
        </row>
        <row r="1960">
          <cell r="E1960">
            <v>10090007</v>
          </cell>
          <cell r="H1960">
            <v>2.4000000000000004</v>
          </cell>
          <cell r="I1960">
            <v>91.98</v>
          </cell>
          <cell r="J1960">
            <v>0</v>
          </cell>
          <cell r="K1960">
            <v>91.98</v>
          </cell>
          <cell r="M1960">
            <v>0</v>
          </cell>
          <cell r="P1960">
            <v>0</v>
          </cell>
          <cell r="V1960" t="str">
            <v>Not Available</v>
          </cell>
        </row>
        <row r="1961">
          <cell r="E1961">
            <v>10090007</v>
          </cell>
          <cell r="H1961">
            <v>213.10000000000002</v>
          </cell>
          <cell r="I1961">
            <v>9090.1099999999988</v>
          </cell>
          <cell r="J1961">
            <v>0</v>
          </cell>
          <cell r="K1961">
            <v>0</v>
          </cell>
          <cell r="M1961">
            <v>0</v>
          </cell>
          <cell r="P1961">
            <v>4283</v>
          </cell>
          <cell r="V1961" t="str">
            <v>Available</v>
          </cell>
        </row>
        <row r="1962">
          <cell r="E1962">
            <v>10090007</v>
          </cell>
          <cell r="H1962">
            <v>87.100000000000009</v>
          </cell>
          <cell r="I1962">
            <v>3595.1299999999997</v>
          </cell>
          <cell r="J1962">
            <v>0</v>
          </cell>
          <cell r="K1962">
            <v>0</v>
          </cell>
          <cell r="M1962">
            <v>0</v>
          </cell>
          <cell r="P1962">
            <v>3595</v>
          </cell>
          <cell r="V1962" t="str">
            <v>Available</v>
          </cell>
        </row>
        <row r="1963">
          <cell r="E1963">
            <v>10090007</v>
          </cell>
          <cell r="H1963">
            <v>110.29999999999998</v>
          </cell>
          <cell r="I1963">
            <v>4585.1400000000003</v>
          </cell>
          <cell r="J1963">
            <v>0</v>
          </cell>
          <cell r="K1963">
            <v>0</v>
          </cell>
          <cell r="M1963">
            <v>0</v>
          </cell>
          <cell r="P1963">
            <v>4585</v>
          </cell>
          <cell r="V1963" t="str">
            <v>Available</v>
          </cell>
        </row>
        <row r="1964">
          <cell r="E1964">
            <v>10090007</v>
          </cell>
          <cell r="H1964">
            <v>81.400000000000006</v>
          </cell>
          <cell r="I1964">
            <v>3070.17</v>
          </cell>
          <cell r="J1964">
            <v>0</v>
          </cell>
          <cell r="K1964">
            <v>0</v>
          </cell>
          <cell r="M1964">
            <v>0</v>
          </cell>
          <cell r="P1964">
            <v>3070</v>
          </cell>
          <cell r="V1964" t="str">
            <v>Available</v>
          </cell>
        </row>
        <row r="1965">
          <cell r="E1965">
            <v>10090008</v>
          </cell>
          <cell r="H1965">
            <v>8.5</v>
          </cell>
          <cell r="I1965">
            <v>317.70000000000005</v>
          </cell>
          <cell r="J1965">
            <v>0</v>
          </cell>
          <cell r="K1965">
            <v>317.70000000000005</v>
          </cell>
          <cell r="M1965">
            <v>0</v>
          </cell>
          <cell r="P1965">
            <v>0</v>
          </cell>
          <cell r="V1965" t="str">
            <v>Not Available</v>
          </cell>
        </row>
        <row r="1966">
          <cell r="E1966">
            <v>10090008</v>
          </cell>
          <cell r="H1966">
            <v>12.499999999999998</v>
          </cell>
          <cell r="I1966">
            <v>489.82000000000005</v>
          </cell>
          <cell r="J1966">
            <v>0</v>
          </cell>
          <cell r="K1966">
            <v>0</v>
          </cell>
          <cell r="M1966">
            <v>0</v>
          </cell>
          <cell r="P1966">
            <v>490</v>
          </cell>
          <cell r="V1966" t="str">
            <v>Available</v>
          </cell>
        </row>
        <row r="1967">
          <cell r="E1967">
            <v>10090008</v>
          </cell>
          <cell r="H1967">
            <v>41.300000000000004</v>
          </cell>
          <cell r="I1967">
            <v>1490.3600000000001</v>
          </cell>
          <cell r="J1967">
            <v>0</v>
          </cell>
          <cell r="K1967">
            <v>0</v>
          </cell>
          <cell r="M1967">
            <v>0</v>
          </cell>
          <cell r="P1967">
            <v>1490</v>
          </cell>
          <cell r="V1967" t="str">
            <v>Available</v>
          </cell>
        </row>
        <row r="1968">
          <cell r="E1968">
            <v>10090008</v>
          </cell>
          <cell r="H1968">
            <v>14</v>
          </cell>
          <cell r="I1968">
            <v>480.62000000000006</v>
          </cell>
          <cell r="J1968">
            <v>0</v>
          </cell>
          <cell r="K1968">
            <v>0</v>
          </cell>
          <cell r="M1968">
            <v>0</v>
          </cell>
          <cell r="P1968">
            <v>481</v>
          </cell>
          <cell r="V1968" t="str">
            <v>Available</v>
          </cell>
        </row>
        <row r="1969">
          <cell r="E1969">
            <v>10090008</v>
          </cell>
          <cell r="H1969">
            <v>54</v>
          </cell>
          <cell r="I1969">
            <v>2006.12</v>
          </cell>
          <cell r="J1969">
            <v>0</v>
          </cell>
          <cell r="K1969">
            <v>0</v>
          </cell>
          <cell r="M1969">
            <v>0</v>
          </cell>
          <cell r="P1969">
            <v>2006</v>
          </cell>
          <cell r="V1969" t="str">
            <v>Available</v>
          </cell>
        </row>
        <row r="1970">
          <cell r="E1970">
            <v>10090008</v>
          </cell>
          <cell r="H1970">
            <v>60.4</v>
          </cell>
          <cell r="I1970">
            <v>2487.8399999999997</v>
          </cell>
          <cell r="J1970">
            <v>0</v>
          </cell>
          <cell r="K1970">
            <v>0</v>
          </cell>
          <cell r="M1970">
            <v>0</v>
          </cell>
          <cell r="P1970">
            <v>2488</v>
          </cell>
          <cell r="V1970" t="str">
            <v>Available</v>
          </cell>
        </row>
        <row r="1971">
          <cell r="E1971">
            <v>10090008</v>
          </cell>
          <cell r="H1971">
            <v>23.2</v>
          </cell>
          <cell r="I1971">
            <v>886.6400000000001</v>
          </cell>
          <cell r="J1971">
            <v>0</v>
          </cell>
          <cell r="K1971">
            <v>0</v>
          </cell>
          <cell r="M1971">
            <v>0</v>
          </cell>
          <cell r="P1971">
            <v>887</v>
          </cell>
          <cell r="V1971" t="str">
            <v>Available</v>
          </cell>
        </row>
        <row r="1972">
          <cell r="E1972">
            <v>10090008</v>
          </cell>
          <cell r="H1972">
            <v>10.6</v>
          </cell>
          <cell r="I1972">
            <v>390.9</v>
          </cell>
          <cell r="J1972">
            <v>0</v>
          </cell>
          <cell r="K1972">
            <v>0</v>
          </cell>
          <cell r="M1972">
            <v>0</v>
          </cell>
          <cell r="P1972">
            <v>391</v>
          </cell>
          <cell r="V1972" t="str">
            <v>Available</v>
          </cell>
        </row>
        <row r="1973">
          <cell r="E1973">
            <v>10090008</v>
          </cell>
          <cell r="H1973">
            <v>38.400000000000006</v>
          </cell>
          <cell r="I1973">
            <v>1520.87</v>
          </cell>
          <cell r="J1973">
            <v>0</v>
          </cell>
          <cell r="K1973">
            <v>0</v>
          </cell>
          <cell r="M1973">
            <v>0</v>
          </cell>
          <cell r="P1973">
            <v>1521</v>
          </cell>
          <cell r="V1973" t="str">
            <v>Available</v>
          </cell>
        </row>
        <row r="1974">
          <cell r="E1974">
            <v>10090008</v>
          </cell>
          <cell r="H1974">
            <v>37.4</v>
          </cell>
          <cell r="I1974">
            <v>1272.8500000000001</v>
          </cell>
          <cell r="J1974">
            <v>0</v>
          </cell>
          <cell r="K1974">
            <v>0</v>
          </cell>
          <cell r="M1974">
            <v>0</v>
          </cell>
          <cell r="P1974">
            <v>1273</v>
          </cell>
          <cell r="V1974" t="str">
            <v>Available</v>
          </cell>
        </row>
        <row r="1975">
          <cell r="E1975">
            <v>10090008</v>
          </cell>
          <cell r="H1975">
            <v>1.5</v>
          </cell>
          <cell r="I1975">
            <v>62.76</v>
          </cell>
          <cell r="J1975">
            <v>0</v>
          </cell>
          <cell r="K1975">
            <v>0</v>
          </cell>
          <cell r="M1975">
            <v>0</v>
          </cell>
          <cell r="P1975">
            <v>63</v>
          </cell>
          <cell r="V1975" t="str">
            <v>Available</v>
          </cell>
        </row>
        <row r="1976">
          <cell r="E1976">
            <v>10090008</v>
          </cell>
          <cell r="H1976">
            <v>9.8000000000000007</v>
          </cell>
          <cell r="I1976">
            <v>454.87</v>
          </cell>
          <cell r="J1976">
            <v>0</v>
          </cell>
          <cell r="K1976">
            <v>0</v>
          </cell>
          <cell r="M1976">
            <v>0</v>
          </cell>
          <cell r="P1976">
            <v>455</v>
          </cell>
          <cell r="V1976" t="str">
            <v>Available</v>
          </cell>
        </row>
        <row r="1977">
          <cell r="E1977">
            <v>10090008</v>
          </cell>
          <cell r="H1977">
            <v>4.4000000000000004</v>
          </cell>
          <cell r="I1977">
            <v>314.38000000000005</v>
          </cell>
          <cell r="J1977">
            <v>0</v>
          </cell>
          <cell r="K1977">
            <v>0</v>
          </cell>
          <cell r="M1977">
            <v>0</v>
          </cell>
          <cell r="P1977">
            <v>314</v>
          </cell>
          <cell r="V1977" t="str">
            <v>Available</v>
          </cell>
        </row>
        <row r="1978">
          <cell r="E1978">
            <v>10090008</v>
          </cell>
          <cell r="H1978">
            <v>7.4</v>
          </cell>
          <cell r="I1978">
            <v>271.45</v>
          </cell>
          <cell r="J1978">
            <v>0</v>
          </cell>
          <cell r="K1978">
            <v>0</v>
          </cell>
          <cell r="M1978">
            <v>0</v>
          </cell>
          <cell r="P1978">
            <v>271</v>
          </cell>
          <cell r="V1978" t="str">
            <v>Available</v>
          </cell>
        </row>
        <row r="1979">
          <cell r="E1979">
            <v>10090008</v>
          </cell>
          <cell r="H1979">
            <v>10.1</v>
          </cell>
          <cell r="I1979">
            <v>310.06000000000006</v>
          </cell>
          <cell r="J1979">
            <v>0</v>
          </cell>
          <cell r="K1979">
            <v>0</v>
          </cell>
          <cell r="M1979">
            <v>0</v>
          </cell>
          <cell r="P1979">
            <v>310</v>
          </cell>
          <cell r="V1979" t="str">
            <v>Available</v>
          </cell>
        </row>
        <row r="1980">
          <cell r="E1980">
            <v>10090008</v>
          </cell>
          <cell r="H1980">
            <v>81.100000000000009</v>
          </cell>
          <cell r="I1980">
            <v>3433.86</v>
          </cell>
          <cell r="J1980">
            <v>0</v>
          </cell>
          <cell r="K1980">
            <v>0</v>
          </cell>
          <cell r="M1980">
            <v>0</v>
          </cell>
          <cell r="P1980">
            <v>3434</v>
          </cell>
          <cell r="V1980" t="str">
            <v>Available</v>
          </cell>
        </row>
        <row r="1981">
          <cell r="E1981">
            <v>10090008</v>
          </cell>
          <cell r="H1981">
            <v>8.6</v>
          </cell>
          <cell r="I1981">
            <v>354.96000000000004</v>
          </cell>
          <cell r="J1981">
            <v>0</v>
          </cell>
          <cell r="K1981">
            <v>0</v>
          </cell>
          <cell r="M1981">
            <v>0</v>
          </cell>
          <cell r="P1981">
            <v>355</v>
          </cell>
          <cell r="V1981" t="str">
            <v>Available</v>
          </cell>
        </row>
        <row r="1982">
          <cell r="E1982">
            <v>10090008</v>
          </cell>
          <cell r="H1982">
            <v>20.7</v>
          </cell>
          <cell r="I1982">
            <v>730.81</v>
          </cell>
          <cell r="J1982">
            <v>0</v>
          </cell>
          <cell r="K1982">
            <v>0</v>
          </cell>
          <cell r="M1982">
            <v>0</v>
          </cell>
          <cell r="P1982">
            <v>731</v>
          </cell>
          <cell r="V1982" t="str">
            <v>Available</v>
          </cell>
        </row>
        <row r="1983">
          <cell r="E1983">
            <v>10090008</v>
          </cell>
          <cell r="H1983">
            <v>31.1</v>
          </cell>
          <cell r="I1983">
            <v>1204.02</v>
          </cell>
          <cell r="J1983">
            <v>0</v>
          </cell>
          <cell r="K1983">
            <v>0</v>
          </cell>
          <cell r="M1983">
            <v>0</v>
          </cell>
          <cell r="P1983">
            <v>1204</v>
          </cell>
          <cell r="V1983" t="str">
            <v>Available</v>
          </cell>
        </row>
        <row r="1984">
          <cell r="E1984">
            <v>10090008</v>
          </cell>
          <cell r="H1984">
            <v>40.1</v>
          </cell>
          <cell r="I1984">
            <v>1430.6200000000001</v>
          </cell>
          <cell r="J1984">
            <v>0</v>
          </cell>
          <cell r="K1984">
            <v>0</v>
          </cell>
          <cell r="M1984">
            <v>0</v>
          </cell>
          <cell r="P1984">
            <v>1431</v>
          </cell>
          <cell r="V1984" t="str">
            <v>Available</v>
          </cell>
        </row>
        <row r="1985">
          <cell r="E1985">
            <v>10090008</v>
          </cell>
          <cell r="H1985">
            <v>4.0999999999999996</v>
          </cell>
          <cell r="I1985">
            <v>139.72</v>
          </cell>
          <cell r="J1985">
            <v>0</v>
          </cell>
          <cell r="K1985">
            <v>0</v>
          </cell>
          <cell r="M1985">
            <v>0</v>
          </cell>
          <cell r="P1985">
            <v>140</v>
          </cell>
          <cell r="V1985" t="str">
            <v>Available</v>
          </cell>
        </row>
        <row r="1986">
          <cell r="E1986">
            <v>10090008</v>
          </cell>
          <cell r="H1986">
            <v>13.6</v>
          </cell>
          <cell r="I1986">
            <v>461.75</v>
          </cell>
          <cell r="J1986">
            <v>0</v>
          </cell>
          <cell r="K1986">
            <v>0</v>
          </cell>
          <cell r="M1986">
            <v>0</v>
          </cell>
          <cell r="P1986">
            <v>462</v>
          </cell>
          <cell r="V1986" t="str">
            <v>Available</v>
          </cell>
        </row>
        <row r="1987">
          <cell r="E1987">
            <v>10090008</v>
          </cell>
          <cell r="H1987">
            <v>7.6000000000000005</v>
          </cell>
          <cell r="I1987">
            <v>325.18</v>
          </cell>
          <cell r="J1987">
            <v>0</v>
          </cell>
          <cell r="K1987">
            <v>0</v>
          </cell>
          <cell r="M1987">
            <v>0</v>
          </cell>
          <cell r="P1987">
            <v>325</v>
          </cell>
          <cell r="V1987" t="str">
            <v>Available</v>
          </cell>
        </row>
        <row r="1988">
          <cell r="E1988">
            <v>10090008</v>
          </cell>
          <cell r="H1988">
            <v>18.399999999999999</v>
          </cell>
          <cell r="I1988">
            <v>713.81</v>
          </cell>
          <cell r="J1988">
            <v>0</v>
          </cell>
          <cell r="K1988">
            <v>0</v>
          </cell>
          <cell r="M1988">
            <v>0</v>
          </cell>
          <cell r="P1988">
            <v>714</v>
          </cell>
          <cell r="V1988" t="str">
            <v>Available</v>
          </cell>
        </row>
        <row r="1989">
          <cell r="E1989">
            <v>10090008</v>
          </cell>
          <cell r="H1989">
            <v>11.899999999999999</v>
          </cell>
          <cell r="I1989">
            <v>424.31</v>
          </cell>
          <cell r="J1989">
            <v>0</v>
          </cell>
          <cell r="K1989">
            <v>0</v>
          </cell>
          <cell r="M1989">
            <v>0</v>
          </cell>
          <cell r="P1989">
            <v>424</v>
          </cell>
          <cell r="V1989" t="str">
            <v>Available</v>
          </cell>
        </row>
        <row r="1990">
          <cell r="E1990">
            <v>10090009</v>
          </cell>
          <cell r="H1990">
            <v>4.3999999999999995</v>
          </cell>
          <cell r="I1990">
            <v>192.23999999999998</v>
          </cell>
          <cell r="J1990">
            <v>0</v>
          </cell>
          <cell r="K1990">
            <v>192.23999999999998</v>
          </cell>
          <cell r="M1990">
            <v>0</v>
          </cell>
          <cell r="P1990">
            <v>0</v>
          </cell>
          <cell r="V1990" t="str">
            <v>Not Available</v>
          </cell>
        </row>
        <row r="1991">
          <cell r="E1991">
            <v>10090009</v>
          </cell>
          <cell r="H1991">
            <v>85.300000000000011</v>
          </cell>
          <cell r="I1991">
            <v>4213.53</v>
          </cell>
          <cell r="J1991">
            <v>0</v>
          </cell>
          <cell r="K1991">
            <v>0</v>
          </cell>
          <cell r="M1991">
            <v>0</v>
          </cell>
          <cell r="P1991">
            <v>3384</v>
          </cell>
          <cell r="V1991" t="str">
            <v>Available</v>
          </cell>
        </row>
        <row r="1992">
          <cell r="E1992">
            <v>10090009</v>
          </cell>
          <cell r="H1992">
            <v>12.4</v>
          </cell>
          <cell r="I1992">
            <v>432.48</v>
          </cell>
          <cell r="J1992">
            <v>0</v>
          </cell>
          <cell r="K1992">
            <v>0</v>
          </cell>
          <cell r="M1992">
            <v>0</v>
          </cell>
          <cell r="P1992">
            <v>432</v>
          </cell>
          <cell r="V1992" t="str">
            <v>Available</v>
          </cell>
        </row>
        <row r="1993">
          <cell r="E1993">
            <v>10090009</v>
          </cell>
          <cell r="H1993">
            <v>8.8999999999999986</v>
          </cell>
          <cell r="I1993">
            <v>301.49</v>
          </cell>
          <cell r="J1993">
            <v>0</v>
          </cell>
          <cell r="K1993">
            <v>0</v>
          </cell>
          <cell r="M1993">
            <v>0</v>
          </cell>
          <cell r="P1993">
            <v>301</v>
          </cell>
          <cell r="V1993" t="str">
            <v>Available</v>
          </cell>
        </row>
        <row r="1994">
          <cell r="E1994">
            <v>10090009</v>
          </cell>
          <cell r="H1994">
            <v>81.2</v>
          </cell>
          <cell r="I1994">
            <v>3186.6700000000005</v>
          </cell>
          <cell r="J1994">
            <v>0</v>
          </cell>
          <cell r="K1994">
            <v>0</v>
          </cell>
          <cell r="M1994">
            <v>0</v>
          </cell>
          <cell r="P1994">
            <v>3187</v>
          </cell>
          <cell r="V1994" t="str">
            <v>Available</v>
          </cell>
        </row>
        <row r="1995">
          <cell r="E1995">
            <v>10090009</v>
          </cell>
          <cell r="H1995">
            <v>123.39999999999999</v>
          </cell>
          <cell r="I1995">
            <v>4738.01</v>
          </cell>
          <cell r="J1995">
            <v>0</v>
          </cell>
          <cell r="K1995">
            <v>0</v>
          </cell>
          <cell r="M1995">
            <v>0</v>
          </cell>
          <cell r="P1995">
            <v>4738</v>
          </cell>
          <cell r="V1995" t="str">
            <v>Available</v>
          </cell>
        </row>
        <row r="1996">
          <cell r="E1996">
            <v>10090009</v>
          </cell>
          <cell r="H1996">
            <v>17.3</v>
          </cell>
          <cell r="I1996">
            <v>620.59</v>
          </cell>
          <cell r="J1996">
            <v>0</v>
          </cell>
          <cell r="K1996">
            <v>0</v>
          </cell>
          <cell r="M1996">
            <v>0</v>
          </cell>
          <cell r="P1996">
            <v>621</v>
          </cell>
          <cell r="V1996" t="str">
            <v>Available</v>
          </cell>
        </row>
        <row r="1997">
          <cell r="E1997">
            <v>10090009</v>
          </cell>
          <cell r="H1997">
            <v>52.500000000000007</v>
          </cell>
          <cell r="I1997">
            <v>2563.89</v>
          </cell>
          <cell r="J1997">
            <v>0</v>
          </cell>
          <cell r="K1997">
            <v>0</v>
          </cell>
          <cell r="M1997">
            <v>0</v>
          </cell>
          <cell r="P1997">
            <v>2564</v>
          </cell>
          <cell r="V1997" t="str">
            <v>Available</v>
          </cell>
        </row>
        <row r="1998">
          <cell r="E1998">
            <v>10090009</v>
          </cell>
          <cell r="H1998">
            <v>30.999999999999996</v>
          </cell>
          <cell r="I1998">
            <v>1631.6100000000001</v>
          </cell>
          <cell r="J1998">
            <v>0</v>
          </cell>
          <cell r="K1998">
            <v>0</v>
          </cell>
          <cell r="M1998">
            <v>0</v>
          </cell>
          <cell r="P1998">
            <v>1632</v>
          </cell>
          <cell r="V1998" t="str">
            <v>Available</v>
          </cell>
        </row>
        <row r="1999">
          <cell r="E1999">
            <v>10090009</v>
          </cell>
          <cell r="H1999">
            <v>4</v>
          </cell>
          <cell r="I1999">
            <v>131.76999999999998</v>
          </cell>
          <cell r="J1999">
            <v>0</v>
          </cell>
          <cell r="K1999">
            <v>0</v>
          </cell>
          <cell r="M1999">
            <v>0</v>
          </cell>
          <cell r="P1999">
            <v>132</v>
          </cell>
          <cell r="V1999" t="str">
            <v>Available</v>
          </cell>
        </row>
        <row r="2000">
          <cell r="E2000">
            <v>10090021</v>
          </cell>
          <cell r="H2000">
            <v>2.8999999999999995</v>
          </cell>
          <cell r="I2000">
            <v>135.99999999999997</v>
          </cell>
          <cell r="J2000">
            <v>0</v>
          </cell>
          <cell r="K2000">
            <v>135.99999999999997</v>
          </cell>
          <cell r="M2000">
            <v>0</v>
          </cell>
          <cell r="P2000">
            <v>0</v>
          </cell>
          <cell r="V2000" t="str">
            <v>Not Available</v>
          </cell>
        </row>
        <row r="2001">
          <cell r="E2001">
            <v>10090021</v>
          </cell>
          <cell r="H2001">
            <v>440.3</v>
          </cell>
          <cell r="I2001">
            <v>19995.300000000003</v>
          </cell>
          <cell r="J2001">
            <v>0</v>
          </cell>
          <cell r="K2001">
            <v>0</v>
          </cell>
          <cell r="M2001">
            <v>0</v>
          </cell>
          <cell r="P2001">
            <v>8510</v>
          </cell>
          <cell r="V2001" t="str">
            <v>Available</v>
          </cell>
        </row>
        <row r="2002">
          <cell r="E2002">
            <v>10090021</v>
          </cell>
          <cell r="H2002">
            <v>355.2</v>
          </cell>
          <cell r="I2002">
            <v>18283.59</v>
          </cell>
          <cell r="J2002">
            <v>0</v>
          </cell>
          <cell r="K2002">
            <v>0</v>
          </cell>
          <cell r="M2002">
            <v>0</v>
          </cell>
          <cell r="P2002">
            <v>18284</v>
          </cell>
          <cell r="V2002" t="str">
            <v>Available</v>
          </cell>
        </row>
        <row r="2003">
          <cell r="E2003">
            <v>10090021</v>
          </cell>
          <cell r="H2003">
            <v>195.9</v>
          </cell>
          <cell r="I2003">
            <v>9853.48</v>
          </cell>
          <cell r="J2003">
            <v>0</v>
          </cell>
          <cell r="K2003">
            <v>0</v>
          </cell>
          <cell r="M2003">
            <v>0</v>
          </cell>
          <cell r="P2003">
            <v>9853</v>
          </cell>
          <cell r="V2003" t="str">
            <v>Available</v>
          </cell>
        </row>
        <row r="2004">
          <cell r="E2004">
            <v>10090021</v>
          </cell>
          <cell r="H2004">
            <v>24.400000000000002</v>
          </cell>
          <cell r="I2004">
            <v>1304.24</v>
          </cell>
          <cell r="J2004">
            <v>0</v>
          </cell>
          <cell r="K2004">
            <v>0</v>
          </cell>
          <cell r="M2004">
            <v>0</v>
          </cell>
          <cell r="P2004">
            <v>1304</v>
          </cell>
          <cell r="V2004" t="str">
            <v>Available</v>
          </cell>
        </row>
        <row r="2005">
          <cell r="E2005">
            <v>10090021</v>
          </cell>
          <cell r="H2005">
            <v>11.5</v>
          </cell>
          <cell r="I2005">
            <v>474.59000000000003</v>
          </cell>
          <cell r="J2005">
            <v>0</v>
          </cell>
          <cell r="K2005">
            <v>0</v>
          </cell>
          <cell r="M2005">
            <v>0</v>
          </cell>
          <cell r="P2005">
            <v>475</v>
          </cell>
          <cell r="V2005" t="str">
            <v>Available</v>
          </cell>
        </row>
        <row r="2006">
          <cell r="E2006">
            <v>10090021</v>
          </cell>
          <cell r="H2006">
            <v>17.5</v>
          </cell>
          <cell r="I2006">
            <v>898.38</v>
          </cell>
          <cell r="J2006">
            <v>0</v>
          </cell>
          <cell r="K2006">
            <v>0</v>
          </cell>
          <cell r="M2006">
            <v>0</v>
          </cell>
          <cell r="P2006">
            <v>898</v>
          </cell>
          <cell r="V2006" t="str">
            <v>Available</v>
          </cell>
        </row>
        <row r="2007">
          <cell r="E2007">
            <v>10090021</v>
          </cell>
          <cell r="H2007">
            <v>223.4</v>
          </cell>
          <cell r="I2007">
            <v>11094.220000000001</v>
          </cell>
          <cell r="J2007">
            <v>0</v>
          </cell>
          <cell r="K2007">
            <v>0</v>
          </cell>
          <cell r="M2007">
            <v>0</v>
          </cell>
          <cell r="P2007">
            <v>11094</v>
          </cell>
          <cell r="V2007" t="str">
            <v>Available</v>
          </cell>
        </row>
        <row r="2008">
          <cell r="E2008">
            <v>10090021</v>
          </cell>
          <cell r="H2008">
            <v>16.400000000000002</v>
          </cell>
          <cell r="I2008">
            <v>751.9</v>
          </cell>
          <cell r="J2008">
            <v>0</v>
          </cell>
          <cell r="K2008">
            <v>0</v>
          </cell>
          <cell r="M2008">
            <v>0</v>
          </cell>
          <cell r="P2008">
            <v>752</v>
          </cell>
          <cell r="V2008" t="str">
            <v>Available</v>
          </cell>
        </row>
        <row r="2009">
          <cell r="E2009">
            <v>10090029</v>
          </cell>
          <cell r="H2009">
            <v>5.81</v>
          </cell>
          <cell r="I2009">
            <v>228.57</v>
          </cell>
          <cell r="J2009">
            <v>0</v>
          </cell>
          <cell r="K2009">
            <v>228.57</v>
          </cell>
          <cell r="M2009">
            <v>0</v>
          </cell>
          <cell r="P2009">
            <v>0</v>
          </cell>
          <cell r="V2009" t="str">
            <v>Not Available</v>
          </cell>
        </row>
        <row r="2010">
          <cell r="E2010">
            <v>10090029</v>
          </cell>
          <cell r="H2010">
            <v>55.67</v>
          </cell>
          <cell r="I2010">
            <v>2434.0300000000002</v>
          </cell>
          <cell r="J2010">
            <v>0</v>
          </cell>
          <cell r="K2010">
            <v>0</v>
          </cell>
          <cell r="M2010">
            <v>0</v>
          </cell>
          <cell r="P2010">
            <v>2261</v>
          </cell>
          <cell r="V2010" t="str">
            <v>Available</v>
          </cell>
        </row>
        <row r="2011">
          <cell r="E2011">
            <v>10090029</v>
          </cell>
          <cell r="H2011">
            <v>112.48</v>
          </cell>
          <cell r="I2011">
            <v>5138.4900000000007</v>
          </cell>
          <cell r="J2011">
            <v>0</v>
          </cell>
          <cell r="K2011">
            <v>0</v>
          </cell>
          <cell r="M2011">
            <v>0</v>
          </cell>
          <cell r="P2011">
            <v>5138</v>
          </cell>
          <cell r="V2011" t="str">
            <v>Available</v>
          </cell>
        </row>
        <row r="2012">
          <cell r="E2012">
            <v>10090029</v>
          </cell>
          <cell r="H2012">
            <v>52.71</v>
          </cell>
          <cell r="I2012">
            <v>2116.62</v>
          </cell>
          <cell r="J2012">
            <v>0</v>
          </cell>
          <cell r="K2012">
            <v>0</v>
          </cell>
          <cell r="M2012">
            <v>0</v>
          </cell>
          <cell r="P2012">
            <v>2117</v>
          </cell>
          <cell r="V2012" t="str">
            <v>Available</v>
          </cell>
        </row>
        <row r="2013">
          <cell r="E2013">
            <v>10090029</v>
          </cell>
          <cell r="H2013">
            <v>19.400000000000002</v>
          </cell>
          <cell r="I2013">
            <v>753.18999999999994</v>
          </cell>
          <cell r="J2013">
            <v>0</v>
          </cell>
          <cell r="K2013">
            <v>0</v>
          </cell>
          <cell r="M2013">
            <v>0</v>
          </cell>
          <cell r="P2013">
            <v>753</v>
          </cell>
          <cell r="V2013" t="str">
            <v>Available</v>
          </cell>
        </row>
        <row r="2014">
          <cell r="E2014">
            <v>10090029</v>
          </cell>
          <cell r="H2014">
            <v>17.05</v>
          </cell>
          <cell r="I2014">
            <v>845.88</v>
          </cell>
          <cell r="J2014">
            <v>0</v>
          </cell>
          <cell r="K2014">
            <v>0</v>
          </cell>
          <cell r="M2014">
            <v>0</v>
          </cell>
          <cell r="P2014">
            <v>846</v>
          </cell>
          <cell r="V2014" t="str">
            <v>Available</v>
          </cell>
        </row>
        <row r="2015">
          <cell r="E2015">
            <v>10090029</v>
          </cell>
          <cell r="H2015">
            <v>47.27</v>
          </cell>
          <cell r="I2015">
            <v>1600.6799999999998</v>
          </cell>
          <cell r="J2015">
            <v>0</v>
          </cell>
          <cell r="K2015">
            <v>0</v>
          </cell>
          <cell r="M2015">
            <v>0</v>
          </cell>
          <cell r="P2015">
            <v>1601</v>
          </cell>
          <cell r="V2015" t="str">
            <v>Available</v>
          </cell>
        </row>
        <row r="2016">
          <cell r="E2016">
            <v>10090029</v>
          </cell>
          <cell r="H2016">
            <v>37</v>
          </cell>
          <cell r="I2016">
            <v>1433.96</v>
          </cell>
          <cell r="J2016">
            <v>0</v>
          </cell>
          <cell r="K2016">
            <v>0</v>
          </cell>
          <cell r="M2016">
            <v>0</v>
          </cell>
          <cell r="P2016">
            <v>1434</v>
          </cell>
          <cell r="V2016" t="str">
            <v>Available</v>
          </cell>
        </row>
        <row r="2017">
          <cell r="E2017">
            <v>10090029</v>
          </cell>
          <cell r="H2017">
            <v>14.74</v>
          </cell>
          <cell r="I2017">
            <v>508.24999999999994</v>
          </cell>
          <cell r="J2017">
            <v>0</v>
          </cell>
          <cell r="K2017">
            <v>0</v>
          </cell>
          <cell r="M2017">
            <v>0</v>
          </cell>
          <cell r="P2017">
            <v>508</v>
          </cell>
          <cell r="V2017" t="str">
            <v>Available</v>
          </cell>
        </row>
        <row r="2018">
          <cell r="E2018">
            <v>10090029</v>
          </cell>
          <cell r="H2018">
            <v>37.470000000000006</v>
          </cell>
          <cell r="I2018">
            <v>1710.6200000000001</v>
          </cell>
          <cell r="J2018">
            <v>0</v>
          </cell>
          <cell r="K2018">
            <v>0</v>
          </cell>
          <cell r="M2018">
            <v>0</v>
          </cell>
          <cell r="P2018">
            <v>1711</v>
          </cell>
          <cell r="V2018" t="str">
            <v>Available</v>
          </cell>
        </row>
        <row r="2019">
          <cell r="E2019">
            <v>10090029</v>
          </cell>
          <cell r="H2019">
            <v>42.7</v>
          </cell>
          <cell r="I2019">
            <v>1736.0399999999997</v>
          </cell>
          <cell r="J2019">
            <v>0</v>
          </cell>
          <cell r="K2019">
            <v>0</v>
          </cell>
          <cell r="M2019">
            <v>0</v>
          </cell>
          <cell r="P2019">
            <v>1736</v>
          </cell>
          <cell r="V2019" t="str">
            <v>Available</v>
          </cell>
        </row>
        <row r="2020">
          <cell r="E2020">
            <v>10090029</v>
          </cell>
          <cell r="H2020">
            <v>23.41</v>
          </cell>
          <cell r="I2020">
            <v>907.66999999999985</v>
          </cell>
          <cell r="J2020">
            <v>0</v>
          </cell>
          <cell r="K2020">
            <v>0</v>
          </cell>
          <cell r="M2020">
            <v>0</v>
          </cell>
          <cell r="P2020">
            <v>908</v>
          </cell>
          <cell r="V2020" t="str">
            <v>Available</v>
          </cell>
        </row>
        <row r="2021">
          <cell r="E2021">
            <v>10090029</v>
          </cell>
          <cell r="H2021">
            <v>13.96</v>
          </cell>
          <cell r="I2021">
            <v>551.45000000000005</v>
          </cell>
          <cell r="J2021">
            <v>0</v>
          </cell>
          <cell r="K2021">
            <v>0</v>
          </cell>
          <cell r="M2021">
            <v>0</v>
          </cell>
          <cell r="P2021">
            <v>551</v>
          </cell>
          <cell r="V2021" t="str">
            <v>Available</v>
          </cell>
        </row>
        <row r="2022">
          <cell r="E2022">
            <v>10090029</v>
          </cell>
          <cell r="H2022">
            <v>17.2</v>
          </cell>
          <cell r="I2022">
            <v>576.47</v>
          </cell>
          <cell r="J2022">
            <v>0</v>
          </cell>
          <cell r="K2022">
            <v>0</v>
          </cell>
          <cell r="M2022">
            <v>0</v>
          </cell>
          <cell r="P2022">
            <v>576</v>
          </cell>
          <cell r="V2022" t="str">
            <v>Available</v>
          </cell>
        </row>
        <row r="2023">
          <cell r="E2023">
            <v>10090029</v>
          </cell>
          <cell r="H2023">
            <v>19.52</v>
          </cell>
          <cell r="I2023">
            <v>813.05000000000007</v>
          </cell>
          <cell r="J2023">
            <v>0</v>
          </cell>
          <cell r="K2023">
            <v>0</v>
          </cell>
          <cell r="M2023">
            <v>0</v>
          </cell>
          <cell r="P2023">
            <v>813</v>
          </cell>
          <cell r="V2023" t="str">
            <v>Available</v>
          </cell>
        </row>
        <row r="2024">
          <cell r="E2024">
            <v>10090029</v>
          </cell>
          <cell r="H2024">
            <v>20.740000000000002</v>
          </cell>
          <cell r="I2024">
            <v>804.17999999999984</v>
          </cell>
          <cell r="J2024">
            <v>0</v>
          </cell>
          <cell r="K2024">
            <v>0</v>
          </cell>
          <cell r="M2024">
            <v>0</v>
          </cell>
          <cell r="P2024">
            <v>804</v>
          </cell>
          <cell r="V2024" t="str">
            <v>Available</v>
          </cell>
        </row>
        <row r="2025">
          <cell r="E2025">
            <v>10090033</v>
          </cell>
          <cell r="H2025">
            <v>4.7</v>
          </cell>
          <cell r="I2025">
            <v>217.41</v>
          </cell>
          <cell r="J2025">
            <v>0</v>
          </cell>
          <cell r="K2025">
            <v>217.41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10090033</v>
          </cell>
          <cell r="H2026">
            <v>725.21999999999991</v>
          </cell>
          <cell r="I2026">
            <v>32600.079999999998</v>
          </cell>
          <cell r="J2026">
            <v>0</v>
          </cell>
          <cell r="K2026">
            <v>0</v>
          </cell>
          <cell r="M2026">
            <v>0</v>
          </cell>
          <cell r="P2026">
            <v>31044</v>
          </cell>
          <cell r="V2026" t="str">
            <v>Available</v>
          </cell>
        </row>
        <row r="2027">
          <cell r="E2027">
            <v>10090033</v>
          </cell>
          <cell r="H2027">
            <v>22.909999999999997</v>
          </cell>
          <cell r="I2027">
            <v>1657.2700000000002</v>
          </cell>
          <cell r="J2027">
            <v>0</v>
          </cell>
          <cell r="K2027">
            <v>0</v>
          </cell>
          <cell r="M2027">
            <v>0</v>
          </cell>
          <cell r="P2027">
            <v>1657</v>
          </cell>
          <cell r="V2027" t="str">
            <v>Available</v>
          </cell>
        </row>
        <row r="2028">
          <cell r="E2028">
            <v>10090033</v>
          </cell>
          <cell r="H2028">
            <v>20.18</v>
          </cell>
          <cell r="I2028">
            <v>1180.1199999999999</v>
          </cell>
          <cell r="J2028">
            <v>0</v>
          </cell>
          <cell r="K2028">
            <v>0</v>
          </cell>
          <cell r="M2028">
            <v>0</v>
          </cell>
          <cell r="P2028">
            <v>1180</v>
          </cell>
          <cell r="V2028" t="str">
            <v>Available</v>
          </cell>
        </row>
        <row r="2029">
          <cell r="E2029">
            <v>10090033</v>
          </cell>
          <cell r="H2029">
            <v>15.139999999999999</v>
          </cell>
          <cell r="I2029">
            <v>709.13</v>
          </cell>
          <cell r="J2029">
            <v>0</v>
          </cell>
          <cell r="K2029">
            <v>0</v>
          </cell>
          <cell r="M2029">
            <v>0</v>
          </cell>
          <cell r="P2029">
            <v>709</v>
          </cell>
          <cell r="V2029" t="str">
            <v>Available</v>
          </cell>
        </row>
        <row r="2030">
          <cell r="E2030">
            <v>10090033</v>
          </cell>
          <cell r="H2030">
            <v>62.140000000000015</v>
          </cell>
          <cell r="I2030">
            <v>3711.19</v>
          </cell>
          <cell r="J2030">
            <v>0</v>
          </cell>
          <cell r="K2030">
            <v>0</v>
          </cell>
          <cell r="M2030">
            <v>0</v>
          </cell>
          <cell r="P2030">
            <v>3711</v>
          </cell>
          <cell r="V2030" t="str">
            <v>Available</v>
          </cell>
        </row>
        <row r="2031">
          <cell r="E2031">
            <v>10090033</v>
          </cell>
          <cell r="H2031">
            <v>14.709999999999997</v>
          </cell>
          <cell r="I2031">
            <v>974.43999999999994</v>
          </cell>
          <cell r="J2031">
            <v>0</v>
          </cell>
          <cell r="K2031">
            <v>0</v>
          </cell>
          <cell r="M2031">
            <v>0</v>
          </cell>
          <cell r="P2031">
            <v>974</v>
          </cell>
          <cell r="V2031" t="str">
            <v>Available</v>
          </cell>
        </row>
        <row r="2032">
          <cell r="E2032">
            <v>10090033</v>
          </cell>
          <cell r="H2032">
            <v>67.05</v>
          </cell>
          <cell r="I2032">
            <v>3681.6</v>
          </cell>
          <cell r="J2032">
            <v>0</v>
          </cell>
          <cell r="K2032">
            <v>0</v>
          </cell>
          <cell r="M2032">
            <v>0</v>
          </cell>
          <cell r="P2032">
            <v>3682</v>
          </cell>
          <cell r="V2032" t="str">
            <v>Available</v>
          </cell>
        </row>
        <row r="2033">
          <cell r="E2033">
            <v>10090033</v>
          </cell>
          <cell r="H2033">
            <v>137.66999999999999</v>
          </cell>
          <cell r="I2033">
            <v>6437.8799999999992</v>
          </cell>
          <cell r="J2033">
            <v>0</v>
          </cell>
          <cell r="K2033">
            <v>0</v>
          </cell>
          <cell r="M2033">
            <v>0</v>
          </cell>
          <cell r="P2033">
            <v>6438</v>
          </cell>
          <cell r="V2033" t="str">
            <v>Available</v>
          </cell>
        </row>
        <row r="2034">
          <cell r="E2034">
            <v>10090034</v>
          </cell>
          <cell r="H2034">
            <v>1118</v>
          </cell>
          <cell r="I2034">
            <v>46307.56</v>
          </cell>
          <cell r="J2034">
            <v>0</v>
          </cell>
          <cell r="K2034">
            <v>0</v>
          </cell>
          <cell r="M2034">
            <v>0</v>
          </cell>
          <cell r="P2034">
            <v>46308</v>
          </cell>
          <cell r="V2034" t="str">
            <v>Available</v>
          </cell>
        </row>
        <row r="2035">
          <cell r="E2035">
            <v>10090036</v>
          </cell>
          <cell r="H2035">
            <v>16.78</v>
          </cell>
          <cell r="I2035">
            <v>748.33999999999992</v>
          </cell>
          <cell r="J2035">
            <v>0</v>
          </cell>
          <cell r="K2035">
            <v>748.33999999999992</v>
          </cell>
          <cell r="M2035">
            <v>0</v>
          </cell>
          <cell r="P2035">
            <v>0</v>
          </cell>
          <cell r="V2035" t="str">
            <v>Not Available</v>
          </cell>
        </row>
        <row r="2036">
          <cell r="E2036">
            <v>10090036</v>
          </cell>
          <cell r="H2036">
            <v>258.84000000000003</v>
          </cell>
          <cell r="I2036">
            <v>13796.689999999999</v>
          </cell>
          <cell r="J2036">
            <v>0</v>
          </cell>
          <cell r="K2036">
            <v>0</v>
          </cell>
          <cell r="M2036">
            <v>0</v>
          </cell>
          <cell r="P2036">
            <v>12510</v>
          </cell>
          <cell r="V2036" t="str">
            <v>Available</v>
          </cell>
        </row>
        <row r="2037">
          <cell r="E2037">
            <v>10090036</v>
          </cell>
          <cell r="H2037">
            <v>57.980000000000004</v>
          </cell>
          <cell r="I2037">
            <v>2199.2600000000002</v>
          </cell>
          <cell r="J2037">
            <v>0</v>
          </cell>
          <cell r="K2037">
            <v>0</v>
          </cell>
          <cell r="M2037">
            <v>0</v>
          </cell>
          <cell r="P2037">
            <v>2199</v>
          </cell>
          <cell r="V2037" t="str">
            <v>Available</v>
          </cell>
        </row>
        <row r="2038">
          <cell r="E2038">
            <v>10090036</v>
          </cell>
          <cell r="H2038">
            <v>19.020000000000003</v>
          </cell>
          <cell r="I2038">
            <v>696.86</v>
          </cell>
          <cell r="J2038">
            <v>0</v>
          </cell>
          <cell r="K2038">
            <v>0</v>
          </cell>
          <cell r="M2038">
            <v>0</v>
          </cell>
          <cell r="P2038">
            <v>697</v>
          </cell>
          <cell r="V2038" t="str">
            <v>Available</v>
          </cell>
        </row>
        <row r="2039">
          <cell r="E2039">
            <v>10090036</v>
          </cell>
          <cell r="H2039">
            <v>3.46</v>
          </cell>
          <cell r="I2039">
            <v>149.07999999999998</v>
          </cell>
          <cell r="J2039">
            <v>0</v>
          </cell>
          <cell r="K2039">
            <v>0</v>
          </cell>
          <cell r="M2039">
            <v>0</v>
          </cell>
          <cell r="P2039">
            <v>149</v>
          </cell>
          <cell r="V2039" t="str">
            <v>Available</v>
          </cell>
        </row>
        <row r="2040">
          <cell r="E2040">
            <v>10090036</v>
          </cell>
          <cell r="H2040">
            <v>58.4</v>
          </cell>
          <cell r="I2040">
            <v>2943.88</v>
          </cell>
          <cell r="J2040">
            <v>0</v>
          </cell>
          <cell r="K2040">
            <v>0</v>
          </cell>
          <cell r="M2040">
            <v>0</v>
          </cell>
          <cell r="P2040">
            <v>2944</v>
          </cell>
          <cell r="V2040" t="str">
            <v>Available</v>
          </cell>
        </row>
        <row r="2041">
          <cell r="E2041">
            <v>10090036</v>
          </cell>
          <cell r="H2041">
            <v>3.2</v>
          </cell>
          <cell r="I2041">
            <v>110.82</v>
          </cell>
          <cell r="J2041">
            <v>0</v>
          </cell>
          <cell r="K2041">
            <v>0</v>
          </cell>
          <cell r="M2041">
            <v>0</v>
          </cell>
          <cell r="P2041">
            <v>111</v>
          </cell>
          <cell r="V2041" t="str">
            <v>Available</v>
          </cell>
        </row>
        <row r="2042">
          <cell r="E2042">
            <v>10090036</v>
          </cell>
          <cell r="H2042">
            <v>16.440000000000001</v>
          </cell>
          <cell r="I2042">
            <v>676.56999999999994</v>
          </cell>
          <cell r="J2042">
            <v>0</v>
          </cell>
          <cell r="K2042">
            <v>0</v>
          </cell>
          <cell r="M2042">
            <v>0</v>
          </cell>
          <cell r="P2042">
            <v>677</v>
          </cell>
          <cell r="V2042" t="str">
            <v>Available</v>
          </cell>
        </row>
        <row r="2043">
          <cell r="E2043">
            <v>10090036</v>
          </cell>
          <cell r="H2043">
            <v>21.22</v>
          </cell>
          <cell r="I2043">
            <v>1252.3599999999999</v>
          </cell>
          <cell r="J2043">
            <v>0</v>
          </cell>
          <cell r="K2043">
            <v>0</v>
          </cell>
          <cell r="M2043">
            <v>0</v>
          </cell>
          <cell r="P2043">
            <v>1252</v>
          </cell>
          <cell r="V2043" t="str">
            <v>Available</v>
          </cell>
        </row>
        <row r="2044">
          <cell r="E2044">
            <v>10090036</v>
          </cell>
          <cell r="H2044">
            <v>1.36</v>
          </cell>
          <cell r="I2044">
            <v>52.77</v>
          </cell>
          <cell r="J2044">
            <v>0</v>
          </cell>
          <cell r="K2044">
            <v>0</v>
          </cell>
          <cell r="M2044">
            <v>0</v>
          </cell>
          <cell r="P2044">
            <v>53</v>
          </cell>
          <cell r="V2044" t="str">
            <v>Available</v>
          </cell>
        </row>
        <row r="2045">
          <cell r="E2045">
            <v>10090036</v>
          </cell>
          <cell r="H2045">
            <v>19.18</v>
          </cell>
          <cell r="I2045">
            <v>766.51999999999987</v>
          </cell>
          <cell r="J2045">
            <v>0</v>
          </cell>
          <cell r="K2045">
            <v>0</v>
          </cell>
          <cell r="M2045">
            <v>0</v>
          </cell>
          <cell r="P2045">
            <v>767</v>
          </cell>
          <cell r="V2045" t="str">
            <v>Available</v>
          </cell>
        </row>
        <row r="2046">
          <cell r="E2046">
            <v>10090036</v>
          </cell>
          <cell r="H2046">
            <v>17.360000000000003</v>
          </cell>
          <cell r="I2046">
            <v>1070.5</v>
          </cell>
          <cell r="J2046">
            <v>0</v>
          </cell>
          <cell r="K2046">
            <v>0</v>
          </cell>
          <cell r="M2046">
            <v>0</v>
          </cell>
          <cell r="P2046">
            <v>1071</v>
          </cell>
          <cell r="V2046" t="str">
            <v>Available</v>
          </cell>
        </row>
        <row r="2047">
          <cell r="E2047">
            <v>10090036</v>
          </cell>
          <cell r="H2047">
            <v>6.44</v>
          </cell>
          <cell r="I2047">
            <v>351.32000000000005</v>
          </cell>
          <cell r="J2047">
            <v>0</v>
          </cell>
          <cell r="K2047">
            <v>0</v>
          </cell>
          <cell r="M2047">
            <v>0</v>
          </cell>
          <cell r="P2047">
            <v>351</v>
          </cell>
          <cell r="V2047" t="str">
            <v>Available</v>
          </cell>
        </row>
        <row r="2048">
          <cell r="E2048">
            <v>10090036</v>
          </cell>
          <cell r="H2048">
            <v>35.599999999999994</v>
          </cell>
          <cell r="I2048">
            <v>1417.54</v>
          </cell>
          <cell r="J2048">
            <v>0</v>
          </cell>
          <cell r="K2048">
            <v>0</v>
          </cell>
          <cell r="M2048">
            <v>0</v>
          </cell>
          <cell r="P2048">
            <v>1418</v>
          </cell>
          <cell r="V2048" t="str">
            <v>Available</v>
          </cell>
        </row>
        <row r="2049">
          <cell r="E2049">
            <v>10090036</v>
          </cell>
          <cell r="H2049">
            <v>57.739999999999995</v>
          </cell>
          <cell r="I2049">
            <v>2473.1799999999998</v>
          </cell>
          <cell r="J2049">
            <v>0</v>
          </cell>
          <cell r="K2049">
            <v>0</v>
          </cell>
          <cell r="M2049">
            <v>0</v>
          </cell>
          <cell r="P2049">
            <v>2473</v>
          </cell>
          <cell r="V2049" t="str">
            <v>Available</v>
          </cell>
        </row>
        <row r="2050">
          <cell r="E2050">
            <v>10090036</v>
          </cell>
          <cell r="H2050">
            <v>31.619999999999997</v>
          </cell>
          <cell r="I2050">
            <v>1554.7799999999997</v>
          </cell>
          <cell r="J2050">
            <v>0</v>
          </cell>
          <cell r="K2050">
            <v>0</v>
          </cell>
          <cell r="M2050">
            <v>0</v>
          </cell>
          <cell r="P2050">
            <v>1555</v>
          </cell>
          <cell r="V2050" t="str">
            <v>Available</v>
          </cell>
        </row>
        <row r="2051">
          <cell r="E2051">
            <v>10090036</v>
          </cell>
          <cell r="H2051">
            <v>10.879999999999999</v>
          </cell>
          <cell r="I2051">
            <v>459.59999999999997</v>
          </cell>
          <cell r="J2051">
            <v>0</v>
          </cell>
          <cell r="K2051">
            <v>0</v>
          </cell>
          <cell r="M2051">
            <v>0</v>
          </cell>
          <cell r="P2051">
            <v>460</v>
          </cell>
          <cell r="V2051" t="str">
            <v>Available</v>
          </cell>
        </row>
        <row r="2052">
          <cell r="E2052">
            <v>10090036</v>
          </cell>
          <cell r="H2052">
            <v>25.8</v>
          </cell>
          <cell r="I2052">
            <v>1012.2200000000001</v>
          </cell>
          <cell r="J2052">
            <v>0</v>
          </cell>
          <cell r="K2052">
            <v>0</v>
          </cell>
          <cell r="M2052">
            <v>0</v>
          </cell>
          <cell r="P2052">
            <v>1012</v>
          </cell>
          <cell r="V2052" t="str">
            <v>Available</v>
          </cell>
        </row>
        <row r="2053">
          <cell r="E2053">
            <v>10090036</v>
          </cell>
          <cell r="H2053">
            <v>10.24</v>
          </cell>
          <cell r="I2053">
            <v>819.84</v>
          </cell>
          <cell r="J2053">
            <v>0</v>
          </cell>
          <cell r="K2053">
            <v>0</v>
          </cell>
          <cell r="M2053">
            <v>0</v>
          </cell>
          <cell r="P2053">
            <v>820</v>
          </cell>
          <cell r="V2053" t="str">
            <v>Available</v>
          </cell>
        </row>
        <row r="2054">
          <cell r="E2054">
            <v>10090036</v>
          </cell>
          <cell r="H2054">
            <v>4.9800000000000004</v>
          </cell>
          <cell r="I2054">
            <v>202.65</v>
          </cell>
          <cell r="J2054">
            <v>0</v>
          </cell>
          <cell r="K2054">
            <v>0</v>
          </cell>
          <cell r="M2054">
            <v>0</v>
          </cell>
          <cell r="P2054">
            <v>203</v>
          </cell>
          <cell r="V2054" t="str">
            <v>Available</v>
          </cell>
        </row>
        <row r="2055">
          <cell r="E2055">
            <v>10090036</v>
          </cell>
          <cell r="H2055">
            <v>21.7</v>
          </cell>
          <cell r="I2055">
            <v>858.55</v>
          </cell>
          <cell r="J2055">
            <v>0</v>
          </cell>
          <cell r="K2055">
            <v>0</v>
          </cell>
          <cell r="M2055">
            <v>0</v>
          </cell>
          <cell r="P2055">
            <v>859</v>
          </cell>
          <cell r="V2055" t="str">
            <v>Available</v>
          </cell>
        </row>
        <row r="2056">
          <cell r="E2056">
            <v>10090036</v>
          </cell>
          <cell r="H2056">
            <v>109.62</v>
          </cell>
          <cell r="I2056">
            <v>4143.6400000000003</v>
          </cell>
          <cell r="J2056">
            <v>0</v>
          </cell>
          <cell r="K2056">
            <v>0</v>
          </cell>
          <cell r="M2056">
            <v>0</v>
          </cell>
          <cell r="P2056">
            <v>4144</v>
          </cell>
          <cell r="V2056" t="str">
            <v>Available</v>
          </cell>
        </row>
        <row r="2057">
          <cell r="E2057">
            <v>10090036</v>
          </cell>
          <cell r="H2057">
            <v>122.21999999999998</v>
          </cell>
          <cell r="I2057">
            <v>5555.2300000000014</v>
          </cell>
          <cell r="J2057">
            <v>0</v>
          </cell>
          <cell r="K2057">
            <v>0</v>
          </cell>
          <cell r="M2057">
            <v>0</v>
          </cell>
          <cell r="P2057">
            <v>5555</v>
          </cell>
          <cell r="V2057" t="str">
            <v>Available</v>
          </cell>
        </row>
        <row r="2058">
          <cell r="E2058">
            <v>10090036</v>
          </cell>
          <cell r="H2058">
            <v>23.98</v>
          </cell>
          <cell r="I2058">
            <v>1339.92</v>
          </cell>
          <cell r="J2058">
            <v>0</v>
          </cell>
          <cell r="K2058">
            <v>0</v>
          </cell>
          <cell r="M2058">
            <v>0</v>
          </cell>
          <cell r="P2058">
            <v>1340</v>
          </cell>
          <cell r="V2058" t="str">
            <v>Available</v>
          </cell>
        </row>
        <row r="2059">
          <cell r="E2059">
            <v>10090036</v>
          </cell>
          <cell r="H2059">
            <v>44.2</v>
          </cell>
          <cell r="I2059">
            <v>1776.58</v>
          </cell>
          <cell r="J2059">
            <v>0</v>
          </cell>
          <cell r="K2059">
            <v>0</v>
          </cell>
          <cell r="M2059">
            <v>0</v>
          </cell>
          <cell r="P2059">
            <v>1777</v>
          </cell>
          <cell r="V2059" t="str">
            <v>Available</v>
          </cell>
        </row>
        <row r="2060">
          <cell r="E2060">
            <v>10090036</v>
          </cell>
          <cell r="H2060">
            <v>51.319999999999993</v>
          </cell>
          <cell r="I2060">
            <v>2848.54</v>
          </cell>
          <cell r="J2060">
            <v>0</v>
          </cell>
          <cell r="K2060">
            <v>0</v>
          </cell>
          <cell r="M2060">
            <v>0</v>
          </cell>
          <cell r="P2060">
            <v>2849</v>
          </cell>
          <cell r="V2060" t="str">
            <v>Available</v>
          </cell>
        </row>
        <row r="2061">
          <cell r="E2061">
            <v>10090036</v>
          </cell>
          <cell r="H2061">
            <v>60.34</v>
          </cell>
          <cell r="I2061">
            <v>2782.5900000000006</v>
          </cell>
          <cell r="J2061">
            <v>0</v>
          </cell>
          <cell r="K2061">
            <v>0</v>
          </cell>
          <cell r="M2061">
            <v>0</v>
          </cell>
          <cell r="P2061">
            <v>2783</v>
          </cell>
          <cell r="V2061" t="str">
            <v>Available</v>
          </cell>
        </row>
        <row r="2062">
          <cell r="E2062">
            <v>10090036</v>
          </cell>
          <cell r="H2062">
            <v>22.739999999999995</v>
          </cell>
          <cell r="I2062">
            <v>985.26</v>
          </cell>
          <cell r="J2062">
            <v>0</v>
          </cell>
          <cell r="K2062">
            <v>0</v>
          </cell>
          <cell r="M2062">
            <v>0</v>
          </cell>
          <cell r="P2062">
            <v>985</v>
          </cell>
          <cell r="V2062" t="str">
            <v>Available</v>
          </cell>
        </row>
        <row r="2063">
          <cell r="E2063">
            <v>10090036</v>
          </cell>
          <cell r="H2063">
            <v>287.33999999999997</v>
          </cell>
          <cell r="I2063">
            <v>11271.5</v>
          </cell>
          <cell r="J2063">
            <v>0</v>
          </cell>
          <cell r="K2063">
            <v>0</v>
          </cell>
          <cell r="M2063">
            <v>0</v>
          </cell>
          <cell r="P2063">
            <v>11272</v>
          </cell>
          <cell r="V2063" t="str">
            <v>Available</v>
          </cell>
        </row>
        <row r="2064">
          <cell r="E2064">
            <v>10090036</v>
          </cell>
          <cell r="H2064">
            <v>31.46</v>
          </cell>
          <cell r="I2064">
            <v>1225.8600000000001</v>
          </cell>
          <cell r="J2064">
            <v>0</v>
          </cell>
          <cell r="K2064">
            <v>0</v>
          </cell>
          <cell r="M2064">
            <v>0</v>
          </cell>
          <cell r="P2064">
            <v>1226</v>
          </cell>
          <cell r="V2064" t="str">
            <v>Available</v>
          </cell>
        </row>
        <row r="2065">
          <cell r="E2065">
            <v>10090036</v>
          </cell>
          <cell r="H2065">
            <v>9</v>
          </cell>
          <cell r="I2065">
            <v>353.02000000000004</v>
          </cell>
          <cell r="J2065">
            <v>0</v>
          </cell>
          <cell r="K2065">
            <v>0</v>
          </cell>
          <cell r="M2065">
            <v>0</v>
          </cell>
          <cell r="P2065">
            <v>353</v>
          </cell>
          <cell r="V2065" t="str">
            <v>Available</v>
          </cell>
        </row>
        <row r="2066">
          <cell r="E2066">
            <v>10090036</v>
          </cell>
          <cell r="H2066">
            <v>11.4</v>
          </cell>
          <cell r="I2066">
            <v>461.08</v>
          </cell>
          <cell r="J2066">
            <v>0</v>
          </cell>
          <cell r="K2066">
            <v>0</v>
          </cell>
          <cell r="M2066">
            <v>0</v>
          </cell>
          <cell r="P2066">
            <v>461</v>
          </cell>
          <cell r="V2066" t="str">
            <v>Available</v>
          </cell>
        </row>
        <row r="2067">
          <cell r="E2067">
            <v>10090036</v>
          </cell>
          <cell r="H2067">
            <v>24.46</v>
          </cell>
          <cell r="I2067">
            <v>883.33999999999992</v>
          </cell>
          <cell r="J2067">
            <v>0</v>
          </cell>
          <cell r="K2067">
            <v>0</v>
          </cell>
          <cell r="M2067">
            <v>0</v>
          </cell>
          <cell r="P2067">
            <v>883</v>
          </cell>
          <cell r="V2067" t="str">
            <v>Available</v>
          </cell>
        </row>
        <row r="2068">
          <cell r="E2068">
            <v>10090036</v>
          </cell>
          <cell r="H2068">
            <v>55.019999999999996</v>
          </cell>
          <cell r="I2068">
            <v>2950.88</v>
          </cell>
          <cell r="J2068">
            <v>0</v>
          </cell>
          <cell r="K2068">
            <v>0</v>
          </cell>
          <cell r="M2068">
            <v>0</v>
          </cell>
          <cell r="P2068">
            <v>2951</v>
          </cell>
          <cell r="V2068" t="str">
            <v>Available</v>
          </cell>
        </row>
        <row r="2069">
          <cell r="E2069">
            <v>10090036</v>
          </cell>
          <cell r="H2069">
            <v>17.099999999999998</v>
          </cell>
          <cell r="I2069">
            <v>705.68</v>
          </cell>
          <cell r="J2069">
            <v>0</v>
          </cell>
          <cell r="K2069">
            <v>0</v>
          </cell>
          <cell r="M2069">
            <v>0</v>
          </cell>
          <cell r="P2069">
            <v>706</v>
          </cell>
          <cell r="V2069" t="str">
            <v>Available</v>
          </cell>
        </row>
        <row r="2070">
          <cell r="E2070">
            <v>10090036</v>
          </cell>
          <cell r="H2070">
            <v>2.76</v>
          </cell>
          <cell r="I2070">
            <v>135.43</v>
          </cell>
          <cell r="J2070">
            <v>0</v>
          </cell>
          <cell r="K2070">
            <v>0</v>
          </cell>
          <cell r="M2070">
            <v>0</v>
          </cell>
          <cell r="P2070">
            <v>135</v>
          </cell>
          <cell r="V2070" t="str">
            <v>Available</v>
          </cell>
        </row>
        <row r="2071">
          <cell r="E2071">
            <v>10090036</v>
          </cell>
          <cell r="H2071">
            <v>27.319999999999997</v>
          </cell>
          <cell r="I2071">
            <v>1257.32</v>
          </cell>
          <cell r="J2071">
            <v>0</v>
          </cell>
          <cell r="K2071">
            <v>0</v>
          </cell>
          <cell r="M2071">
            <v>0</v>
          </cell>
          <cell r="P2071">
            <v>1257</v>
          </cell>
          <cell r="V2071" t="str">
            <v>Available</v>
          </cell>
        </row>
        <row r="2072">
          <cell r="E2072">
            <v>10090036</v>
          </cell>
          <cell r="H2072">
            <v>3.9</v>
          </cell>
          <cell r="I2072">
            <v>170.78</v>
          </cell>
          <cell r="J2072">
            <v>0</v>
          </cell>
          <cell r="K2072">
            <v>0</v>
          </cell>
          <cell r="M2072">
            <v>0</v>
          </cell>
          <cell r="P2072">
            <v>171</v>
          </cell>
          <cell r="V2072" t="str">
            <v>Available</v>
          </cell>
        </row>
        <row r="2073">
          <cell r="E2073">
            <v>10090036</v>
          </cell>
          <cell r="H2073">
            <v>68.819999999999993</v>
          </cell>
          <cell r="I2073">
            <v>2600.73</v>
          </cell>
          <cell r="J2073">
            <v>0</v>
          </cell>
          <cell r="K2073">
            <v>0</v>
          </cell>
          <cell r="M2073">
            <v>0</v>
          </cell>
          <cell r="P2073">
            <v>2601</v>
          </cell>
          <cell r="V2073" t="str">
            <v>Available</v>
          </cell>
        </row>
        <row r="2074">
          <cell r="E2074">
            <v>10090036</v>
          </cell>
          <cell r="H2074">
            <v>27.36</v>
          </cell>
          <cell r="I2074">
            <v>1214.0500000000002</v>
          </cell>
          <cell r="J2074">
            <v>0</v>
          </cell>
          <cell r="K2074">
            <v>0</v>
          </cell>
          <cell r="M2074">
            <v>0</v>
          </cell>
          <cell r="P2074">
            <v>1214</v>
          </cell>
          <cell r="V2074" t="str">
            <v>Available</v>
          </cell>
        </row>
        <row r="2075">
          <cell r="E2075">
            <v>10090036</v>
          </cell>
          <cell r="H2075">
            <v>33.799999999999997</v>
          </cell>
          <cell r="I2075">
            <v>1865.43</v>
          </cell>
          <cell r="J2075">
            <v>0</v>
          </cell>
          <cell r="K2075">
            <v>0</v>
          </cell>
          <cell r="M2075">
            <v>0</v>
          </cell>
          <cell r="P2075">
            <v>1865</v>
          </cell>
          <cell r="V2075" t="str">
            <v>Available</v>
          </cell>
        </row>
        <row r="2076">
          <cell r="E2076">
            <v>10090036</v>
          </cell>
          <cell r="H2076">
            <v>3.9800000000000004</v>
          </cell>
          <cell r="I2076">
            <v>257.25</v>
          </cell>
          <cell r="J2076">
            <v>0</v>
          </cell>
          <cell r="K2076">
            <v>0</v>
          </cell>
          <cell r="M2076">
            <v>0</v>
          </cell>
          <cell r="P2076">
            <v>257</v>
          </cell>
          <cell r="V2076" t="str">
            <v>Available</v>
          </cell>
        </row>
        <row r="2077">
          <cell r="E2077">
            <v>10090037</v>
          </cell>
          <cell r="H2077">
            <v>4.0699999999999994</v>
          </cell>
          <cell r="I2077">
            <v>205.39000000000001</v>
          </cell>
          <cell r="J2077">
            <v>0</v>
          </cell>
          <cell r="K2077">
            <v>205.39000000000001</v>
          </cell>
          <cell r="M2077">
            <v>0</v>
          </cell>
          <cell r="P2077">
            <v>0</v>
          </cell>
          <cell r="V2077" t="str">
            <v>Not Available</v>
          </cell>
        </row>
        <row r="2078">
          <cell r="E2078">
            <v>10090037</v>
          </cell>
          <cell r="H2078">
            <v>91.000000000000014</v>
          </cell>
          <cell r="I2078">
            <v>3844.07</v>
          </cell>
          <cell r="J2078">
            <v>0</v>
          </cell>
          <cell r="K2078">
            <v>0</v>
          </cell>
          <cell r="M2078">
            <v>0</v>
          </cell>
          <cell r="P2078">
            <v>2100</v>
          </cell>
          <cell r="V2078" t="str">
            <v>Available</v>
          </cell>
        </row>
        <row r="2079">
          <cell r="E2079">
            <v>10090037</v>
          </cell>
          <cell r="H2079">
            <v>56.839999999999996</v>
          </cell>
          <cell r="I2079">
            <v>3003.5900000000006</v>
          </cell>
          <cell r="J2079">
            <v>0</v>
          </cell>
          <cell r="K2079">
            <v>0</v>
          </cell>
          <cell r="M2079">
            <v>0</v>
          </cell>
          <cell r="P2079">
            <v>3004</v>
          </cell>
          <cell r="V2079" t="str">
            <v>Available</v>
          </cell>
        </row>
        <row r="2080">
          <cell r="E2080">
            <v>10090037</v>
          </cell>
          <cell r="H2080">
            <v>78.639999999999986</v>
          </cell>
          <cell r="I2080">
            <v>4266.78</v>
          </cell>
          <cell r="J2080">
            <v>0</v>
          </cell>
          <cell r="K2080">
            <v>0</v>
          </cell>
          <cell r="M2080">
            <v>0</v>
          </cell>
          <cell r="P2080">
            <v>4267</v>
          </cell>
          <cell r="V2080" t="str">
            <v>Available</v>
          </cell>
        </row>
        <row r="2081">
          <cell r="E2081">
            <v>10090037</v>
          </cell>
          <cell r="H2081">
            <v>122.26000000000002</v>
          </cell>
          <cell r="I2081">
            <v>7514.44</v>
          </cell>
          <cell r="J2081">
            <v>0</v>
          </cell>
          <cell r="K2081">
            <v>0</v>
          </cell>
          <cell r="M2081">
            <v>0</v>
          </cell>
          <cell r="P2081">
            <v>7514</v>
          </cell>
          <cell r="V2081" t="str">
            <v>Available</v>
          </cell>
        </row>
        <row r="2082">
          <cell r="E2082">
            <v>10090037</v>
          </cell>
          <cell r="H2082">
            <v>57.080000000000005</v>
          </cell>
          <cell r="I2082">
            <v>3075.78</v>
          </cell>
          <cell r="J2082">
            <v>0</v>
          </cell>
          <cell r="K2082">
            <v>0</v>
          </cell>
          <cell r="M2082">
            <v>0</v>
          </cell>
          <cell r="P2082">
            <v>3076</v>
          </cell>
          <cell r="V2082" t="str">
            <v>Available</v>
          </cell>
        </row>
        <row r="2083">
          <cell r="E2083">
            <v>10090037</v>
          </cell>
          <cell r="H2083">
            <v>32.11</v>
          </cell>
          <cell r="I2083">
            <v>2096.5700000000002</v>
          </cell>
          <cell r="J2083">
            <v>0</v>
          </cell>
          <cell r="K2083">
            <v>0</v>
          </cell>
          <cell r="M2083">
            <v>0</v>
          </cell>
          <cell r="P2083">
            <v>2097</v>
          </cell>
          <cell r="V2083" t="str">
            <v>Not Available</v>
          </cell>
        </row>
        <row r="2084">
          <cell r="E2084">
            <v>10090037</v>
          </cell>
          <cell r="H2084">
            <v>27.740000000000002</v>
          </cell>
          <cell r="I2084">
            <v>1546.0800000000002</v>
          </cell>
          <cell r="J2084">
            <v>0</v>
          </cell>
          <cell r="K2084">
            <v>0</v>
          </cell>
          <cell r="M2084">
            <v>0</v>
          </cell>
          <cell r="P2084">
            <v>1546</v>
          </cell>
          <cell r="V2084" t="str">
            <v>Not Available</v>
          </cell>
        </row>
        <row r="2085">
          <cell r="E2085">
            <v>10090037</v>
          </cell>
          <cell r="H2085">
            <v>84.22</v>
          </cell>
          <cell r="I2085">
            <v>4995.5199999999995</v>
          </cell>
          <cell r="J2085">
            <v>0</v>
          </cell>
          <cell r="K2085">
            <v>0</v>
          </cell>
          <cell r="M2085">
            <v>0</v>
          </cell>
          <cell r="P2085">
            <v>4996</v>
          </cell>
          <cell r="V2085" t="str">
            <v>Not Available</v>
          </cell>
        </row>
        <row r="2086">
          <cell r="E2086">
            <v>10090037</v>
          </cell>
          <cell r="H2086">
            <v>34.050000000000004</v>
          </cell>
          <cell r="I2086">
            <v>2414.1299999999997</v>
          </cell>
          <cell r="J2086">
            <v>0</v>
          </cell>
          <cell r="K2086">
            <v>0</v>
          </cell>
          <cell r="M2086">
            <v>0</v>
          </cell>
          <cell r="P2086">
            <v>2414</v>
          </cell>
          <cell r="V2086" t="str">
            <v>Not Available</v>
          </cell>
        </row>
        <row r="2087">
          <cell r="E2087">
            <v>10090037</v>
          </cell>
          <cell r="H2087">
            <v>33.89</v>
          </cell>
          <cell r="I2087">
            <v>2052.0100000000002</v>
          </cell>
          <cell r="J2087">
            <v>0</v>
          </cell>
          <cell r="K2087">
            <v>0</v>
          </cell>
          <cell r="M2087">
            <v>0</v>
          </cell>
          <cell r="P2087">
            <v>2052</v>
          </cell>
          <cell r="V2087" t="str">
            <v>Not Available</v>
          </cell>
        </row>
        <row r="2088">
          <cell r="E2088">
            <v>10090039</v>
          </cell>
          <cell r="H2088">
            <v>140.15</v>
          </cell>
          <cell r="I2088">
            <v>4984.26</v>
          </cell>
          <cell r="J2088">
            <v>0</v>
          </cell>
          <cell r="K2088">
            <v>0</v>
          </cell>
          <cell r="M2088">
            <v>0</v>
          </cell>
          <cell r="P2088">
            <v>4984</v>
          </cell>
          <cell r="V2088" t="str">
            <v>Available</v>
          </cell>
        </row>
        <row r="2089">
          <cell r="E2089">
            <v>10090039</v>
          </cell>
          <cell r="H2089">
            <v>15.15</v>
          </cell>
          <cell r="I2089">
            <v>572.4</v>
          </cell>
          <cell r="J2089">
            <v>0</v>
          </cell>
          <cell r="K2089">
            <v>0</v>
          </cell>
          <cell r="M2089">
            <v>0</v>
          </cell>
          <cell r="P2089">
            <v>572</v>
          </cell>
          <cell r="V2089" t="str">
            <v>Available</v>
          </cell>
        </row>
        <row r="2090">
          <cell r="E2090">
            <v>10090039</v>
          </cell>
          <cell r="H2090">
            <v>16.21</v>
          </cell>
          <cell r="I2090">
            <v>613.13</v>
          </cell>
          <cell r="J2090">
            <v>0</v>
          </cell>
          <cell r="K2090">
            <v>0</v>
          </cell>
          <cell r="M2090">
            <v>0</v>
          </cell>
          <cell r="P2090">
            <v>613</v>
          </cell>
          <cell r="V2090" t="str">
            <v>Available</v>
          </cell>
        </row>
        <row r="2091">
          <cell r="E2091">
            <v>10090039</v>
          </cell>
          <cell r="H2091">
            <v>24.45</v>
          </cell>
          <cell r="I2091">
            <v>962.83</v>
          </cell>
          <cell r="J2091">
            <v>0</v>
          </cell>
          <cell r="K2091">
            <v>0</v>
          </cell>
          <cell r="M2091">
            <v>0</v>
          </cell>
          <cell r="P2091">
            <v>963</v>
          </cell>
          <cell r="V2091" t="str">
            <v>Available</v>
          </cell>
        </row>
        <row r="2092">
          <cell r="E2092">
            <v>10090039</v>
          </cell>
          <cell r="H2092">
            <v>5.23</v>
          </cell>
          <cell r="I2092">
            <v>151.51</v>
          </cell>
          <cell r="J2092">
            <v>0</v>
          </cell>
          <cell r="K2092">
            <v>0</v>
          </cell>
          <cell r="M2092">
            <v>0</v>
          </cell>
          <cell r="P2092">
            <v>152</v>
          </cell>
          <cell r="V2092" t="str">
            <v>Available</v>
          </cell>
        </row>
        <row r="2093">
          <cell r="E2093">
            <v>10090039</v>
          </cell>
          <cell r="H2093">
            <v>31.59</v>
          </cell>
          <cell r="I2093">
            <v>1115.6600000000001</v>
          </cell>
          <cell r="J2093">
            <v>0</v>
          </cell>
          <cell r="K2093">
            <v>0</v>
          </cell>
          <cell r="M2093">
            <v>0</v>
          </cell>
          <cell r="P2093">
            <v>1116</v>
          </cell>
          <cell r="V2093" t="str">
            <v>Available</v>
          </cell>
        </row>
        <row r="2094">
          <cell r="E2094">
            <v>10090039</v>
          </cell>
          <cell r="H2094">
            <v>25.479999999999997</v>
          </cell>
          <cell r="I2094">
            <v>1227.8800000000001</v>
          </cell>
          <cell r="J2094">
            <v>0</v>
          </cell>
          <cell r="K2094">
            <v>0</v>
          </cell>
          <cell r="M2094">
            <v>0</v>
          </cell>
          <cell r="P2094">
            <v>1228</v>
          </cell>
          <cell r="V2094" t="str">
            <v>Available</v>
          </cell>
        </row>
        <row r="2095">
          <cell r="E2095">
            <v>10090042</v>
          </cell>
          <cell r="H2095">
            <v>3.1100000000000003</v>
          </cell>
          <cell r="I2095">
            <v>142.13999999999999</v>
          </cell>
          <cell r="J2095">
            <v>0</v>
          </cell>
          <cell r="K2095">
            <v>142.13999999999999</v>
          </cell>
          <cell r="M2095">
            <v>0</v>
          </cell>
          <cell r="P2095">
            <v>0</v>
          </cell>
          <cell r="V2095" t="str">
            <v>Not Available</v>
          </cell>
        </row>
        <row r="2096">
          <cell r="E2096">
            <v>10090042</v>
          </cell>
          <cell r="H2096">
            <v>260.25</v>
          </cell>
          <cell r="I2096">
            <v>12004.980000000001</v>
          </cell>
          <cell r="J2096">
            <v>0</v>
          </cell>
          <cell r="K2096">
            <v>0</v>
          </cell>
          <cell r="M2096">
            <v>0</v>
          </cell>
          <cell r="P2096">
            <v>11376</v>
          </cell>
          <cell r="V2096" t="str">
            <v>Available</v>
          </cell>
        </row>
        <row r="2097">
          <cell r="E2097">
            <v>10090042</v>
          </cell>
          <cell r="H2097">
            <v>156.65</v>
          </cell>
          <cell r="I2097">
            <v>6933.27</v>
          </cell>
          <cell r="J2097">
            <v>0</v>
          </cell>
          <cell r="K2097">
            <v>0</v>
          </cell>
          <cell r="M2097">
            <v>0</v>
          </cell>
          <cell r="P2097">
            <v>6933</v>
          </cell>
          <cell r="V2097" t="str">
            <v>Available</v>
          </cell>
        </row>
        <row r="2098">
          <cell r="E2098">
            <v>10090042</v>
          </cell>
          <cell r="H2098">
            <v>172.63</v>
          </cell>
          <cell r="I2098">
            <v>8226.869999999999</v>
          </cell>
          <cell r="J2098">
            <v>0</v>
          </cell>
          <cell r="K2098">
            <v>0</v>
          </cell>
          <cell r="M2098">
            <v>0</v>
          </cell>
          <cell r="P2098">
            <v>8227</v>
          </cell>
          <cell r="V2098" t="str">
            <v>Available</v>
          </cell>
        </row>
        <row r="2099">
          <cell r="E2099">
            <v>10090042</v>
          </cell>
          <cell r="H2099">
            <v>190.32</v>
          </cell>
          <cell r="I2099">
            <v>8316.81</v>
          </cell>
          <cell r="J2099">
            <v>0</v>
          </cell>
          <cell r="K2099">
            <v>0</v>
          </cell>
          <cell r="M2099">
            <v>0</v>
          </cell>
          <cell r="P2099">
            <v>8317</v>
          </cell>
          <cell r="V2099" t="str">
            <v>Available</v>
          </cell>
        </row>
        <row r="2100">
          <cell r="E2100">
            <v>10090042</v>
          </cell>
          <cell r="H2100">
            <v>117.30000000000001</v>
          </cell>
          <cell r="I2100">
            <v>5185.2300000000005</v>
          </cell>
          <cell r="J2100">
            <v>0</v>
          </cell>
          <cell r="K2100">
            <v>0</v>
          </cell>
          <cell r="M2100">
            <v>0</v>
          </cell>
          <cell r="P2100">
            <v>5185</v>
          </cell>
          <cell r="V2100" t="str">
            <v>Available</v>
          </cell>
        </row>
        <row r="2101">
          <cell r="E2101">
            <v>10090042</v>
          </cell>
          <cell r="H2101">
            <v>30</v>
          </cell>
          <cell r="I2101">
            <v>1301</v>
          </cell>
          <cell r="J2101">
            <v>0</v>
          </cell>
          <cell r="K2101">
            <v>0</v>
          </cell>
          <cell r="M2101">
            <v>0</v>
          </cell>
          <cell r="P2101">
            <v>1301</v>
          </cell>
          <cell r="V2101" t="str">
            <v>Not Available</v>
          </cell>
        </row>
        <row r="2102">
          <cell r="E2102">
            <v>10090042</v>
          </cell>
          <cell r="H2102">
            <v>24</v>
          </cell>
          <cell r="I2102">
            <v>1045.44</v>
          </cell>
          <cell r="J2102">
            <v>0</v>
          </cell>
          <cell r="K2102">
            <v>0</v>
          </cell>
          <cell r="M2102">
            <v>0</v>
          </cell>
          <cell r="P2102">
            <v>1045</v>
          </cell>
          <cell r="V2102" t="str">
            <v>Not Available</v>
          </cell>
        </row>
        <row r="2103">
          <cell r="E2103">
            <v>10090042</v>
          </cell>
          <cell r="H2103">
            <v>27.5</v>
          </cell>
          <cell r="I2103">
            <v>1205.23</v>
          </cell>
          <cell r="J2103">
            <v>0</v>
          </cell>
          <cell r="K2103">
            <v>0</v>
          </cell>
          <cell r="M2103">
            <v>0</v>
          </cell>
          <cell r="P2103">
            <v>1205</v>
          </cell>
          <cell r="V2103" t="str">
            <v>Not Available</v>
          </cell>
        </row>
        <row r="2104">
          <cell r="E2104">
            <v>10090042</v>
          </cell>
          <cell r="H2104">
            <v>8</v>
          </cell>
          <cell r="I2104">
            <v>345.84</v>
          </cell>
          <cell r="J2104">
            <v>0</v>
          </cell>
          <cell r="K2104">
            <v>0</v>
          </cell>
          <cell r="M2104">
            <v>0</v>
          </cell>
          <cell r="P2104">
            <v>346</v>
          </cell>
          <cell r="V2104" t="str">
            <v>Not Available</v>
          </cell>
        </row>
        <row r="2105">
          <cell r="E2105">
            <v>10090045</v>
          </cell>
          <cell r="H2105">
            <v>57.1</v>
          </cell>
          <cell r="I2105">
            <v>2782.1400000000003</v>
          </cell>
          <cell r="J2105">
            <v>0</v>
          </cell>
          <cell r="K2105">
            <v>0</v>
          </cell>
          <cell r="M2105">
            <v>0</v>
          </cell>
          <cell r="P2105">
            <v>2768</v>
          </cell>
          <cell r="V2105" t="str">
            <v>Available</v>
          </cell>
        </row>
        <row r="2106">
          <cell r="E2106">
            <v>10090046</v>
          </cell>
          <cell r="H2106">
            <v>235.61</v>
          </cell>
          <cell r="I2106">
            <v>11355.390000000001</v>
          </cell>
          <cell r="J2106">
            <v>0</v>
          </cell>
          <cell r="K2106">
            <v>0</v>
          </cell>
          <cell r="M2106">
            <v>0</v>
          </cell>
          <cell r="P2106">
            <v>10249</v>
          </cell>
          <cell r="V2106" t="str">
            <v>Available</v>
          </cell>
        </row>
        <row r="2107">
          <cell r="E2107">
            <v>10090046</v>
          </cell>
          <cell r="H2107">
            <v>44.919999999999995</v>
          </cell>
          <cell r="I2107">
            <v>1912.6200000000001</v>
          </cell>
          <cell r="J2107">
            <v>0</v>
          </cell>
          <cell r="K2107">
            <v>0</v>
          </cell>
          <cell r="M2107">
            <v>0</v>
          </cell>
          <cell r="P2107">
            <v>1913</v>
          </cell>
          <cell r="V2107" t="str">
            <v>Available</v>
          </cell>
        </row>
        <row r="2108">
          <cell r="E2108">
            <v>10090046</v>
          </cell>
          <cell r="H2108">
            <v>63.64</v>
          </cell>
          <cell r="I2108">
            <v>3340.0099999999998</v>
          </cell>
          <cell r="J2108">
            <v>0</v>
          </cell>
          <cell r="K2108">
            <v>0</v>
          </cell>
          <cell r="M2108">
            <v>0</v>
          </cell>
          <cell r="P2108">
            <v>3340</v>
          </cell>
          <cell r="V2108" t="str">
            <v>Available</v>
          </cell>
        </row>
        <row r="2109">
          <cell r="E2109">
            <v>10090046</v>
          </cell>
          <cell r="H2109">
            <v>48.28</v>
          </cell>
          <cell r="I2109">
            <v>2024.82</v>
          </cell>
          <cell r="J2109">
            <v>0</v>
          </cell>
          <cell r="K2109">
            <v>0</v>
          </cell>
          <cell r="M2109">
            <v>0</v>
          </cell>
          <cell r="P2109">
            <v>2025</v>
          </cell>
          <cell r="V2109" t="str">
            <v>Available</v>
          </cell>
        </row>
        <row r="2110">
          <cell r="E2110">
            <v>10090047</v>
          </cell>
          <cell r="H2110">
            <v>9.3000000000000007</v>
          </cell>
          <cell r="I2110">
            <v>400.94</v>
          </cell>
          <cell r="J2110">
            <v>0</v>
          </cell>
          <cell r="K2110">
            <v>400.94</v>
          </cell>
          <cell r="M2110">
            <v>0</v>
          </cell>
          <cell r="P2110">
            <v>0</v>
          </cell>
          <cell r="V2110" t="str">
            <v>Not Available</v>
          </cell>
        </row>
        <row r="2111">
          <cell r="E2111">
            <v>10090047</v>
          </cell>
          <cell r="H2111">
            <v>22.550000000000004</v>
          </cell>
          <cell r="I2111">
            <v>951.31999999999994</v>
          </cell>
          <cell r="J2111">
            <v>0</v>
          </cell>
          <cell r="K2111">
            <v>0</v>
          </cell>
          <cell r="M2111">
            <v>0</v>
          </cell>
          <cell r="P2111">
            <v>521</v>
          </cell>
          <cell r="V2111" t="str">
            <v>Available</v>
          </cell>
        </row>
        <row r="2112">
          <cell r="E2112">
            <v>10090047</v>
          </cell>
          <cell r="H2112">
            <v>10.3</v>
          </cell>
          <cell r="I2112">
            <v>415.88</v>
          </cell>
          <cell r="J2112">
            <v>0</v>
          </cell>
          <cell r="K2112">
            <v>0</v>
          </cell>
          <cell r="M2112">
            <v>0</v>
          </cell>
          <cell r="P2112">
            <v>416</v>
          </cell>
          <cell r="V2112" t="str">
            <v>Available</v>
          </cell>
        </row>
        <row r="2113">
          <cell r="E2113">
            <v>10090047</v>
          </cell>
          <cell r="H2113">
            <v>19.199999999999996</v>
          </cell>
          <cell r="I2113">
            <v>987.67000000000007</v>
          </cell>
          <cell r="J2113">
            <v>0</v>
          </cell>
          <cell r="K2113">
            <v>0</v>
          </cell>
          <cell r="M2113">
            <v>0</v>
          </cell>
          <cell r="P2113">
            <v>988</v>
          </cell>
          <cell r="V2113" t="str">
            <v>Available</v>
          </cell>
        </row>
        <row r="2114">
          <cell r="E2114">
            <v>10090047</v>
          </cell>
          <cell r="H2114">
            <v>17.5</v>
          </cell>
          <cell r="I2114">
            <v>839.37</v>
          </cell>
          <cell r="J2114">
            <v>0</v>
          </cell>
          <cell r="K2114">
            <v>0</v>
          </cell>
          <cell r="M2114">
            <v>0</v>
          </cell>
          <cell r="P2114">
            <v>839</v>
          </cell>
          <cell r="V2114" t="str">
            <v>Available</v>
          </cell>
        </row>
        <row r="2115">
          <cell r="E2115">
            <v>10090047</v>
          </cell>
          <cell r="H2115">
            <v>11.5</v>
          </cell>
          <cell r="I2115">
            <v>497.7</v>
          </cell>
          <cell r="J2115">
            <v>0</v>
          </cell>
          <cell r="K2115">
            <v>0</v>
          </cell>
          <cell r="M2115">
            <v>0</v>
          </cell>
          <cell r="P2115">
            <v>498</v>
          </cell>
          <cell r="V2115" t="str">
            <v>Available</v>
          </cell>
        </row>
        <row r="2116">
          <cell r="E2116">
            <v>10090047</v>
          </cell>
          <cell r="H2116">
            <v>17.8</v>
          </cell>
          <cell r="I2116">
            <v>1275.5700000000002</v>
          </cell>
          <cell r="J2116">
            <v>0</v>
          </cell>
          <cell r="K2116">
            <v>0</v>
          </cell>
          <cell r="M2116">
            <v>0</v>
          </cell>
          <cell r="P2116">
            <v>1276</v>
          </cell>
          <cell r="V2116" t="str">
            <v>Available</v>
          </cell>
        </row>
        <row r="2117">
          <cell r="E2117">
            <v>10090047</v>
          </cell>
          <cell r="H2117">
            <v>34.6</v>
          </cell>
          <cell r="I2117">
            <v>1477.04</v>
          </cell>
          <cell r="J2117">
            <v>0</v>
          </cell>
          <cell r="K2117">
            <v>0</v>
          </cell>
          <cell r="M2117">
            <v>0</v>
          </cell>
          <cell r="P2117">
            <v>1477</v>
          </cell>
          <cell r="V2117" t="str">
            <v>Available</v>
          </cell>
        </row>
        <row r="2118">
          <cell r="E2118">
            <v>10090047</v>
          </cell>
          <cell r="H2118">
            <v>17.5</v>
          </cell>
          <cell r="I2118">
            <v>645.61</v>
          </cell>
          <cell r="J2118">
            <v>0</v>
          </cell>
          <cell r="K2118">
            <v>0</v>
          </cell>
          <cell r="M2118">
            <v>0</v>
          </cell>
          <cell r="P2118">
            <v>646</v>
          </cell>
          <cell r="V2118" t="str">
            <v>Available</v>
          </cell>
        </row>
        <row r="2119">
          <cell r="E2119">
            <v>10090047</v>
          </cell>
          <cell r="H2119">
            <v>17.599999999999998</v>
          </cell>
          <cell r="I2119">
            <v>511.36</v>
          </cell>
          <cell r="J2119">
            <v>0</v>
          </cell>
          <cell r="K2119">
            <v>0</v>
          </cell>
          <cell r="M2119">
            <v>0</v>
          </cell>
          <cell r="P2119">
            <v>511</v>
          </cell>
          <cell r="V2119" t="str">
            <v>Available</v>
          </cell>
        </row>
        <row r="2120">
          <cell r="E2120">
            <v>10090047</v>
          </cell>
          <cell r="H2120">
            <v>7.5</v>
          </cell>
          <cell r="I2120">
            <v>236.36999999999998</v>
          </cell>
          <cell r="J2120">
            <v>0</v>
          </cell>
          <cell r="K2120">
            <v>0</v>
          </cell>
          <cell r="M2120">
            <v>0</v>
          </cell>
          <cell r="P2120">
            <v>236</v>
          </cell>
          <cell r="V2120" t="str">
            <v>Available</v>
          </cell>
        </row>
        <row r="2121">
          <cell r="E2121">
            <v>10090047</v>
          </cell>
          <cell r="H2121">
            <v>65.55</v>
          </cell>
          <cell r="I2121">
            <v>2470.12</v>
          </cell>
          <cell r="J2121">
            <v>0</v>
          </cell>
          <cell r="K2121">
            <v>0</v>
          </cell>
          <cell r="M2121">
            <v>0</v>
          </cell>
          <cell r="P2121">
            <v>2470</v>
          </cell>
          <cell r="V2121" t="str">
            <v>Available</v>
          </cell>
        </row>
        <row r="2122">
          <cell r="E2122">
            <v>10090047</v>
          </cell>
          <cell r="H2122">
            <v>37.54</v>
          </cell>
          <cell r="I2122">
            <v>1587.1499999999999</v>
          </cell>
          <cell r="J2122">
            <v>0</v>
          </cell>
          <cell r="K2122">
            <v>0</v>
          </cell>
          <cell r="M2122">
            <v>0</v>
          </cell>
          <cell r="P2122">
            <v>1587</v>
          </cell>
          <cell r="V2122" t="str">
            <v>Available</v>
          </cell>
        </row>
        <row r="2123">
          <cell r="E2123">
            <v>10090047</v>
          </cell>
          <cell r="H2123">
            <v>9.75</v>
          </cell>
          <cell r="I2123">
            <v>601.68000000000006</v>
          </cell>
          <cell r="J2123">
            <v>0</v>
          </cell>
          <cell r="K2123">
            <v>0</v>
          </cell>
          <cell r="M2123">
            <v>0</v>
          </cell>
          <cell r="P2123">
            <v>602</v>
          </cell>
          <cell r="V2123" t="str">
            <v>Available</v>
          </cell>
        </row>
        <row r="2124">
          <cell r="E2124">
            <v>10090047</v>
          </cell>
          <cell r="H2124">
            <v>7.6</v>
          </cell>
          <cell r="I2124">
            <v>387.2</v>
          </cell>
          <cell r="J2124">
            <v>0</v>
          </cell>
          <cell r="K2124">
            <v>0</v>
          </cell>
          <cell r="M2124">
            <v>0</v>
          </cell>
          <cell r="P2124">
            <v>387</v>
          </cell>
          <cell r="V2124" t="str">
            <v>Available</v>
          </cell>
        </row>
        <row r="2125">
          <cell r="E2125">
            <v>10090047</v>
          </cell>
          <cell r="H2125">
            <v>24</v>
          </cell>
          <cell r="I2125">
            <v>976.62</v>
          </cell>
          <cell r="J2125">
            <v>0</v>
          </cell>
          <cell r="K2125">
            <v>0</v>
          </cell>
          <cell r="M2125">
            <v>0</v>
          </cell>
          <cell r="P2125">
            <v>977</v>
          </cell>
          <cell r="V2125" t="str">
            <v>Available</v>
          </cell>
        </row>
        <row r="2126">
          <cell r="E2126">
            <v>10090049</v>
          </cell>
          <cell r="H2126">
            <v>5.9500000000000011</v>
          </cell>
          <cell r="I2126">
            <v>321.02999999999997</v>
          </cell>
          <cell r="J2126">
            <v>0</v>
          </cell>
          <cell r="K2126">
            <v>321.02999999999997</v>
          </cell>
          <cell r="M2126">
            <v>0</v>
          </cell>
          <cell r="P2126">
            <v>0</v>
          </cell>
          <cell r="V2126" t="str">
            <v>Not Available</v>
          </cell>
        </row>
        <row r="2127">
          <cell r="E2127">
            <v>10090049</v>
          </cell>
          <cell r="H2127">
            <v>118.72999999999999</v>
          </cell>
          <cell r="I2127">
            <v>6043.7500000000009</v>
          </cell>
          <cell r="J2127">
            <v>0</v>
          </cell>
          <cell r="K2127">
            <v>0</v>
          </cell>
          <cell r="M2127">
            <v>0</v>
          </cell>
          <cell r="P2127">
            <v>2782</v>
          </cell>
          <cell r="V2127" t="str">
            <v>Available</v>
          </cell>
        </row>
        <row r="2128">
          <cell r="E2128">
            <v>10090049</v>
          </cell>
          <cell r="H2128">
            <v>53.44</v>
          </cell>
          <cell r="I2128">
            <v>2673.5899999999997</v>
          </cell>
          <cell r="J2128">
            <v>0</v>
          </cell>
          <cell r="K2128">
            <v>0</v>
          </cell>
          <cell r="M2128">
            <v>0</v>
          </cell>
          <cell r="P2128">
            <v>2674</v>
          </cell>
          <cell r="V2128" t="str">
            <v>Available</v>
          </cell>
        </row>
        <row r="2129">
          <cell r="E2129">
            <v>10090049</v>
          </cell>
          <cell r="H2129">
            <v>9.6199999999999992</v>
          </cell>
          <cell r="I2129">
            <v>419.21</v>
          </cell>
          <cell r="J2129">
            <v>0</v>
          </cell>
          <cell r="K2129">
            <v>0</v>
          </cell>
          <cell r="M2129">
            <v>0</v>
          </cell>
          <cell r="P2129">
            <v>419</v>
          </cell>
          <cell r="V2129" t="str">
            <v>Available</v>
          </cell>
        </row>
        <row r="2130">
          <cell r="E2130">
            <v>10090049</v>
          </cell>
          <cell r="H2130">
            <v>90.78</v>
          </cell>
          <cell r="I2130">
            <v>4884.88</v>
          </cell>
          <cell r="J2130">
            <v>0</v>
          </cell>
          <cell r="K2130">
            <v>0</v>
          </cell>
          <cell r="M2130">
            <v>0</v>
          </cell>
          <cell r="P2130">
            <v>4885</v>
          </cell>
          <cell r="V2130" t="str">
            <v>Available</v>
          </cell>
        </row>
        <row r="2131">
          <cell r="E2131">
            <v>10090049</v>
          </cell>
          <cell r="H2131">
            <v>97.33</v>
          </cell>
          <cell r="I2131">
            <v>5493.94</v>
          </cell>
          <cell r="J2131">
            <v>0</v>
          </cell>
          <cell r="K2131">
            <v>0</v>
          </cell>
          <cell r="M2131">
            <v>0</v>
          </cell>
          <cell r="P2131">
            <v>5494</v>
          </cell>
          <cell r="V2131" t="str">
            <v>Available</v>
          </cell>
        </row>
        <row r="2132">
          <cell r="E2132">
            <v>10090049</v>
          </cell>
          <cell r="H2132">
            <v>21.22</v>
          </cell>
          <cell r="I2132">
            <v>972.91000000000008</v>
          </cell>
          <cell r="J2132">
            <v>0</v>
          </cell>
          <cell r="K2132">
            <v>0</v>
          </cell>
          <cell r="M2132">
            <v>0</v>
          </cell>
          <cell r="P2132">
            <v>973</v>
          </cell>
          <cell r="V2132" t="str">
            <v>Available</v>
          </cell>
        </row>
        <row r="2133">
          <cell r="E2133">
            <v>10090049</v>
          </cell>
          <cell r="H2133">
            <v>11</v>
          </cell>
          <cell r="I2133">
            <v>859.22</v>
          </cell>
          <cell r="J2133">
            <v>0</v>
          </cell>
          <cell r="K2133">
            <v>0</v>
          </cell>
          <cell r="M2133">
            <v>0</v>
          </cell>
          <cell r="P2133">
            <v>859</v>
          </cell>
          <cell r="V2133" t="str">
            <v>Available</v>
          </cell>
        </row>
        <row r="2134">
          <cell r="E2134">
            <v>10090049</v>
          </cell>
          <cell r="H2134">
            <v>16.55</v>
          </cell>
          <cell r="I2134">
            <v>618.94000000000005</v>
          </cell>
          <cell r="J2134">
            <v>0</v>
          </cell>
          <cell r="K2134">
            <v>0</v>
          </cell>
          <cell r="M2134">
            <v>0</v>
          </cell>
          <cell r="P2134">
            <v>619</v>
          </cell>
          <cell r="V2134" t="str">
            <v>Available</v>
          </cell>
        </row>
        <row r="2135">
          <cell r="E2135">
            <v>10090049</v>
          </cell>
          <cell r="H2135">
            <v>12.64</v>
          </cell>
          <cell r="I2135">
            <v>522.64</v>
          </cell>
          <cell r="J2135">
            <v>0</v>
          </cell>
          <cell r="K2135">
            <v>0</v>
          </cell>
          <cell r="M2135">
            <v>0</v>
          </cell>
          <cell r="P2135">
            <v>523</v>
          </cell>
          <cell r="V2135" t="str">
            <v>Available</v>
          </cell>
        </row>
        <row r="2136">
          <cell r="E2136">
            <v>10090049</v>
          </cell>
          <cell r="H2136">
            <v>122.25000000000003</v>
          </cell>
          <cell r="I2136">
            <v>6918.84</v>
          </cell>
          <cell r="J2136">
            <v>0</v>
          </cell>
          <cell r="K2136">
            <v>0</v>
          </cell>
          <cell r="M2136">
            <v>0</v>
          </cell>
          <cell r="P2136">
            <v>6919</v>
          </cell>
          <cell r="V2136" t="str">
            <v>Available</v>
          </cell>
        </row>
        <row r="2137">
          <cell r="E2137">
            <v>10090049</v>
          </cell>
          <cell r="H2137">
            <v>93.990000000000009</v>
          </cell>
          <cell r="I2137">
            <v>5299.38</v>
          </cell>
          <cell r="J2137">
            <v>0</v>
          </cell>
          <cell r="K2137">
            <v>0</v>
          </cell>
          <cell r="M2137">
            <v>0</v>
          </cell>
          <cell r="P2137">
            <v>5299</v>
          </cell>
          <cell r="V2137" t="str">
            <v>Available</v>
          </cell>
        </row>
        <row r="2138">
          <cell r="E2138">
            <v>10090056</v>
          </cell>
          <cell r="H2138">
            <v>1.2200000000000002</v>
          </cell>
          <cell r="I2138">
            <v>58.62</v>
          </cell>
          <cell r="J2138">
            <v>0</v>
          </cell>
          <cell r="K2138">
            <v>58.62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E2139">
            <v>10090056</v>
          </cell>
          <cell r="H2139">
            <v>202.43</v>
          </cell>
          <cell r="I2139">
            <v>9408.56</v>
          </cell>
          <cell r="J2139">
            <v>0</v>
          </cell>
          <cell r="K2139">
            <v>0</v>
          </cell>
          <cell r="M2139">
            <v>0</v>
          </cell>
          <cell r="P2139">
            <v>6330</v>
          </cell>
          <cell r="V2139" t="str">
            <v>Available</v>
          </cell>
        </row>
        <row r="2140">
          <cell r="E2140">
            <v>10090056</v>
          </cell>
          <cell r="H2140">
            <v>33.119999999999997</v>
          </cell>
          <cell r="I2140">
            <v>1584.9999999999998</v>
          </cell>
          <cell r="J2140">
            <v>0</v>
          </cell>
          <cell r="K2140">
            <v>0</v>
          </cell>
          <cell r="M2140">
            <v>0</v>
          </cell>
          <cell r="P2140">
            <v>1585</v>
          </cell>
          <cell r="V2140" t="str">
            <v>Available</v>
          </cell>
        </row>
        <row r="2141">
          <cell r="E2141">
            <v>10090056</v>
          </cell>
          <cell r="H2141">
            <v>23.71</v>
          </cell>
          <cell r="I2141">
            <v>1121.55</v>
          </cell>
          <cell r="J2141">
            <v>0</v>
          </cell>
          <cell r="K2141">
            <v>0</v>
          </cell>
          <cell r="M2141">
            <v>0</v>
          </cell>
          <cell r="P2141">
            <v>1122</v>
          </cell>
          <cell r="V2141" t="str">
            <v>Available</v>
          </cell>
        </row>
        <row r="2142">
          <cell r="E2142">
            <v>10090058</v>
          </cell>
          <cell r="H2142">
            <v>567</v>
          </cell>
          <cell r="I2142">
            <v>23940.44</v>
          </cell>
          <cell r="J2142">
            <v>0</v>
          </cell>
          <cell r="K2142">
            <v>0</v>
          </cell>
          <cell r="M2142">
            <v>0</v>
          </cell>
          <cell r="P2142">
            <v>23940</v>
          </cell>
          <cell r="V2142" t="str">
            <v>Available</v>
          </cell>
        </row>
        <row r="2143">
          <cell r="E2143">
            <v>10090058</v>
          </cell>
          <cell r="H2143">
            <v>8</v>
          </cell>
          <cell r="I2143">
            <v>360.32</v>
          </cell>
          <cell r="J2143">
            <v>0</v>
          </cell>
          <cell r="K2143">
            <v>0</v>
          </cell>
          <cell r="M2143">
            <v>0</v>
          </cell>
          <cell r="P2143">
            <v>360</v>
          </cell>
          <cell r="V2143" t="str">
            <v>Available</v>
          </cell>
        </row>
        <row r="2144">
          <cell r="E2144">
            <v>10090058</v>
          </cell>
          <cell r="H2144">
            <v>8</v>
          </cell>
          <cell r="I2144">
            <v>360.32</v>
          </cell>
          <cell r="J2144">
            <v>0</v>
          </cell>
          <cell r="K2144">
            <v>0</v>
          </cell>
          <cell r="M2144">
            <v>0</v>
          </cell>
          <cell r="P2144">
            <v>360</v>
          </cell>
          <cell r="V2144" t="str">
            <v>Available</v>
          </cell>
        </row>
        <row r="2145">
          <cell r="E2145">
            <v>10090059</v>
          </cell>
          <cell r="H2145">
            <v>153.42000000000002</v>
          </cell>
          <cell r="I2145">
            <v>12832.35</v>
          </cell>
          <cell r="J2145">
            <v>0</v>
          </cell>
          <cell r="K2145">
            <v>0</v>
          </cell>
          <cell r="M2145">
            <v>0</v>
          </cell>
          <cell r="P2145">
            <v>2127</v>
          </cell>
          <cell r="V2145" t="str">
            <v>Available</v>
          </cell>
        </row>
        <row r="2146">
          <cell r="E2146">
            <v>10090059</v>
          </cell>
          <cell r="H2146">
            <v>2.66</v>
          </cell>
          <cell r="I2146">
            <v>236.15</v>
          </cell>
          <cell r="J2146">
            <v>0</v>
          </cell>
          <cell r="K2146">
            <v>0</v>
          </cell>
          <cell r="M2146">
            <v>0</v>
          </cell>
          <cell r="P2146">
            <v>236</v>
          </cell>
          <cell r="V2146" t="str">
            <v>Available</v>
          </cell>
        </row>
        <row r="2147">
          <cell r="E2147">
            <v>10090059</v>
          </cell>
          <cell r="H2147">
            <v>14.69</v>
          </cell>
          <cell r="I2147">
            <v>682.44999999999993</v>
          </cell>
          <cell r="J2147">
            <v>0</v>
          </cell>
          <cell r="K2147">
            <v>0</v>
          </cell>
          <cell r="M2147">
            <v>0</v>
          </cell>
          <cell r="P2147">
            <v>682</v>
          </cell>
          <cell r="V2147" t="str">
            <v>Available</v>
          </cell>
        </row>
        <row r="2148">
          <cell r="E2148">
            <v>10090059</v>
          </cell>
          <cell r="H2148">
            <v>19.52</v>
          </cell>
          <cell r="I2148">
            <v>1564.6599999999999</v>
          </cell>
          <cell r="J2148">
            <v>0</v>
          </cell>
          <cell r="K2148">
            <v>0</v>
          </cell>
          <cell r="M2148">
            <v>0</v>
          </cell>
          <cell r="P2148">
            <v>1565</v>
          </cell>
          <cell r="V2148" t="str">
            <v>Available</v>
          </cell>
        </row>
        <row r="2149">
          <cell r="E2149">
            <v>10090059</v>
          </cell>
          <cell r="H2149">
            <v>25.869999999999997</v>
          </cell>
          <cell r="I2149">
            <v>2238.5100000000002</v>
          </cell>
          <cell r="J2149">
            <v>0</v>
          </cell>
          <cell r="K2149">
            <v>0</v>
          </cell>
          <cell r="M2149">
            <v>0</v>
          </cell>
          <cell r="P2149">
            <v>2239</v>
          </cell>
          <cell r="V2149" t="str">
            <v>Available</v>
          </cell>
        </row>
        <row r="2150">
          <cell r="E2150">
            <v>10090060</v>
          </cell>
          <cell r="H2150">
            <v>98</v>
          </cell>
          <cell r="I2150">
            <v>4977.2299999999996</v>
          </cell>
          <cell r="J2150">
            <v>0</v>
          </cell>
          <cell r="K2150">
            <v>0</v>
          </cell>
          <cell r="M2150">
            <v>0</v>
          </cell>
          <cell r="P2150">
            <v>4334</v>
          </cell>
          <cell r="V2150" t="str">
            <v>Available</v>
          </cell>
        </row>
        <row r="2151">
          <cell r="E2151">
            <v>10090061</v>
          </cell>
          <cell r="H2151">
            <v>86</v>
          </cell>
          <cell r="I2151">
            <v>3672.0000000000005</v>
          </cell>
          <cell r="J2151">
            <v>0</v>
          </cell>
          <cell r="K2151">
            <v>0</v>
          </cell>
          <cell r="M2151">
            <v>0</v>
          </cell>
          <cell r="P2151">
            <v>3172</v>
          </cell>
          <cell r="V2151" t="str">
            <v>Available</v>
          </cell>
        </row>
        <row r="2152">
          <cell r="E2152">
            <v>10090063</v>
          </cell>
          <cell r="H2152">
            <v>89.6</v>
          </cell>
          <cell r="I2152">
            <v>5158.9399999999996</v>
          </cell>
          <cell r="J2152">
            <v>0</v>
          </cell>
          <cell r="K2152">
            <v>0</v>
          </cell>
          <cell r="M2152">
            <v>0</v>
          </cell>
          <cell r="P2152">
            <v>4659</v>
          </cell>
          <cell r="V2152" t="str">
            <v>Available</v>
          </cell>
        </row>
        <row r="2153">
          <cell r="E2153">
            <v>10090064</v>
          </cell>
          <cell r="H2153">
            <v>289.39999999999998</v>
          </cell>
          <cell r="I2153">
            <v>14136.069999999998</v>
          </cell>
          <cell r="J2153">
            <v>0</v>
          </cell>
          <cell r="K2153">
            <v>0</v>
          </cell>
          <cell r="M2153">
            <v>0</v>
          </cell>
          <cell r="P2153">
            <v>13847</v>
          </cell>
          <cell r="V2153" t="str">
            <v>Available</v>
          </cell>
        </row>
        <row r="2154">
          <cell r="E2154">
            <v>10090064</v>
          </cell>
          <cell r="H2154">
            <v>13.799999999999999</v>
          </cell>
          <cell r="I2154">
            <v>875.87999999999988</v>
          </cell>
          <cell r="J2154">
            <v>0</v>
          </cell>
          <cell r="K2154">
            <v>0</v>
          </cell>
          <cell r="M2154">
            <v>0</v>
          </cell>
          <cell r="P2154">
            <v>876</v>
          </cell>
          <cell r="V2154" t="str">
            <v>Available</v>
          </cell>
        </row>
        <row r="2155">
          <cell r="E2155">
            <v>10090064</v>
          </cell>
          <cell r="H2155">
            <v>10.85</v>
          </cell>
          <cell r="I2155">
            <v>770.24</v>
          </cell>
          <cell r="J2155">
            <v>0</v>
          </cell>
          <cell r="K2155">
            <v>0</v>
          </cell>
          <cell r="M2155">
            <v>0</v>
          </cell>
          <cell r="P2155">
            <v>770</v>
          </cell>
          <cell r="V2155" t="str">
            <v>Available</v>
          </cell>
        </row>
        <row r="2156">
          <cell r="E2156">
            <v>10090064</v>
          </cell>
          <cell r="H2156">
            <v>125.13</v>
          </cell>
          <cell r="I2156">
            <v>6048.3</v>
          </cell>
          <cell r="J2156">
            <v>0</v>
          </cell>
          <cell r="K2156">
            <v>0</v>
          </cell>
          <cell r="M2156">
            <v>0</v>
          </cell>
          <cell r="P2156">
            <v>6048</v>
          </cell>
          <cell r="V2156" t="str">
            <v>Not Available</v>
          </cell>
        </row>
        <row r="2157">
          <cell r="E2157">
            <v>10090064</v>
          </cell>
          <cell r="H2157">
            <v>0.63</v>
          </cell>
          <cell r="I2157">
            <v>42.58</v>
          </cell>
          <cell r="J2157">
            <v>0</v>
          </cell>
          <cell r="K2157">
            <v>0</v>
          </cell>
          <cell r="M2157">
            <v>0</v>
          </cell>
          <cell r="P2157">
            <v>43</v>
          </cell>
          <cell r="V2157" t="str">
            <v>Not Available</v>
          </cell>
        </row>
        <row r="2158">
          <cell r="E2158">
            <v>10090065</v>
          </cell>
          <cell r="H2158">
            <v>569.03000000000009</v>
          </cell>
          <cell r="I2158">
            <v>23018.799999999999</v>
          </cell>
          <cell r="J2158">
            <v>0</v>
          </cell>
          <cell r="K2158">
            <v>0</v>
          </cell>
          <cell r="M2158">
            <v>0</v>
          </cell>
          <cell r="P2158">
            <v>21763</v>
          </cell>
          <cell r="V2158" t="str">
            <v>Available</v>
          </cell>
        </row>
        <row r="2159">
          <cell r="E2159">
            <v>10090065</v>
          </cell>
          <cell r="H2159">
            <v>25.619999999999997</v>
          </cell>
          <cell r="I2159">
            <v>1510.6000000000001</v>
          </cell>
          <cell r="J2159">
            <v>0</v>
          </cell>
          <cell r="K2159">
            <v>0</v>
          </cell>
          <cell r="M2159">
            <v>0</v>
          </cell>
          <cell r="P2159">
            <v>1511</v>
          </cell>
          <cell r="V2159" t="str">
            <v>Available</v>
          </cell>
        </row>
        <row r="2160">
          <cell r="E2160">
            <v>10090065</v>
          </cell>
          <cell r="H2160">
            <v>77.399999999999991</v>
          </cell>
          <cell r="I2160">
            <v>4261.1399999999994</v>
          </cell>
          <cell r="J2160">
            <v>0</v>
          </cell>
          <cell r="K2160">
            <v>0</v>
          </cell>
          <cell r="M2160">
            <v>0</v>
          </cell>
          <cell r="P2160">
            <v>4261</v>
          </cell>
          <cell r="V2160" t="str">
            <v>Available</v>
          </cell>
        </row>
        <row r="2161">
          <cell r="E2161">
            <v>10090065</v>
          </cell>
          <cell r="H2161">
            <v>27.990000000000002</v>
          </cell>
          <cell r="I2161">
            <v>2068.36</v>
          </cell>
          <cell r="J2161">
            <v>0</v>
          </cell>
          <cell r="K2161">
            <v>0</v>
          </cell>
          <cell r="M2161">
            <v>0</v>
          </cell>
          <cell r="P2161">
            <v>2068</v>
          </cell>
          <cell r="V2161" t="str">
            <v>Available</v>
          </cell>
        </row>
        <row r="2162">
          <cell r="E2162">
            <v>10090072</v>
          </cell>
          <cell r="H2162">
            <v>240.74999999999997</v>
          </cell>
          <cell r="I2162">
            <v>9658.7200000000012</v>
          </cell>
          <cell r="J2162">
            <v>0</v>
          </cell>
          <cell r="K2162">
            <v>0</v>
          </cell>
          <cell r="M2162">
            <v>0</v>
          </cell>
          <cell r="P2162">
            <v>9588</v>
          </cell>
          <cell r="V2162" t="str">
            <v>Available</v>
          </cell>
        </row>
        <row r="2163">
          <cell r="E2163">
            <v>10090074</v>
          </cell>
          <cell r="H2163">
            <v>70.63</v>
          </cell>
          <cell r="I2163">
            <v>3076.59</v>
          </cell>
          <cell r="J2163">
            <v>0</v>
          </cell>
          <cell r="K2163">
            <v>0</v>
          </cell>
          <cell r="M2163">
            <v>0</v>
          </cell>
          <cell r="P2163">
            <v>1989</v>
          </cell>
          <cell r="V2163" t="str">
            <v>Available</v>
          </cell>
        </row>
        <row r="2164">
          <cell r="E2164">
            <v>10090074</v>
          </cell>
          <cell r="H2164">
            <v>156.66000000000003</v>
          </cell>
          <cell r="I2164">
            <v>6695.1999999999989</v>
          </cell>
          <cell r="J2164">
            <v>0</v>
          </cell>
          <cell r="K2164">
            <v>0</v>
          </cell>
          <cell r="M2164">
            <v>0</v>
          </cell>
          <cell r="P2164">
            <v>6695</v>
          </cell>
          <cell r="V2164" t="str">
            <v>Available</v>
          </cell>
        </row>
        <row r="2165">
          <cell r="E2165">
            <v>10090074</v>
          </cell>
          <cell r="H2165">
            <v>93.86</v>
          </cell>
          <cell r="I2165">
            <v>4647.04</v>
          </cell>
          <cell r="J2165">
            <v>0</v>
          </cell>
          <cell r="K2165">
            <v>0</v>
          </cell>
          <cell r="M2165">
            <v>0</v>
          </cell>
          <cell r="P2165">
            <v>4647</v>
          </cell>
          <cell r="V2165" t="str">
            <v>Available</v>
          </cell>
        </row>
        <row r="2166">
          <cell r="E2166">
            <v>10090078</v>
          </cell>
          <cell r="H2166">
            <v>266.79999999999995</v>
          </cell>
          <cell r="I2166">
            <v>9173.73</v>
          </cell>
          <cell r="J2166">
            <v>0</v>
          </cell>
          <cell r="K2166">
            <v>0</v>
          </cell>
          <cell r="M2166">
            <v>0</v>
          </cell>
          <cell r="P2166">
            <v>8617</v>
          </cell>
          <cell r="V2166" t="str">
            <v>Available</v>
          </cell>
        </row>
        <row r="2167">
          <cell r="E2167">
            <v>10090079</v>
          </cell>
          <cell r="H2167">
            <v>232.5</v>
          </cell>
          <cell r="I2167">
            <v>9164.36</v>
          </cell>
          <cell r="J2167">
            <v>0</v>
          </cell>
          <cell r="K2167">
            <v>0</v>
          </cell>
          <cell r="M2167">
            <v>0</v>
          </cell>
          <cell r="P2167">
            <v>8686</v>
          </cell>
          <cell r="V2167" t="str">
            <v>Available</v>
          </cell>
        </row>
        <row r="2168">
          <cell r="E2168">
            <v>10090080</v>
          </cell>
          <cell r="H2168">
            <v>248</v>
          </cell>
          <cell r="I2168">
            <v>12369.94</v>
          </cell>
          <cell r="J2168">
            <v>0</v>
          </cell>
          <cell r="K2168">
            <v>0</v>
          </cell>
          <cell r="M2168">
            <v>0</v>
          </cell>
          <cell r="P2168">
            <v>10490</v>
          </cell>
          <cell r="V2168" t="str">
            <v>Available</v>
          </cell>
        </row>
        <row r="2169">
          <cell r="E2169">
            <v>10090080</v>
          </cell>
          <cell r="H2169">
            <v>53.1</v>
          </cell>
          <cell r="I2169">
            <v>2619.54</v>
          </cell>
          <cell r="J2169">
            <v>0</v>
          </cell>
          <cell r="K2169">
            <v>0</v>
          </cell>
          <cell r="M2169">
            <v>0</v>
          </cell>
          <cell r="P2169">
            <v>2620</v>
          </cell>
          <cell r="V2169" t="str">
            <v>Available</v>
          </cell>
        </row>
        <row r="2170">
          <cell r="E2170">
            <v>10090080</v>
          </cell>
          <cell r="H2170">
            <v>33</v>
          </cell>
          <cell r="I2170">
            <v>1602.6000000000001</v>
          </cell>
          <cell r="J2170">
            <v>0</v>
          </cell>
          <cell r="K2170">
            <v>0</v>
          </cell>
          <cell r="M2170">
            <v>0</v>
          </cell>
          <cell r="P2170">
            <v>1603</v>
          </cell>
          <cell r="V2170" t="str">
            <v>Available</v>
          </cell>
        </row>
        <row r="2171">
          <cell r="E2171">
            <v>10090080</v>
          </cell>
          <cell r="H2171">
            <v>122</v>
          </cell>
          <cell r="I2171">
            <v>6052.76</v>
          </cell>
          <cell r="J2171">
            <v>0</v>
          </cell>
          <cell r="K2171">
            <v>0</v>
          </cell>
          <cell r="M2171">
            <v>0</v>
          </cell>
          <cell r="P2171">
            <v>6053</v>
          </cell>
          <cell r="V2171" t="str">
            <v>Available</v>
          </cell>
        </row>
        <row r="2172">
          <cell r="E2172">
            <v>10090080</v>
          </cell>
          <cell r="H2172">
            <v>94.8</v>
          </cell>
          <cell r="I2172">
            <v>4588.55</v>
          </cell>
          <cell r="J2172">
            <v>0</v>
          </cell>
          <cell r="K2172">
            <v>0</v>
          </cell>
          <cell r="M2172">
            <v>0</v>
          </cell>
          <cell r="P2172">
            <v>4589</v>
          </cell>
          <cell r="V2172" t="str">
            <v>Not Available</v>
          </cell>
        </row>
        <row r="2173">
          <cell r="E2173">
            <v>10090080</v>
          </cell>
          <cell r="H2173">
            <v>68.3</v>
          </cell>
          <cell r="I2173">
            <v>3200.0499999999997</v>
          </cell>
          <cell r="J2173">
            <v>0</v>
          </cell>
          <cell r="K2173">
            <v>0</v>
          </cell>
          <cell r="M2173">
            <v>0</v>
          </cell>
          <cell r="P2173">
            <v>3200</v>
          </cell>
          <cell r="V2173" t="str">
            <v>Not Available</v>
          </cell>
        </row>
        <row r="2174">
          <cell r="E2174">
            <v>10100001</v>
          </cell>
          <cell r="H2174">
            <v>4.4800000000000004</v>
          </cell>
          <cell r="I2174">
            <v>179.28</v>
          </cell>
          <cell r="J2174">
            <v>0</v>
          </cell>
          <cell r="K2174">
            <v>179.28</v>
          </cell>
          <cell r="M2174">
            <v>0</v>
          </cell>
          <cell r="P2174">
            <v>0</v>
          </cell>
          <cell r="V2174" t="str">
            <v>Not Available</v>
          </cell>
        </row>
        <row r="2175">
          <cell r="E2175">
            <v>10100001</v>
          </cell>
          <cell r="H2175">
            <v>28.48</v>
          </cell>
          <cell r="I2175">
            <v>1214.3399999999999</v>
          </cell>
          <cell r="J2175">
            <v>0</v>
          </cell>
          <cell r="K2175">
            <v>0</v>
          </cell>
          <cell r="M2175">
            <v>0</v>
          </cell>
          <cell r="P2175">
            <v>1214</v>
          </cell>
          <cell r="V2175" t="str">
            <v>Available</v>
          </cell>
        </row>
        <row r="2176">
          <cell r="E2176">
            <v>10100001</v>
          </cell>
          <cell r="H2176">
            <v>109.88</v>
          </cell>
          <cell r="I2176">
            <v>3834.57</v>
          </cell>
          <cell r="J2176">
            <v>0</v>
          </cell>
          <cell r="K2176">
            <v>0</v>
          </cell>
          <cell r="M2176">
            <v>0</v>
          </cell>
          <cell r="P2176">
            <v>3835</v>
          </cell>
          <cell r="V2176" t="str">
            <v>Available</v>
          </cell>
        </row>
        <row r="2177">
          <cell r="E2177">
            <v>10100001</v>
          </cell>
          <cell r="H2177">
            <v>38.950000000000003</v>
          </cell>
          <cell r="I2177">
            <v>1666.36</v>
          </cell>
          <cell r="J2177">
            <v>0</v>
          </cell>
          <cell r="K2177">
            <v>0</v>
          </cell>
          <cell r="M2177">
            <v>0</v>
          </cell>
          <cell r="P2177">
            <v>1666</v>
          </cell>
          <cell r="V2177" t="str">
            <v>Available</v>
          </cell>
        </row>
        <row r="2178">
          <cell r="E2178">
            <v>10100001</v>
          </cell>
          <cell r="H2178">
            <v>110.50999999999998</v>
          </cell>
          <cell r="I2178">
            <v>4226.5800000000008</v>
          </cell>
          <cell r="J2178">
            <v>0</v>
          </cell>
          <cell r="K2178">
            <v>0</v>
          </cell>
          <cell r="M2178">
            <v>0</v>
          </cell>
          <cell r="P2178">
            <v>4227</v>
          </cell>
          <cell r="V2178" t="str">
            <v>Available</v>
          </cell>
        </row>
        <row r="2179">
          <cell r="E2179">
            <v>10100001</v>
          </cell>
          <cell r="H2179">
            <v>216.23000000000002</v>
          </cell>
          <cell r="I2179">
            <v>9262.0300000000007</v>
          </cell>
          <cell r="J2179">
            <v>0</v>
          </cell>
          <cell r="K2179">
            <v>0</v>
          </cell>
          <cell r="M2179">
            <v>0</v>
          </cell>
          <cell r="P2179">
            <v>9262</v>
          </cell>
          <cell r="V2179" t="str">
            <v>Available</v>
          </cell>
        </row>
        <row r="2180">
          <cell r="E2180">
            <v>10100001</v>
          </cell>
          <cell r="H2180">
            <v>106.17999999999999</v>
          </cell>
          <cell r="I2180">
            <v>4235.9600000000009</v>
          </cell>
          <cell r="J2180">
            <v>0</v>
          </cell>
          <cell r="K2180">
            <v>0</v>
          </cell>
          <cell r="M2180">
            <v>0</v>
          </cell>
          <cell r="P2180">
            <v>4236</v>
          </cell>
          <cell r="V2180" t="str">
            <v>Available</v>
          </cell>
        </row>
        <row r="2181">
          <cell r="E2181">
            <v>10100001</v>
          </cell>
          <cell r="H2181">
            <v>24.03</v>
          </cell>
          <cell r="I2181">
            <v>953.42</v>
          </cell>
          <cell r="J2181">
            <v>0</v>
          </cell>
          <cell r="K2181">
            <v>0</v>
          </cell>
          <cell r="M2181">
            <v>0</v>
          </cell>
          <cell r="P2181">
            <v>953</v>
          </cell>
          <cell r="V2181" t="str">
            <v>Available</v>
          </cell>
        </row>
        <row r="2182">
          <cell r="E2182">
            <v>10100001</v>
          </cell>
          <cell r="H2182">
            <v>27.45</v>
          </cell>
          <cell r="I2182">
            <v>1081.6300000000001</v>
          </cell>
          <cell r="J2182">
            <v>0</v>
          </cell>
          <cell r="K2182">
            <v>0</v>
          </cell>
          <cell r="M2182">
            <v>0</v>
          </cell>
          <cell r="P2182">
            <v>1082</v>
          </cell>
          <cell r="V2182" t="str">
            <v>Available</v>
          </cell>
        </row>
        <row r="2183">
          <cell r="E2183">
            <v>10100001</v>
          </cell>
          <cell r="H2183">
            <v>125.53</v>
          </cell>
          <cell r="I2183">
            <v>5097.84</v>
          </cell>
          <cell r="J2183">
            <v>0</v>
          </cell>
          <cell r="K2183">
            <v>0</v>
          </cell>
          <cell r="M2183">
            <v>0</v>
          </cell>
          <cell r="P2183">
            <v>5098</v>
          </cell>
          <cell r="V2183" t="str">
            <v>Available</v>
          </cell>
        </row>
        <row r="2184">
          <cell r="E2184">
            <v>10100001</v>
          </cell>
          <cell r="H2184">
            <v>33.21</v>
          </cell>
          <cell r="I2184">
            <v>1217.8399999999999</v>
          </cell>
          <cell r="J2184">
            <v>0</v>
          </cell>
          <cell r="K2184">
            <v>0</v>
          </cell>
          <cell r="M2184">
            <v>0</v>
          </cell>
          <cell r="P2184">
            <v>1218</v>
          </cell>
          <cell r="V2184" t="str">
            <v>Available</v>
          </cell>
        </row>
        <row r="2185">
          <cell r="E2185">
            <v>10100003</v>
          </cell>
          <cell r="H2185">
            <v>7</v>
          </cell>
          <cell r="I2185">
            <v>360.95999999999992</v>
          </cell>
          <cell r="J2185">
            <v>0</v>
          </cell>
          <cell r="K2185">
            <v>360.95999999999992</v>
          </cell>
          <cell r="M2185">
            <v>0</v>
          </cell>
          <cell r="P2185">
            <v>0</v>
          </cell>
          <cell r="V2185" t="str">
            <v>Not Available</v>
          </cell>
        </row>
        <row r="2186">
          <cell r="E2186">
            <v>10100003</v>
          </cell>
          <cell r="H2186">
            <v>492</v>
          </cell>
          <cell r="I2186">
            <v>21853.709999999995</v>
          </cell>
          <cell r="J2186">
            <v>0</v>
          </cell>
          <cell r="K2186">
            <v>0</v>
          </cell>
          <cell r="M2186">
            <v>0</v>
          </cell>
          <cell r="P2186">
            <v>16489</v>
          </cell>
          <cell r="V2186" t="str">
            <v>Available</v>
          </cell>
        </row>
        <row r="2187">
          <cell r="E2187">
            <v>10100003</v>
          </cell>
          <cell r="H2187">
            <v>423</v>
          </cell>
          <cell r="I2187">
            <v>18146.78</v>
          </cell>
          <cell r="J2187">
            <v>0</v>
          </cell>
          <cell r="K2187">
            <v>0</v>
          </cell>
          <cell r="M2187">
            <v>0</v>
          </cell>
          <cell r="P2187">
            <v>18147</v>
          </cell>
          <cell r="V2187" t="str">
            <v>Available</v>
          </cell>
        </row>
        <row r="2188">
          <cell r="E2188">
            <v>10100003</v>
          </cell>
          <cell r="H2188">
            <v>329.5</v>
          </cell>
          <cell r="I2188">
            <v>14449.97</v>
          </cell>
          <cell r="J2188">
            <v>0</v>
          </cell>
          <cell r="K2188">
            <v>0</v>
          </cell>
          <cell r="M2188">
            <v>0</v>
          </cell>
          <cell r="P2188">
            <v>14450</v>
          </cell>
          <cell r="V2188" t="str">
            <v>Available</v>
          </cell>
        </row>
        <row r="2189">
          <cell r="E2189">
            <v>10100003</v>
          </cell>
          <cell r="H2189">
            <v>374.7</v>
          </cell>
          <cell r="I2189">
            <v>18179</v>
          </cell>
          <cell r="J2189">
            <v>0</v>
          </cell>
          <cell r="K2189">
            <v>0</v>
          </cell>
          <cell r="M2189">
            <v>0</v>
          </cell>
          <cell r="P2189">
            <v>18179</v>
          </cell>
          <cell r="V2189" t="str">
            <v>Available</v>
          </cell>
        </row>
        <row r="2190">
          <cell r="E2190">
            <v>10100009</v>
          </cell>
          <cell r="H2190">
            <v>561.1099999999999</v>
          </cell>
          <cell r="I2190">
            <v>23339.32</v>
          </cell>
          <cell r="J2190">
            <v>0</v>
          </cell>
          <cell r="K2190">
            <v>0</v>
          </cell>
          <cell r="M2190">
            <v>0</v>
          </cell>
          <cell r="P2190">
            <v>14169</v>
          </cell>
          <cell r="V2190" t="str">
            <v>Available</v>
          </cell>
        </row>
        <row r="2191">
          <cell r="E2191">
            <v>10100009</v>
          </cell>
          <cell r="H2191">
            <v>886.9899999999999</v>
          </cell>
          <cell r="I2191">
            <v>46902.26999999999</v>
          </cell>
          <cell r="J2191">
            <v>0</v>
          </cell>
          <cell r="K2191">
            <v>0</v>
          </cell>
          <cell r="M2191">
            <v>0</v>
          </cell>
          <cell r="P2191">
            <v>46902</v>
          </cell>
          <cell r="V2191" t="str">
            <v>Available</v>
          </cell>
        </row>
        <row r="2192">
          <cell r="E2192">
            <v>10100014</v>
          </cell>
          <cell r="H2192">
            <v>106.47999999999999</v>
          </cell>
          <cell r="I2192">
            <v>4570.32</v>
          </cell>
          <cell r="J2192">
            <v>0</v>
          </cell>
          <cell r="K2192">
            <v>0</v>
          </cell>
          <cell r="M2192">
            <v>0</v>
          </cell>
          <cell r="P2192">
            <v>4570</v>
          </cell>
          <cell r="V2192" t="str">
            <v>Available</v>
          </cell>
        </row>
        <row r="2193">
          <cell r="E2193">
            <v>10100014</v>
          </cell>
          <cell r="H2193">
            <v>220.67999999999998</v>
          </cell>
          <cell r="I2193">
            <v>9427.75</v>
          </cell>
          <cell r="J2193">
            <v>0</v>
          </cell>
          <cell r="K2193">
            <v>0</v>
          </cell>
          <cell r="M2193">
            <v>0</v>
          </cell>
          <cell r="P2193">
            <v>9428</v>
          </cell>
          <cell r="V2193" t="str">
            <v>Available</v>
          </cell>
        </row>
        <row r="2194">
          <cell r="E2194">
            <v>10100014</v>
          </cell>
          <cell r="H2194">
            <v>8.9599999999999991</v>
          </cell>
          <cell r="I2194">
            <v>384.36</v>
          </cell>
          <cell r="J2194">
            <v>0</v>
          </cell>
          <cell r="K2194">
            <v>0</v>
          </cell>
          <cell r="M2194">
            <v>0</v>
          </cell>
          <cell r="P2194">
            <v>384</v>
          </cell>
          <cell r="V2194" t="str">
            <v>Available</v>
          </cell>
        </row>
        <row r="2195">
          <cell r="E2195">
            <v>10100014</v>
          </cell>
          <cell r="H2195">
            <v>45.800000000000004</v>
          </cell>
          <cell r="I2195">
            <v>1962.56</v>
          </cell>
          <cell r="J2195">
            <v>0</v>
          </cell>
          <cell r="K2195">
            <v>0</v>
          </cell>
          <cell r="M2195">
            <v>0</v>
          </cell>
          <cell r="P2195">
            <v>1963</v>
          </cell>
          <cell r="V2195" t="str">
            <v>Available</v>
          </cell>
        </row>
        <row r="2196">
          <cell r="E2196">
            <v>10100015</v>
          </cell>
          <cell r="H2196">
            <v>99.9</v>
          </cell>
          <cell r="I2196">
            <v>4903.09</v>
          </cell>
          <cell r="J2196">
            <v>0</v>
          </cell>
          <cell r="K2196">
            <v>0</v>
          </cell>
          <cell r="M2196">
            <v>0</v>
          </cell>
          <cell r="P2196">
            <v>4324</v>
          </cell>
          <cell r="V2196" t="str">
            <v>Available</v>
          </cell>
        </row>
        <row r="2197">
          <cell r="E2197">
            <v>10100016</v>
          </cell>
          <cell r="H2197">
            <v>180.3</v>
          </cell>
          <cell r="I2197">
            <v>7656.98</v>
          </cell>
          <cell r="J2197">
            <v>0</v>
          </cell>
          <cell r="K2197">
            <v>0</v>
          </cell>
          <cell r="M2197">
            <v>0</v>
          </cell>
          <cell r="P2197">
            <v>7657</v>
          </cell>
          <cell r="V2197" t="str">
            <v>Available</v>
          </cell>
        </row>
        <row r="2198">
          <cell r="E2198">
            <v>10100021</v>
          </cell>
          <cell r="H2198">
            <v>1.4000000000000001</v>
          </cell>
          <cell r="I2198">
            <v>58.67</v>
          </cell>
          <cell r="J2198">
            <v>0</v>
          </cell>
          <cell r="K2198">
            <v>58.67</v>
          </cell>
          <cell r="M2198">
            <v>0</v>
          </cell>
          <cell r="P2198">
            <v>0</v>
          </cell>
          <cell r="V2198" t="str">
            <v>Not Available</v>
          </cell>
        </row>
        <row r="2199">
          <cell r="E2199">
            <v>10100021</v>
          </cell>
          <cell r="H2199">
            <v>56.9</v>
          </cell>
          <cell r="I2199">
            <v>2317.6800000000003</v>
          </cell>
          <cell r="J2199">
            <v>0</v>
          </cell>
          <cell r="K2199">
            <v>0</v>
          </cell>
          <cell r="M2199">
            <v>0</v>
          </cell>
          <cell r="P2199">
            <v>2238</v>
          </cell>
          <cell r="V2199" t="str">
            <v>Available</v>
          </cell>
        </row>
        <row r="2200">
          <cell r="E2200">
            <v>10100021</v>
          </cell>
          <cell r="H2200">
            <v>433.10000000000008</v>
          </cell>
          <cell r="I2200">
            <v>18017.580000000002</v>
          </cell>
          <cell r="J2200">
            <v>0</v>
          </cell>
          <cell r="K2200">
            <v>0</v>
          </cell>
          <cell r="M2200">
            <v>0</v>
          </cell>
          <cell r="P2200">
            <v>18018</v>
          </cell>
          <cell r="V2200" t="str">
            <v>Available</v>
          </cell>
        </row>
        <row r="2201">
          <cell r="E2201">
            <v>10100021</v>
          </cell>
          <cell r="H2201">
            <v>35.200000000000003</v>
          </cell>
          <cell r="I2201">
            <v>1441.1599999999999</v>
          </cell>
          <cell r="J2201">
            <v>0</v>
          </cell>
          <cell r="K2201">
            <v>0</v>
          </cell>
          <cell r="M2201">
            <v>0</v>
          </cell>
          <cell r="P2201">
            <v>1441</v>
          </cell>
          <cell r="V2201" t="str">
            <v>Available</v>
          </cell>
        </row>
        <row r="2202">
          <cell r="E2202">
            <v>10100035</v>
          </cell>
          <cell r="H2202">
            <v>337.6</v>
          </cell>
          <cell r="I2202">
            <v>18604.04</v>
          </cell>
          <cell r="J2202">
            <v>0</v>
          </cell>
          <cell r="K2202">
            <v>0</v>
          </cell>
          <cell r="M2202">
            <v>0</v>
          </cell>
          <cell r="P2202">
            <v>10743</v>
          </cell>
          <cell r="V2202" t="str">
            <v>Available</v>
          </cell>
        </row>
        <row r="2203">
          <cell r="E2203">
            <v>10100037</v>
          </cell>
          <cell r="H2203">
            <v>134</v>
          </cell>
          <cell r="I2203">
            <v>6440.0800000000008</v>
          </cell>
          <cell r="J2203">
            <v>0</v>
          </cell>
          <cell r="K2203">
            <v>0</v>
          </cell>
          <cell r="M2203">
            <v>0</v>
          </cell>
          <cell r="P2203">
            <v>5927</v>
          </cell>
          <cell r="V2203" t="str">
            <v>Available</v>
          </cell>
        </row>
        <row r="2204">
          <cell r="E2204">
            <v>10100037</v>
          </cell>
          <cell r="H2204">
            <v>107.2</v>
          </cell>
          <cell r="I2204">
            <v>5254.2900000000009</v>
          </cell>
          <cell r="J2204">
            <v>0</v>
          </cell>
          <cell r="K2204">
            <v>0</v>
          </cell>
          <cell r="M2204">
            <v>0</v>
          </cell>
          <cell r="P2204">
            <v>5254</v>
          </cell>
          <cell r="V2204" t="str">
            <v>Available</v>
          </cell>
        </row>
        <row r="2205">
          <cell r="E2205">
            <v>10100045</v>
          </cell>
          <cell r="H2205">
            <v>4.55</v>
          </cell>
          <cell r="I2205">
            <v>178.46</v>
          </cell>
          <cell r="J2205">
            <v>0</v>
          </cell>
          <cell r="K2205">
            <v>178.46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10100045</v>
          </cell>
          <cell r="H2206">
            <v>197.07999999999998</v>
          </cell>
          <cell r="I2206">
            <v>7629.9600000000009</v>
          </cell>
          <cell r="J2206">
            <v>0</v>
          </cell>
          <cell r="K2206">
            <v>0</v>
          </cell>
          <cell r="M2206">
            <v>0</v>
          </cell>
          <cell r="P2206">
            <v>0</v>
          </cell>
          <cell r="V2206" t="str">
            <v>Available</v>
          </cell>
        </row>
        <row r="2207">
          <cell r="E2207">
            <v>10100045</v>
          </cell>
          <cell r="H2207">
            <v>263.34999999999997</v>
          </cell>
          <cell r="I2207">
            <v>10242.58</v>
          </cell>
          <cell r="J2207">
            <v>0</v>
          </cell>
          <cell r="K2207">
            <v>0</v>
          </cell>
          <cell r="M2207">
            <v>0</v>
          </cell>
          <cell r="P2207">
            <v>5361</v>
          </cell>
          <cell r="V2207" t="str">
            <v>Available</v>
          </cell>
        </row>
        <row r="2208">
          <cell r="E2208">
            <v>10100045</v>
          </cell>
          <cell r="H2208">
            <v>439.04999999999995</v>
          </cell>
          <cell r="I2208">
            <v>17098.79</v>
          </cell>
          <cell r="J2208">
            <v>0</v>
          </cell>
          <cell r="K2208">
            <v>0</v>
          </cell>
          <cell r="M2208">
            <v>0</v>
          </cell>
          <cell r="P2208">
            <v>17099</v>
          </cell>
          <cell r="V2208" t="str">
            <v>Available</v>
          </cell>
        </row>
        <row r="2209">
          <cell r="E2209">
            <v>10100049</v>
          </cell>
          <cell r="H2209">
            <v>504.2</v>
          </cell>
          <cell r="I2209">
            <v>19346.150000000001</v>
          </cell>
          <cell r="J2209">
            <v>0</v>
          </cell>
          <cell r="K2209">
            <v>0</v>
          </cell>
          <cell r="M2209">
            <v>0</v>
          </cell>
          <cell r="P2209">
            <v>19295</v>
          </cell>
          <cell r="V2209" t="str">
            <v>Available</v>
          </cell>
        </row>
        <row r="2210">
          <cell r="E2210">
            <v>10100051</v>
          </cell>
          <cell r="H2210">
            <v>788.5</v>
          </cell>
          <cell r="I2210">
            <v>31662.55</v>
          </cell>
          <cell r="J2210">
            <v>0</v>
          </cell>
          <cell r="K2210">
            <v>0</v>
          </cell>
          <cell r="M2210">
            <v>0</v>
          </cell>
          <cell r="P2210">
            <v>31223</v>
          </cell>
          <cell r="V2210" t="str">
            <v>Available</v>
          </cell>
        </row>
        <row r="2211">
          <cell r="E2211">
            <v>10100051</v>
          </cell>
          <cell r="H2211">
            <v>468</v>
          </cell>
          <cell r="I2211">
            <v>18693.28</v>
          </cell>
          <cell r="J2211">
            <v>0</v>
          </cell>
          <cell r="K2211">
            <v>0</v>
          </cell>
          <cell r="M2211">
            <v>0</v>
          </cell>
          <cell r="P2211">
            <v>18693</v>
          </cell>
          <cell r="V2211" t="str">
            <v>Available</v>
          </cell>
        </row>
        <row r="2212">
          <cell r="E2212">
            <v>10100051</v>
          </cell>
          <cell r="H2212">
            <v>132</v>
          </cell>
          <cell r="I2212">
            <v>5178.3</v>
          </cell>
          <cell r="J2212">
            <v>0</v>
          </cell>
          <cell r="K2212">
            <v>0</v>
          </cell>
          <cell r="M2212">
            <v>0</v>
          </cell>
          <cell r="P2212">
            <v>5178</v>
          </cell>
          <cell r="V2212" t="str">
            <v>Available</v>
          </cell>
        </row>
        <row r="2213">
          <cell r="E2213">
            <v>10100054</v>
          </cell>
          <cell r="H2213">
            <v>3.0999999999999996</v>
          </cell>
          <cell r="I2213">
            <v>136.11000000000001</v>
          </cell>
          <cell r="J2213">
            <v>0</v>
          </cell>
          <cell r="K2213">
            <v>136.11000000000001</v>
          </cell>
          <cell r="M2213">
            <v>0</v>
          </cell>
          <cell r="P2213">
            <v>0</v>
          </cell>
          <cell r="V2213" t="str">
            <v>Not Available</v>
          </cell>
        </row>
        <row r="2214">
          <cell r="E2214">
            <v>10100054</v>
          </cell>
          <cell r="H2214">
            <v>365.97</v>
          </cell>
          <cell r="I2214">
            <v>16058.77</v>
          </cell>
          <cell r="J2214">
            <v>0</v>
          </cell>
          <cell r="K2214">
            <v>0</v>
          </cell>
          <cell r="M2214">
            <v>0</v>
          </cell>
          <cell r="P2214">
            <v>11851</v>
          </cell>
          <cell r="V2214" t="str">
            <v>Available</v>
          </cell>
        </row>
        <row r="2215">
          <cell r="E2215">
            <v>10100054</v>
          </cell>
          <cell r="H2215">
            <v>37.56</v>
          </cell>
          <cell r="I2215">
            <v>1611.91</v>
          </cell>
          <cell r="J2215">
            <v>0</v>
          </cell>
          <cell r="K2215">
            <v>0</v>
          </cell>
          <cell r="M2215">
            <v>0</v>
          </cell>
          <cell r="P2215">
            <v>1612</v>
          </cell>
          <cell r="V2215" t="str">
            <v>Available</v>
          </cell>
        </row>
        <row r="2216">
          <cell r="E2216">
            <v>10100054</v>
          </cell>
          <cell r="H2216">
            <v>2.8199999999999994</v>
          </cell>
          <cell r="I2216">
            <v>154.59</v>
          </cell>
          <cell r="J2216">
            <v>0</v>
          </cell>
          <cell r="K2216">
            <v>0</v>
          </cell>
          <cell r="M2216">
            <v>0</v>
          </cell>
          <cell r="P2216">
            <v>155</v>
          </cell>
          <cell r="V2216" t="str">
            <v>Available</v>
          </cell>
        </row>
        <row r="2217">
          <cell r="E2217">
            <v>10100054</v>
          </cell>
          <cell r="H2217">
            <v>17.830000000000002</v>
          </cell>
          <cell r="I2217">
            <v>831.71999999999991</v>
          </cell>
          <cell r="J2217">
            <v>0</v>
          </cell>
          <cell r="K2217">
            <v>0</v>
          </cell>
          <cell r="M2217">
            <v>0</v>
          </cell>
          <cell r="P2217">
            <v>832</v>
          </cell>
          <cell r="V2217" t="str">
            <v>Available</v>
          </cell>
        </row>
        <row r="2218">
          <cell r="E2218">
            <v>10100054</v>
          </cell>
          <cell r="H2218">
            <v>4.28</v>
          </cell>
          <cell r="I2218">
            <v>219.85999999999999</v>
          </cell>
          <cell r="J2218">
            <v>0</v>
          </cell>
          <cell r="K2218">
            <v>0</v>
          </cell>
          <cell r="M2218">
            <v>0</v>
          </cell>
          <cell r="P2218">
            <v>220</v>
          </cell>
          <cell r="V2218" t="str">
            <v>Available</v>
          </cell>
        </row>
        <row r="2219">
          <cell r="E2219">
            <v>10100060</v>
          </cell>
          <cell r="H2219">
            <v>29.8</v>
          </cell>
          <cell r="I2219">
            <v>1100.25</v>
          </cell>
          <cell r="J2219">
            <v>0</v>
          </cell>
          <cell r="K2219">
            <v>0</v>
          </cell>
          <cell r="M2219">
            <v>0</v>
          </cell>
          <cell r="P2219">
            <v>1099</v>
          </cell>
          <cell r="V2219" t="str">
            <v>Available</v>
          </cell>
        </row>
        <row r="2220">
          <cell r="E2220">
            <v>10100060</v>
          </cell>
          <cell r="H2220">
            <v>13</v>
          </cell>
          <cell r="I2220">
            <v>497.62999999999994</v>
          </cell>
          <cell r="J2220">
            <v>0</v>
          </cell>
          <cell r="K2220">
            <v>0</v>
          </cell>
          <cell r="M2220">
            <v>0</v>
          </cell>
          <cell r="P2220">
            <v>498</v>
          </cell>
          <cell r="V2220" t="str">
            <v>Available</v>
          </cell>
        </row>
        <row r="2221">
          <cell r="E2221">
            <v>10100060</v>
          </cell>
          <cell r="H2221">
            <v>12</v>
          </cell>
          <cell r="I2221">
            <v>471.78000000000003</v>
          </cell>
          <cell r="J2221">
            <v>0</v>
          </cell>
          <cell r="K2221">
            <v>0</v>
          </cell>
          <cell r="M2221">
            <v>0</v>
          </cell>
          <cell r="P2221">
            <v>472</v>
          </cell>
          <cell r="V2221" t="str">
            <v>Available</v>
          </cell>
        </row>
        <row r="2222">
          <cell r="E2222">
            <v>10100060</v>
          </cell>
          <cell r="H2222">
            <v>16.2</v>
          </cell>
          <cell r="I2222">
            <v>631.47</v>
          </cell>
          <cell r="J2222">
            <v>0</v>
          </cell>
          <cell r="K2222">
            <v>0</v>
          </cell>
          <cell r="M2222">
            <v>0</v>
          </cell>
          <cell r="P2222">
            <v>631</v>
          </cell>
          <cell r="V2222" t="str">
            <v>Available</v>
          </cell>
        </row>
        <row r="2223">
          <cell r="E2223">
            <v>10110001</v>
          </cell>
          <cell r="H2223">
            <v>51</v>
          </cell>
          <cell r="I2223">
            <v>2226.0699999999997</v>
          </cell>
          <cell r="J2223">
            <v>0</v>
          </cell>
          <cell r="K2223">
            <v>2226.0699999999997</v>
          </cell>
          <cell r="M2223">
            <v>0</v>
          </cell>
          <cell r="P2223">
            <v>0</v>
          </cell>
          <cell r="V2223" t="str">
            <v>Not Available</v>
          </cell>
        </row>
        <row r="2224">
          <cell r="E2224">
            <v>10110001</v>
          </cell>
          <cell r="H2224">
            <v>359</v>
          </cell>
          <cell r="I2224">
            <v>15647.509999999998</v>
          </cell>
          <cell r="J2224">
            <v>0</v>
          </cell>
          <cell r="K2224">
            <v>0</v>
          </cell>
          <cell r="M2224">
            <v>2700</v>
          </cell>
          <cell r="P2224">
            <v>9388</v>
          </cell>
          <cell r="V2224" t="str">
            <v>Available</v>
          </cell>
        </row>
        <row r="2225">
          <cell r="E2225">
            <v>10110001</v>
          </cell>
          <cell r="H2225">
            <v>46.5</v>
          </cell>
          <cell r="I2225">
            <v>1832.3600000000001</v>
          </cell>
          <cell r="J2225">
            <v>0</v>
          </cell>
          <cell r="K2225">
            <v>0</v>
          </cell>
          <cell r="M2225">
            <v>0</v>
          </cell>
          <cell r="P2225">
            <v>1832</v>
          </cell>
          <cell r="V2225" t="str">
            <v>Available</v>
          </cell>
        </row>
        <row r="2226">
          <cell r="E2226">
            <v>10110001</v>
          </cell>
          <cell r="H2226">
            <v>622</v>
          </cell>
          <cell r="I2226">
            <v>27569.120000000003</v>
          </cell>
          <cell r="J2226">
            <v>0</v>
          </cell>
          <cell r="K2226">
            <v>0</v>
          </cell>
          <cell r="M2226">
            <v>0</v>
          </cell>
          <cell r="P2226">
            <v>27569</v>
          </cell>
          <cell r="V2226" t="str">
            <v>Available</v>
          </cell>
        </row>
        <row r="2227">
          <cell r="E2227">
            <v>10110001</v>
          </cell>
          <cell r="H2227">
            <v>18.5</v>
          </cell>
          <cell r="I2227">
            <v>724.67000000000007</v>
          </cell>
          <cell r="J2227">
            <v>0</v>
          </cell>
          <cell r="K2227">
            <v>0</v>
          </cell>
          <cell r="M2227">
            <v>0</v>
          </cell>
          <cell r="P2227">
            <v>725</v>
          </cell>
          <cell r="V2227" t="str">
            <v>Available</v>
          </cell>
        </row>
        <row r="2228">
          <cell r="E2228">
            <v>10110001</v>
          </cell>
          <cell r="H2228">
            <v>73.8</v>
          </cell>
          <cell r="I2228">
            <v>3112.7999999999997</v>
          </cell>
          <cell r="J2228">
            <v>0</v>
          </cell>
          <cell r="K2228">
            <v>0</v>
          </cell>
          <cell r="M2228">
            <v>0</v>
          </cell>
          <cell r="P2228">
            <v>3113</v>
          </cell>
          <cell r="V2228" t="str">
            <v>Available</v>
          </cell>
        </row>
        <row r="2229">
          <cell r="E2229">
            <v>10110001</v>
          </cell>
          <cell r="H2229">
            <v>22.6</v>
          </cell>
          <cell r="I2229">
            <v>918.84999999999991</v>
          </cell>
          <cell r="J2229">
            <v>0</v>
          </cell>
          <cell r="K2229">
            <v>0</v>
          </cell>
          <cell r="M2229">
            <v>0</v>
          </cell>
          <cell r="P2229">
            <v>919</v>
          </cell>
          <cell r="V2229" t="str">
            <v>Available</v>
          </cell>
        </row>
        <row r="2230">
          <cell r="E2230">
            <v>10110001</v>
          </cell>
          <cell r="H2230">
            <v>47.4</v>
          </cell>
          <cell r="I2230">
            <v>1910.5900000000001</v>
          </cell>
          <cell r="J2230">
            <v>0</v>
          </cell>
          <cell r="K2230">
            <v>0</v>
          </cell>
          <cell r="M2230">
            <v>0</v>
          </cell>
          <cell r="P2230">
            <v>1911</v>
          </cell>
          <cell r="V2230" t="str">
            <v>Available</v>
          </cell>
        </row>
        <row r="2231">
          <cell r="E2231">
            <v>10110001</v>
          </cell>
          <cell r="H2231">
            <v>109.4</v>
          </cell>
          <cell r="I2231">
            <v>4699.1299999999992</v>
          </cell>
          <cell r="J2231">
            <v>0</v>
          </cell>
          <cell r="K2231">
            <v>0</v>
          </cell>
          <cell r="M2231">
            <v>0</v>
          </cell>
          <cell r="P2231">
            <v>4699</v>
          </cell>
          <cell r="V2231" t="str">
            <v>Available</v>
          </cell>
        </row>
        <row r="2232">
          <cell r="E2232">
            <v>10110001</v>
          </cell>
          <cell r="H2232">
            <v>32.4</v>
          </cell>
          <cell r="I2232">
            <v>1412.0199999999998</v>
          </cell>
          <cell r="J2232">
            <v>0</v>
          </cell>
          <cell r="K2232">
            <v>0</v>
          </cell>
          <cell r="M2232">
            <v>0</v>
          </cell>
          <cell r="P2232">
            <v>1412</v>
          </cell>
          <cell r="V2232" t="str">
            <v>Available</v>
          </cell>
        </row>
        <row r="2233">
          <cell r="E2233">
            <v>10110001</v>
          </cell>
          <cell r="H2233">
            <v>48</v>
          </cell>
          <cell r="I2233">
            <v>1895.04</v>
          </cell>
          <cell r="J2233">
            <v>0</v>
          </cell>
          <cell r="K2233">
            <v>0</v>
          </cell>
          <cell r="M2233">
            <v>0</v>
          </cell>
          <cell r="P2233">
            <v>1895</v>
          </cell>
          <cell r="V2233" t="str">
            <v>Available</v>
          </cell>
        </row>
        <row r="2234">
          <cell r="E2234">
            <v>10110001</v>
          </cell>
          <cell r="H2234">
            <v>94.2</v>
          </cell>
          <cell r="I2234">
            <v>5524.62</v>
          </cell>
          <cell r="J2234">
            <v>0</v>
          </cell>
          <cell r="K2234">
            <v>0</v>
          </cell>
          <cell r="M2234">
            <v>0</v>
          </cell>
          <cell r="P2234">
            <v>5525</v>
          </cell>
          <cell r="V2234" t="str">
            <v>Available</v>
          </cell>
        </row>
        <row r="2235">
          <cell r="E2235">
            <v>10110001</v>
          </cell>
          <cell r="H2235">
            <v>189.7</v>
          </cell>
          <cell r="I2235">
            <v>7570.41</v>
          </cell>
          <cell r="J2235">
            <v>0</v>
          </cell>
          <cell r="K2235">
            <v>0</v>
          </cell>
          <cell r="M2235">
            <v>0</v>
          </cell>
          <cell r="P2235">
            <v>7570</v>
          </cell>
          <cell r="V2235" t="str">
            <v>Available</v>
          </cell>
        </row>
        <row r="2236">
          <cell r="E2236">
            <v>10110001</v>
          </cell>
          <cell r="H2236">
            <v>50.300000000000004</v>
          </cell>
          <cell r="I2236">
            <v>2307.9</v>
          </cell>
          <cell r="J2236">
            <v>0</v>
          </cell>
          <cell r="K2236">
            <v>0</v>
          </cell>
          <cell r="M2236">
            <v>0</v>
          </cell>
          <cell r="P2236">
            <v>2308</v>
          </cell>
          <cell r="V2236" t="str">
            <v>Available</v>
          </cell>
        </row>
        <row r="2237">
          <cell r="E2237">
            <v>10110001</v>
          </cell>
          <cell r="H2237">
            <v>28.1</v>
          </cell>
          <cell r="I2237">
            <v>1113.2999999999997</v>
          </cell>
          <cell r="J2237">
            <v>0</v>
          </cell>
          <cell r="K2237">
            <v>0</v>
          </cell>
          <cell r="M2237">
            <v>0</v>
          </cell>
          <cell r="P2237">
            <v>1113</v>
          </cell>
          <cell r="V2237" t="str">
            <v>Available</v>
          </cell>
        </row>
        <row r="2238">
          <cell r="E2238">
            <v>10110001</v>
          </cell>
          <cell r="H2238">
            <v>46.099999999999994</v>
          </cell>
          <cell r="I2238">
            <v>1820.79</v>
          </cell>
          <cell r="J2238">
            <v>0</v>
          </cell>
          <cell r="K2238">
            <v>0</v>
          </cell>
          <cell r="M2238">
            <v>0</v>
          </cell>
          <cell r="P2238">
            <v>1821</v>
          </cell>
          <cell r="V2238" t="str">
            <v>Available</v>
          </cell>
        </row>
        <row r="2239">
          <cell r="E2239">
            <v>10110002</v>
          </cell>
          <cell r="H2239">
            <v>343.40000000000003</v>
          </cell>
          <cell r="I2239">
            <v>13565.899999999998</v>
          </cell>
          <cell r="J2239">
            <v>0</v>
          </cell>
          <cell r="K2239">
            <v>0</v>
          </cell>
          <cell r="M2239">
            <v>0</v>
          </cell>
          <cell r="P2239">
            <v>12794</v>
          </cell>
          <cell r="V2239" t="str">
            <v>Available</v>
          </cell>
        </row>
        <row r="2240">
          <cell r="E2240">
            <v>10110002</v>
          </cell>
          <cell r="H2240">
            <v>14.299999999999999</v>
          </cell>
          <cell r="I2240">
            <v>576.45000000000005</v>
          </cell>
          <cell r="J2240">
            <v>0</v>
          </cell>
          <cell r="K2240">
            <v>0</v>
          </cell>
          <cell r="M2240">
            <v>0</v>
          </cell>
          <cell r="P2240">
            <v>576</v>
          </cell>
          <cell r="V2240" t="str">
            <v>Available</v>
          </cell>
        </row>
        <row r="2241">
          <cell r="E2241">
            <v>10110002</v>
          </cell>
          <cell r="H2241">
            <v>14.4</v>
          </cell>
          <cell r="I2241">
            <v>576.43999999999994</v>
          </cell>
          <cell r="J2241">
            <v>0</v>
          </cell>
          <cell r="K2241">
            <v>0</v>
          </cell>
          <cell r="M2241">
            <v>0</v>
          </cell>
          <cell r="P2241">
            <v>576</v>
          </cell>
          <cell r="V2241" t="str">
            <v>Available</v>
          </cell>
        </row>
        <row r="2242">
          <cell r="E2242">
            <v>10110004</v>
          </cell>
          <cell r="H2242">
            <v>1.3</v>
          </cell>
          <cell r="I2242">
            <v>50.870000000000005</v>
          </cell>
          <cell r="J2242">
            <v>0</v>
          </cell>
          <cell r="K2242">
            <v>50.870000000000005</v>
          </cell>
          <cell r="M2242">
            <v>0</v>
          </cell>
          <cell r="P2242">
            <v>0</v>
          </cell>
          <cell r="V2242" t="str">
            <v>Not Available</v>
          </cell>
        </row>
        <row r="2243">
          <cell r="E2243">
            <v>10110004</v>
          </cell>
          <cell r="H2243">
            <v>219.1</v>
          </cell>
          <cell r="I2243">
            <v>8587.23</v>
          </cell>
          <cell r="J2243">
            <v>0</v>
          </cell>
          <cell r="K2243">
            <v>0</v>
          </cell>
          <cell r="M2243">
            <v>0</v>
          </cell>
          <cell r="P2243">
            <v>8418</v>
          </cell>
          <cell r="V2243" t="str">
            <v>Available</v>
          </cell>
        </row>
        <row r="2244">
          <cell r="E2244">
            <v>10110004</v>
          </cell>
          <cell r="H2244">
            <v>210</v>
          </cell>
          <cell r="I2244">
            <v>8228.5299999999988</v>
          </cell>
          <cell r="J2244">
            <v>0</v>
          </cell>
          <cell r="K2244">
            <v>0</v>
          </cell>
          <cell r="M2244">
            <v>0</v>
          </cell>
          <cell r="P2244">
            <v>8229</v>
          </cell>
          <cell r="V2244" t="str">
            <v>Available</v>
          </cell>
        </row>
        <row r="2245">
          <cell r="E2245">
            <v>10110005</v>
          </cell>
          <cell r="H2245">
            <v>33.94</v>
          </cell>
          <cell r="I2245">
            <v>2337.09</v>
          </cell>
          <cell r="J2245">
            <v>0</v>
          </cell>
          <cell r="K2245">
            <v>2337.09</v>
          </cell>
          <cell r="M2245">
            <v>0</v>
          </cell>
          <cell r="P2245">
            <v>0</v>
          </cell>
          <cell r="V2245" t="str">
            <v>Not Available</v>
          </cell>
        </row>
        <row r="2246">
          <cell r="E2246">
            <v>10110005</v>
          </cell>
          <cell r="H2246">
            <v>418.77000000000004</v>
          </cell>
          <cell r="I2246">
            <v>17807.440000000002</v>
          </cell>
          <cell r="J2246">
            <v>0</v>
          </cell>
          <cell r="K2246">
            <v>0</v>
          </cell>
          <cell r="M2246">
            <v>0</v>
          </cell>
          <cell r="P2246">
            <v>17327</v>
          </cell>
          <cell r="V2246" t="str">
            <v>Available</v>
          </cell>
        </row>
        <row r="2247">
          <cell r="E2247">
            <v>10110005</v>
          </cell>
          <cell r="H2247">
            <v>76.72999999999999</v>
          </cell>
          <cell r="I2247">
            <v>3020.4</v>
          </cell>
          <cell r="J2247">
            <v>0</v>
          </cell>
          <cell r="K2247">
            <v>0</v>
          </cell>
          <cell r="M2247">
            <v>0</v>
          </cell>
          <cell r="P2247">
            <v>3020</v>
          </cell>
          <cell r="V2247" t="str">
            <v>Available</v>
          </cell>
        </row>
        <row r="2248">
          <cell r="E2248">
            <v>10110005</v>
          </cell>
          <cell r="H2248">
            <v>101.21000000000001</v>
          </cell>
          <cell r="I2248">
            <v>4140.41</v>
          </cell>
          <cell r="J2248">
            <v>0</v>
          </cell>
          <cell r="K2248">
            <v>0</v>
          </cell>
          <cell r="M2248">
            <v>0</v>
          </cell>
          <cell r="P2248">
            <v>4140</v>
          </cell>
          <cell r="V2248" t="str">
            <v>Available</v>
          </cell>
        </row>
        <row r="2249">
          <cell r="E2249">
            <v>10110005</v>
          </cell>
          <cell r="H2249">
            <v>62.34</v>
          </cell>
          <cell r="I2249">
            <v>2441.84</v>
          </cell>
          <cell r="J2249">
            <v>0</v>
          </cell>
          <cell r="K2249">
            <v>0</v>
          </cell>
          <cell r="M2249">
            <v>0</v>
          </cell>
          <cell r="P2249">
            <v>2442</v>
          </cell>
          <cell r="V2249" t="str">
            <v>Available</v>
          </cell>
        </row>
        <row r="2250">
          <cell r="E2250">
            <v>10110005</v>
          </cell>
          <cell r="H2250">
            <v>102.49</v>
          </cell>
          <cell r="I2250">
            <v>4698.6899999999996</v>
          </cell>
          <cell r="J2250">
            <v>0</v>
          </cell>
          <cell r="K2250">
            <v>0</v>
          </cell>
          <cell r="M2250">
            <v>0</v>
          </cell>
          <cell r="P2250">
            <v>4699</v>
          </cell>
          <cell r="V2250" t="str">
            <v>Available</v>
          </cell>
        </row>
        <row r="2251">
          <cell r="E2251">
            <v>10110005</v>
          </cell>
          <cell r="H2251">
            <v>423.65000000000003</v>
          </cell>
          <cell r="I2251">
            <v>18009.240000000002</v>
          </cell>
          <cell r="J2251">
            <v>0</v>
          </cell>
          <cell r="K2251">
            <v>0</v>
          </cell>
          <cell r="M2251">
            <v>0</v>
          </cell>
          <cell r="P2251">
            <v>18009</v>
          </cell>
          <cell r="V2251" t="str">
            <v>Available</v>
          </cell>
        </row>
        <row r="2252">
          <cell r="E2252">
            <v>10110005</v>
          </cell>
          <cell r="H2252">
            <v>136.56</v>
          </cell>
          <cell r="I2252">
            <v>6317.93</v>
          </cell>
          <cell r="J2252">
            <v>0</v>
          </cell>
          <cell r="K2252">
            <v>0</v>
          </cell>
          <cell r="M2252">
            <v>0</v>
          </cell>
          <cell r="P2252">
            <v>6318</v>
          </cell>
          <cell r="V2252" t="str">
            <v>Available</v>
          </cell>
        </row>
        <row r="2253">
          <cell r="E2253">
            <v>10110005</v>
          </cell>
          <cell r="H2253">
            <v>26.000000000000004</v>
          </cell>
          <cell r="I2253">
            <v>1150.44</v>
          </cell>
          <cell r="J2253">
            <v>0</v>
          </cell>
          <cell r="K2253">
            <v>0</v>
          </cell>
          <cell r="M2253">
            <v>0</v>
          </cell>
          <cell r="P2253">
            <v>1150</v>
          </cell>
          <cell r="V2253" t="str">
            <v>Available</v>
          </cell>
        </row>
        <row r="2254">
          <cell r="E2254">
            <v>10110005</v>
          </cell>
          <cell r="H2254">
            <v>163.10999999999999</v>
          </cell>
          <cell r="I2254">
            <v>6420</v>
          </cell>
          <cell r="J2254">
            <v>0</v>
          </cell>
          <cell r="K2254">
            <v>0</v>
          </cell>
          <cell r="M2254">
            <v>0</v>
          </cell>
          <cell r="P2254">
            <v>6420</v>
          </cell>
          <cell r="V2254" t="str">
            <v>Available</v>
          </cell>
        </row>
        <row r="2255">
          <cell r="E2255">
            <v>10110005</v>
          </cell>
          <cell r="H2255">
            <v>53.92</v>
          </cell>
          <cell r="I2255">
            <v>3402.0500000000006</v>
          </cell>
          <cell r="J2255">
            <v>0</v>
          </cell>
          <cell r="K2255">
            <v>0</v>
          </cell>
          <cell r="M2255">
            <v>0</v>
          </cell>
          <cell r="P2255">
            <v>3402</v>
          </cell>
          <cell r="V2255" t="str">
            <v>Available</v>
          </cell>
        </row>
        <row r="2256">
          <cell r="E2256">
            <v>10110005</v>
          </cell>
          <cell r="H2256">
            <v>55.330000000000005</v>
          </cell>
          <cell r="I2256">
            <v>2174.86</v>
          </cell>
          <cell r="J2256">
            <v>0</v>
          </cell>
          <cell r="K2256">
            <v>0</v>
          </cell>
          <cell r="M2256">
            <v>0</v>
          </cell>
          <cell r="P2256">
            <v>2175</v>
          </cell>
          <cell r="V2256" t="str">
            <v>Available</v>
          </cell>
        </row>
        <row r="2257">
          <cell r="E2257">
            <v>10110005</v>
          </cell>
          <cell r="H2257">
            <v>34.980000000000004</v>
          </cell>
          <cell r="I2257">
            <v>1370.9500000000003</v>
          </cell>
          <cell r="J2257">
            <v>0</v>
          </cell>
          <cell r="K2257">
            <v>0</v>
          </cell>
          <cell r="M2257">
            <v>0</v>
          </cell>
          <cell r="P2257">
            <v>1371</v>
          </cell>
          <cell r="V2257" t="str">
            <v>Available</v>
          </cell>
        </row>
        <row r="2258">
          <cell r="E2258">
            <v>10110005</v>
          </cell>
          <cell r="H2258">
            <v>157.36000000000001</v>
          </cell>
          <cell r="I2258">
            <v>8438.9599999999991</v>
          </cell>
          <cell r="J2258">
            <v>0</v>
          </cell>
          <cell r="K2258">
            <v>0</v>
          </cell>
          <cell r="M2258">
            <v>0</v>
          </cell>
          <cell r="P2258">
            <v>8439</v>
          </cell>
          <cell r="V2258" t="str">
            <v>Available</v>
          </cell>
        </row>
        <row r="2259">
          <cell r="E2259">
            <v>10110005</v>
          </cell>
          <cell r="H2259">
            <v>42.290000000000006</v>
          </cell>
          <cell r="I2259">
            <v>1736.83</v>
          </cell>
          <cell r="J2259">
            <v>0</v>
          </cell>
          <cell r="K2259">
            <v>0</v>
          </cell>
          <cell r="M2259">
            <v>0</v>
          </cell>
          <cell r="P2259">
            <v>1737</v>
          </cell>
          <cell r="V2259" t="str">
            <v>Available</v>
          </cell>
        </row>
        <row r="2260">
          <cell r="E2260">
            <v>10110005</v>
          </cell>
          <cell r="H2260">
            <v>27.74</v>
          </cell>
          <cell r="I2260">
            <v>2209.4300000000003</v>
          </cell>
          <cell r="J2260">
            <v>0</v>
          </cell>
          <cell r="K2260">
            <v>0</v>
          </cell>
          <cell r="M2260">
            <v>0</v>
          </cell>
          <cell r="P2260">
            <v>2209</v>
          </cell>
          <cell r="V2260" t="str">
            <v>Available</v>
          </cell>
        </row>
        <row r="2261">
          <cell r="E2261">
            <v>10110005</v>
          </cell>
          <cell r="H2261">
            <v>62.72999999999999</v>
          </cell>
          <cell r="I2261">
            <v>2969.78</v>
          </cell>
          <cell r="J2261">
            <v>0</v>
          </cell>
          <cell r="K2261">
            <v>0</v>
          </cell>
          <cell r="M2261">
            <v>0</v>
          </cell>
          <cell r="P2261">
            <v>2970</v>
          </cell>
          <cell r="V2261" t="str">
            <v>Available</v>
          </cell>
        </row>
        <row r="2262">
          <cell r="E2262">
            <v>10110005</v>
          </cell>
          <cell r="H2262">
            <v>117.33999999999999</v>
          </cell>
          <cell r="I2262">
            <v>4902.8899999999994</v>
          </cell>
          <cell r="J2262">
            <v>0</v>
          </cell>
          <cell r="K2262">
            <v>0</v>
          </cell>
          <cell r="M2262">
            <v>0</v>
          </cell>
          <cell r="P2262">
            <v>4903</v>
          </cell>
          <cell r="V2262" t="str">
            <v>Available</v>
          </cell>
        </row>
        <row r="2263">
          <cell r="E2263">
            <v>10110005</v>
          </cell>
          <cell r="H2263">
            <v>136.21</v>
          </cell>
          <cell r="I2263">
            <v>5795.2999999999993</v>
          </cell>
          <cell r="J2263">
            <v>0</v>
          </cell>
          <cell r="K2263">
            <v>0</v>
          </cell>
          <cell r="M2263">
            <v>0</v>
          </cell>
          <cell r="P2263">
            <v>5795</v>
          </cell>
          <cell r="V2263" t="str">
            <v>Available</v>
          </cell>
        </row>
        <row r="2264">
          <cell r="E2264">
            <v>10110005</v>
          </cell>
          <cell r="H2264">
            <v>102.97000000000001</v>
          </cell>
          <cell r="I2264">
            <v>4482.9800000000005</v>
          </cell>
          <cell r="J2264">
            <v>0</v>
          </cell>
          <cell r="K2264">
            <v>0</v>
          </cell>
          <cell r="M2264">
            <v>0</v>
          </cell>
          <cell r="P2264">
            <v>4483</v>
          </cell>
          <cell r="V2264" t="str">
            <v>Available</v>
          </cell>
        </row>
        <row r="2265">
          <cell r="E2265">
            <v>10110005</v>
          </cell>
          <cell r="H2265">
            <v>33.49</v>
          </cell>
          <cell r="I2265">
            <v>1681.8100000000002</v>
          </cell>
          <cell r="J2265">
            <v>0</v>
          </cell>
          <cell r="K2265">
            <v>0</v>
          </cell>
          <cell r="M2265">
            <v>0</v>
          </cell>
          <cell r="P2265">
            <v>1682</v>
          </cell>
          <cell r="V2265" t="str">
            <v>Available</v>
          </cell>
        </row>
        <row r="2266">
          <cell r="E2266">
            <v>10110005</v>
          </cell>
          <cell r="H2266">
            <v>124.22000000000001</v>
          </cell>
          <cell r="I2266">
            <v>5335.2499999999991</v>
          </cell>
          <cell r="J2266">
            <v>0</v>
          </cell>
          <cell r="K2266">
            <v>0</v>
          </cell>
          <cell r="M2266">
            <v>0</v>
          </cell>
          <cell r="P2266">
            <v>5335</v>
          </cell>
          <cell r="V2266" t="str">
            <v>Available</v>
          </cell>
        </row>
        <row r="2267">
          <cell r="E2267">
            <v>10110005</v>
          </cell>
          <cell r="H2267">
            <v>30.760000000000005</v>
          </cell>
          <cell r="I2267">
            <v>1298.5100000000002</v>
          </cell>
          <cell r="J2267">
            <v>0</v>
          </cell>
          <cell r="K2267">
            <v>0</v>
          </cell>
          <cell r="M2267">
            <v>0</v>
          </cell>
          <cell r="P2267">
            <v>1299</v>
          </cell>
          <cell r="V2267" t="str">
            <v>Available</v>
          </cell>
        </row>
        <row r="2268">
          <cell r="E2268">
            <v>10110005</v>
          </cell>
          <cell r="H2268">
            <v>29.52</v>
          </cell>
          <cell r="I2268">
            <v>1388.69</v>
          </cell>
          <cell r="J2268">
            <v>0</v>
          </cell>
          <cell r="K2268">
            <v>0</v>
          </cell>
          <cell r="M2268">
            <v>0</v>
          </cell>
          <cell r="P2268">
            <v>1389</v>
          </cell>
          <cell r="V2268" t="str">
            <v>Available</v>
          </cell>
        </row>
        <row r="2269">
          <cell r="E2269">
            <v>10110005</v>
          </cell>
          <cell r="H2269">
            <v>20.04</v>
          </cell>
          <cell r="I2269">
            <v>785.21</v>
          </cell>
          <cell r="J2269">
            <v>0</v>
          </cell>
          <cell r="K2269">
            <v>0</v>
          </cell>
          <cell r="M2269">
            <v>0</v>
          </cell>
          <cell r="P2269">
            <v>785</v>
          </cell>
          <cell r="V2269" t="str">
            <v>Available</v>
          </cell>
        </row>
        <row r="2270">
          <cell r="E2270">
            <v>10110005</v>
          </cell>
          <cell r="H2270">
            <v>51.7</v>
          </cell>
          <cell r="I2270">
            <v>2119.0600000000004</v>
          </cell>
          <cell r="J2270">
            <v>0</v>
          </cell>
          <cell r="K2270">
            <v>0</v>
          </cell>
          <cell r="M2270">
            <v>0</v>
          </cell>
          <cell r="P2270">
            <v>2119</v>
          </cell>
          <cell r="V2270" t="str">
            <v>Available</v>
          </cell>
        </row>
        <row r="2271">
          <cell r="E2271">
            <v>10110005</v>
          </cell>
          <cell r="H2271">
            <v>46.310000000000009</v>
          </cell>
          <cell r="I2271">
            <v>1822.28</v>
          </cell>
          <cell r="J2271">
            <v>0</v>
          </cell>
          <cell r="K2271">
            <v>0</v>
          </cell>
          <cell r="M2271">
            <v>0</v>
          </cell>
          <cell r="P2271">
            <v>1822</v>
          </cell>
          <cell r="V2271" t="str">
            <v>Available</v>
          </cell>
        </row>
        <row r="2272">
          <cell r="E2272">
            <v>10110005</v>
          </cell>
          <cell r="H2272">
            <v>75.81</v>
          </cell>
          <cell r="I2272">
            <v>3178.4700000000003</v>
          </cell>
          <cell r="J2272">
            <v>0</v>
          </cell>
          <cell r="K2272">
            <v>0</v>
          </cell>
          <cell r="M2272">
            <v>0</v>
          </cell>
          <cell r="P2272">
            <v>3178</v>
          </cell>
          <cell r="V2272" t="str">
            <v>Available</v>
          </cell>
        </row>
        <row r="2273">
          <cell r="E2273">
            <v>10110005</v>
          </cell>
          <cell r="H2273">
            <v>88.92000000000003</v>
          </cell>
          <cell r="I2273">
            <v>4090.02</v>
          </cell>
          <cell r="J2273">
            <v>0</v>
          </cell>
          <cell r="K2273">
            <v>0</v>
          </cell>
          <cell r="M2273">
            <v>0</v>
          </cell>
          <cell r="P2273">
            <v>4090</v>
          </cell>
          <cell r="V2273" t="str">
            <v>Available</v>
          </cell>
        </row>
        <row r="2274">
          <cell r="E2274">
            <v>10110005</v>
          </cell>
          <cell r="H2274">
            <v>18.18</v>
          </cell>
          <cell r="I2274">
            <v>797.07000000000016</v>
          </cell>
          <cell r="J2274">
            <v>0</v>
          </cell>
          <cell r="K2274">
            <v>0</v>
          </cell>
          <cell r="M2274">
            <v>0</v>
          </cell>
          <cell r="P2274">
            <v>797</v>
          </cell>
          <cell r="V2274" t="str">
            <v>Available</v>
          </cell>
        </row>
        <row r="2275">
          <cell r="E2275">
            <v>10110005</v>
          </cell>
          <cell r="H2275">
            <v>41.690000000000005</v>
          </cell>
          <cell r="I2275">
            <v>1698.96</v>
          </cell>
          <cell r="J2275">
            <v>0</v>
          </cell>
          <cell r="K2275">
            <v>0</v>
          </cell>
          <cell r="M2275">
            <v>0</v>
          </cell>
          <cell r="P2275">
            <v>1699</v>
          </cell>
          <cell r="V2275" t="str">
            <v>Available</v>
          </cell>
        </row>
        <row r="2276">
          <cell r="E2276">
            <v>10110005</v>
          </cell>
          <cell r="H2276">
            <v>92.12</v>
          </cell>
          <cell r="I2276">
            <v>3775.3499999999995</v>
          </cell>
          <cell r="J2276">
            <v>0</v>
          </cell>
          <cell r="K2276">
            <v>0</v>
          </cell>
          <cell r="M2276">
            <v>0</v>
          </cell>
          <cell r="P2276">
            <v>3775</v>
          </cell>
          <cell r="V2276" t="str">
            <v>Available</v>
          </cell>
        </row>
        <row r="2277">
          <cell r="E2277">
            <v>10110005</v>
          </cell>
          <cell r="H2277">
            <v>20.119999999999997</v>
          </cell>
          <cell r="I2277">
            <v>921.22</v>
          </cell>
          <cell r="J2277">
            <v>0</v>
          </cell>
          <cell r="K2277">
            <v>0</v>
          </cell>
          <cell r="M2277">
            <v>0</v>
          </cell>
          <cell r="P2277">
            <v>921</v>
          </cell>
          <cell r="V2277" t="str">
            <v>Available</v>
          </cell>
        </row>
        <row r="2278">
          <cell r="E2278">
            <v>10110005</v>
          </cell>
          <cell r="H2278">
            <v>44.040000000000006</v>
          </cell>
          <cell r="I2278">
            <v>1814.39</v>
          </cell>
          <cell r="J2278">
            <v>0</v>
          </cell>
          <cell r="K2278">
            <v>0</v>
          </cell>
          <cell r="M2278">
            <v>0</v>
          </cell>
          <cell r="P2278">
            <v>1814</v>
          </cell>
          <cell r="V2278" t="str">
            <v>Available</v>
          </cell>
        </row>
        <row r="2279">
          <cell r="E2279">
            <v>10110005</v>
          </cell>
          <cell r="H2279">
            <v>100.18</v>
          </cell>
          <cell r="I2279">
            <v>3939.9000000000005</v>
          </cell>
          <cell r="J2279">
            <v>0</v>
          </cell>
          <cell r="K2279">
            <v>0</v>
          </cell>
          <cell r="M2279">
            <v>0</v>
          </cell>
          <cell r="P2279">
            <v>3940</v>
          </cell>
          <cell r="V2279" t="str">
            <v>Available</v>
          </cell>
        </row>
        <row r="2280">
          <cell r="E2280">
            <v>10110005</v>
          </cell>
          <cell r="H2280">
            <v>108.96000000000001</v>
          </cell>
          <cell r="I2280">
            <v>4616.13</v>
          </cell>
          <cell r="J2280">
            <v>0</v>
          </cell>
          <cell r="K2280">
            <v>0</v>
          </cell>
          <cell r="M2280">
            <v>0</v>
          </cell>
          <cell r="P2280">
            <v>4616</v>
          </cell>
          <cell r="V2280" t="str">
            <v>Available</v>
          </cell>
        </row>
        <row r="2281">
          <cell r="E2281">
            <v>10110007</v>
          </cell>
          <cell r="H2281">
            <v>2.6</v>
          </cell>
          <cell r="I2281">
            <v>100.86000000000003</v>
          </cell>
          <cell r="J2281">
            <v>0</v>
          </cell>
          <cell r="K2281">
            <v>100.86000000000003</v>
          </cell>
          <cell r="M2281">
            <v>0</v>
          </cell>
          <cell r="P2281">
            <v>0</v>
          </cell>
          <cell r="V2281" t="str">
            <v>Not Available</v>
          </cell>
        </row>
        <row r="2282">
          <cell r="E2282">
            <v>10110007</v>
          </cell>
          <cell r="H2282">
            <v>73.899999999999991</v>
          </cell>
          <cell r="I2282">
            <v>2859.45</v>
          </cell>
          <cell r="J2282">
            <v>0</v>
          </cell>
          <cell r="K2282">
            <v>0</v>
          </cell>
          <cell r="M2282">
            <v>0</v>
          </cell>
          <cell r="P2282">
            <v>2827</v>
          </cell>
          <cell r="V2282" t="str">
            <v>Available</v>
          </cell>
        </row>
        <row r="2283">
          <cell r="E2283">
            <v>10110007</v>
          </cell>
          <cell r="H2283">
            <v>100</v>
          </cell>
          <cell r="I2283">
            <v>3892.2</v>
          </cell>
          <cell r="J2283">
            <v>0</v>
          </cell>
          <cell r="K2283">
            <v>0</v>
          </cell>
          <cell r="M2283">
            <v>0</v>
          </cell>
          <cell r="P2283">
            <v>3892</v>
          </cell>
          <cell r="V2283" t="str">
            <v>Available</v>
          </cell>
        </row>
        <row r="2284">
          <cell r="E2284">
            <v>10110007</v>
          </cell>
          <cell r="H2284">
            <v>90</v>
          </cell>
          <cell r="I2284">
            <v>3507.7000000000003</v>
          </cell>
          <cell r="J2284">
            <v>0</v>
          </cell>
          <cell r="K2284">
            <v>0</v>
          </cell>
          <cell r="M2284">
            <v>0</v>
          </cell>
          <cell r="P2284">
            <v>3508</v>
          </cell>
          <cell r="V2284" t="str">
            <v>Available</v>
          </cell>
        </row>
        <row r="2285">
          <cell r="E2285">
            <v>10110007</v>
          </cell>
          <cell r="H2285">
            <v>55</v>
          </cell>
          <cell r="I2285">
            <v>2175.6</v>
          </cell>
          <cell r="J2285">
            <v>0</v>
          </cell>
          <cell r="K2285">
            <v>0</v>
          </cell>
          <cell r="M2285">
            <v>0</v>
          </cell>
          <cell r="P2285">
            <v>2176</v>
          </cell>
          <cell r="V2285" t="str">
            <v>Available</v>
          </cell>
        </row>
        <row r="2286">
          <cell r="E2286">
            <v>10110013</v>
          </cell>
          <cell r="H2286">
            <v>2.2000000000000002</v>
          </cell>
          <cell r="I2286">
            <v>83.92</v>
          </cell>
          <cell r="J2286">
            <v>0</v>
          </cell>
          <cell r="K2286">
            <v>83.92</v>
          </cell>
          <cell r="M2286">
            <v>0</v>
          </cell>
          <cell r="P2286">
            <v>0</v>
          </cell>
          <cell r="V2286" t="str">
            <v>Not Available</v>
          </cell>
        </row>
        <row r="2287">
          <cell r="E2287">
            <v>10110013</v>
          </cell>
          <cell r="H2287">
            <v>151</v>
          </cell>
          <cell r="I2287">
            <v>5768.5199999999995</v>
          </cell>
          <cell r="J2287">
            <v>0</v>
          </cell>
          <cell r="K2287">
            <v>0</v>
          </cell>
          <cell r="M2287">
            <v>0</v>
          </cell>
          <cell r="P2287">
            <v>5724</v>
          </cell>
          <cell r="V2287" t="str">
            <v>Available</v>
          </cell>
        </row>
        <row r="2288">
          <cell r="E2288">
            <v>10110013</v>
          </cell>
          <cell r="H2288">
            <v>99</v>
          </cell>
          <cell r="I2288">
            <v>3844.0599999999995</v>
          </cell>
          <cell r="J2288">
            <v>0</v>
          </cell>
          <cell r="K2288">
            <v>0</v>
          </cell>
          <cell r="M2288">
            <v>0</v>
          </cell>
          <cell r="P2288">
            <v>3844</v>
          </cell>
          <cell r="V2288" t="str">
            <v>Available</v>
          </cell>
        </row>
        <row r="2289">
          <cell r="E2289">
            <v>10110013</v>
          </cell>
          <cell r="H2289">
            <v>174</v>
          </cell>
          <cell r="I2289">
            <v>6626.3599999999988</v>
          </cell>
          <cell r="J2289">
            <v>0</v>
          </cell>
          <cell r="K2289">
            <v>0</v>
          </cell>
          <cell r="M2289">
            <v>0</v>
          </cell>
          <cell r="P2289">
            <v>6626</v>
          </cell>
          <cell r="V2289" t="str">
            <v>Available</v>
          </cell>
        </row>
        <row r="2290">
          <cell r="E2290">
            <v>10110013</v>
          </cell>
          <cell r="H2290">
            <v>101</v>
          </cell>
          <cell r="I2290">
            <v>3898.8</v>
          </cell>
          <cell r="J2290">
            <v>0</v>
          </cell>
          <cell r="K2290">
            <v>0</v>
          </cell>
          <cell r="M2290">
            <v>0</v>
          </cell>
          <cell r="P2290">
            <v>3899</v>
          </cell>
          <cell r="V2290" t="str">
            <v>Available</v>
          </cell>
        </row>
        <row r="2291">
          <cell r="E2291">
            <v>10110013</v>
          </cell>
          <cell r="H2291">
            <v>6</v>
          </cell>
          <cell r="I2291">
            <v>232.83000000000004</v>
          </cell>
          <cell r="J2291">
            <v>0</v>
          </cell>
          <cell r="K2291">
            <v>0</v>
          </cell>
          <cell r="M2291">
            <v>0</v>
          </cell>
          <cell r="P2291">
            <v>233</v>
          </cell>
          <cell r="V2291" t="str">
            <v>Available</v>
          </cell>
        </row>
        <row r="2292">
          <cell r="E2292">
            <v>10110013</v>
          </cell>
          <cell r="H2292">
            <v>210.5</v>
          </cell>
          <cell r="I2292">
            <v>8104.3700000000008</v>
          </cell>
          <cell r="J2292">
            <v>0</v>
          </cell>
          <cell r="K2292">
            <v>0</v>
          </cell>
          <cell r="M2292">
            <v>0</v>
          </cell>
          <cell r="P2292">
            <v>8104</v>
          </cell>
          <cell r="V2292" t="str">
            <v>Available</v>
          </cell>
        </row>
        <row r="2293">
          <cell r="E2293">
            <v>10110014</v>
          </cell>
          <cell r="H2293">
            <v>21.3</v>
          </cell>
          <cell r="I2293">
            <v>934.42000000000007</v>
          </cell>
          <cell r="J2293">
            <v>0</v>
          </cell>
          <cell r="K2293">
            <v>934.42000000000007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10110014</v>
          </cell>
          <cell r="H2294">
            <v>44.9</v>
          </cell>
          <cell r="I2294">
            <v>3653.9999999999995</v>
          </cell>
          <cell r="J2294">
            <v>0</v>
          </cell>
          <cell r="K2294">
            <v>0</v>
          </cell>
          <cell r="M2294">
            <v>0</v>
          </cell>
          <cell r="P2294">
            <v>3654</v>
          </cell>
          <cell r="V2294" t="str">
            <v>Available</v>
          </cell>
        </row>
        <row r="2295">
          <cell r="E2295">
            <v>10110014</v>
          </cell>
          <cell r="H2295">
            <v>79.300000000000011</v>
          </cell>
          <cell r="I2295">
            <v>3356.52</v>
          </cell>
          <cell r="J2295">
            <v>0</v>
          </cell>
          <cell r="K2295">
            <v>0</v>
          </cell>
          <cell r="M2295">
            <v>0</v>
          </cell>
          <cell r="P2295">
            <v>3357</v>
          </cell>
          <cell r="V2295" t="str">
            <v>Available</v>
          </cell>
        </row>
        <row r="2296">
          <cell r="E2296">
            <v>10110014</v>
          </cell>
          <cell r="H2296">
            <v>18.399999999999999</v>
          </cell>
          <cell r="I2296">
            <v>672.42</v>
          </cell>
          <cell r="J2296">
            <v>0</v>
          </cell>
          <cell r="K2296">
            <v>0</v>
          </cell>
          <cell r="M2296">
            <v>0</v>
          </cell>
          <cell r="P2296">
            <v>672</v>
          </cell>
          <cell r="V2296" t="str">
            <v>Available</v>
          </cell>
        </row>
        <row r="2297">
          <cell r="E2297">
            <v>10110014</v>
          </cell>
          <cell r="H2297">
            <v>73.000000000000014</v>
          </cell>
          <cell r="I2297">
            <v>3074.1</v>
          </cell>
          <cell r="J2297">
            <v>0</v>
          </cell>
          <cell r="K2297">
            <v>0</v>
          </cell>
          <cell r="M2297">
            <v>0</v>
          </cell>
          <cell r="P2297">
            <v>3074</v>
          </cell>
          <cell r="V2297" t="str">
            <v>Available</v>
          </cell>
        </row>
        <row r="2298">
          <cell r="E2298">
            <v>10110014</v>
          </cell>
          <cell r="H2298">
            <v>35.5</v>
          </cell>
          <cell r="I2298">
            <v>1696.67</v>
          </cell>
          <cell r="J2298">
            <v>0</v>
          </cell>
          <cell r="K2298">
            <v>0</v>
          </cell>
          <cell r="M2298">
            <v>0</v>
          </cell>
          <cell r="P2298">
            <v>1697</v>
          </cell>
          <cell r="V2298" t="str">
            <v>Available</v>
          </cell>
        </row>
        <row r="2299">
          <cell r="E2299">
            <v>10110014</v>
          </cell>
          <cell r="H2299">
            <v>2.5</v>
          </cell>
          <cell r="I2299">
            <v>99.4</v>
          </cell>
          <cell r="J2299">
            <v>0</v>
          </cell>
          <cell r="K2299">
            <v>0</v>
          </cell>
          <cell r="M2299">
            <v>0</v>
          </cell>
          <cell r="P2299">
            <v>99</v>
          </cell>
          <cell r="V2299" t="str">
            <v>Available</v>
          </cell>
        </row>
        <row r="2300">
          <cell r="E2300">
            <v>10110014</v>
          </cell>
          <cell r="H2300">
            <v>35.5</v>
          </cell>
          <cell r="I2300">
            <v>1395.62</v>
          </cell>
          <cell r="J2300">
            <v>0</v>
          </cell>
          <cell r="K2300">
            <v>0</v>
          </cell>
          <cell r="M2300">
            <v>0</v>
          </cell>
          <cell r="P2300">
            <v>1396</v>
          </cell>
          <cell r="V2300" t="str">
            <v>Available</v>
          </cell>
        </row>
        <row r="2301">
          <cell r="E2301">
            <v>10110014</v>
          </cell>
          <cell r="H2301">
            <v>13.3</v>
          </cell>
          <cell r="I2301">
            <v>528.22</v>
          </cell>
          <cell r="J2301">
            <v>0</v>
          </cell>
          <cell r="K2301">
            <v>0</v>
          </cell>
          <cell r="M2301">
            <v>0</v>
          </cell>
          <cell r="P2301">
            <v>528</v>
          </cell>
          <cell r="V2301" t="str">
            <v>Available</v>
          </cell>
        </row>
        <row r="2302">
          <cell r="E2302">
            <v>10110014</v>
          </cell>
          <cell r="H2302">
            <v>64.3</v>
          </cell>
          <cell r="I2302">
            <v>2338.44</v>
          </cell>
          <cell r="J2302">
            <v>0</v>
          </cell>
          <cell r="K2302">
            <v>0</v>
          </cell>
          <cell r="M2302">
            <v>0</v>
          </cell>
          <cell r="P2302">
            <v>2338</v>
          </cell>
          <cell r="V2302" t="str">
            <v>Available</v>
          </cell>
        </row>
        <row r="2303">
          <cell r="E2303">
            <v>10110014</v>
          </cell>
          <cell r="H2303">
            <v>10.199999999999999</v>
          </cell>
          <cell r="I2303">
            <v>463.53</v>
          </cell>
          <cell r="J2303">
            <v>0</v>
          </cell>
          <cell r="K2303">
            <v>0</v>
          </cell>
          <cell r="M2303">
            <v>0</v>
          </cell>
          <cell r="P2303">
            <v>464</v>
          </cell>
          <cell r="V2303" t="str">
            <v>Available</v>
          </cell>
        </row>
        <row r="2304">
          <cell r="E2304">
            <v>10110014</v>
          </cell>
          <cell r="H2304">
            <v>55.099999999999987</v>
          </cell>
          <cell r="I2304">
            <v>2170.33</v>
          </cell>
          <cell r="J2304">
            <v>0</v>
          </cell>
          <cell r="K2304">
            <v>0</v>
          </cell>
          <cell r="M2304">
            <v>0</v>
          </cell>
          <cell r="P2304">
            <v>2170</v>
          </cell>
          <cell r="V2304" t="str">
            <v>Available</v>
          </cell>
        </row>
        <row r="2305">
          <cell r="E2305">
            <v>10110014</v>
          </cell>
          <cell r="H2305">
            <v>30.699999999999996</v>
          </cell>
          <cell r="I2305">
            <v>1363.68</v>
          </cell>
          <cell r="J2305">
            <v>0</v>
          </cell>
          <cell r="K2305">
            <v>0</v>
          </cell>
          <cell r="M2305">
            <v>0</v>
          </cell>
          <cell r="P2305">
            <v>1364</v>
          </cell>
          <cell r="V2305" t="str">
            <v>Available</v>
          </cell>
        </row>
        <row r="2306">
          <cell r="E2306">
            <v>10110014</v>
          </cell>
          <cell r="H2306">
            <v>24.299999999999997</v>
          </cell>
          <cell r="I2306">
            <v>864.55000000000007</v>
          </cell>
          <cell r="J2306">
            <v>0</v>
          </cell>
          <cell r="K2306">
            <v>0</v>
          </cell>
          <cell r="M2306">
            <v>0</v>
          </cell>
          <cell r="P2306">
            <v>865</v>
          </cell>
          <cell r="V2306" t="str">
            <v>Available</v>
          </cell>
        </row>
        <row r="2307">
          <cell r="E2307">
            <v>10110014</v>
          </cell>
          <cell r="H2307">
            <v>17.7</v>
          </cell>
          <cell r="I2307">
            <v>1049.8300000000002</v>
          </cell>
          <cell r="J2307">
            <v>0</v>
          </cell>
          <cell r="K2307">
            <v>0</v>
          </cell>
          <cell r="M2307">
            <v>0</v>
          </cell>
          <cell r="P2307">
            <v>1050</v>
          </cell>
          <cell r="V2307" t="str">
            <v>Available</v>
          </cell>
        </row>
        <row r="2308">
          <cell r="E2308">
            <v>10110014</v>
          </cell>
          <cell r="H2308">
            <v>9.5</v>
          </cell>
          <cell r="I2308">
            <v>480.84000000000003</v>
          </cell>
          <cell r="J2308">
            <v>0</v>
          </cell>
          <cell r="K2308">
            <v>0</v>
          </cell>
          <cell r="M2308">
            <v>0</v>
          </cell>
          <cell r="P2308">
            <v>481</v>
          </cell>
          <cell r="V2308" t="str">
            <v>Available</v>
          </cell>
        </row>
        <row r="2309">
          <cell r="E2309">
            <v>10110014</v>
          </cell>
          <cell r="H2309">
            <v>12.6</v>
          </cell>
          <cell r="I2309">
            <v>483.37</v>
          </cell>
          <cell r="J2309">
            <v>0</v>
          </cell>
          <cell r="K2309">
            <v>0</v>
          </cell>
          <cell r="M2309">
            <v>0</v>
          </cell>
          <cell r="P2309">
            <v>483</v>
          </cell>
          <cell r="V2309" t="str">
            <v>Available</v>
          </cell>
        </row>
        <row r="2310">
          <cell r="E2310">
            <v>10110014</v>
          </cell>
          <cell r="H2310">
            <v>26.099999999999998</v>
          </cell>
          <cell r="I2310">
            <v>891.75</v>
          </cell>
          <cell r="J2310">
            <v>0</v>
          </cell>
          <cell r="K2310">
            <v>0</v>
          </cell>
          <cell r="M2310">
            <v>0</v>
          </cell>
          <cell r="P2310">
            <v>892</v>
          </cell>
          <cell r="V2310" t="str">
            <v>Available</v>
          </cell>
        </row>
        <row r="2311">
          <cell r="E2311">
            <v>10110014</v>
          </cell>
          <cell r="H2311">
            <v>40.600000000000009</v>
          </cell>
          <cell r="I2311">
            <v>1921.48</v>
          </cell>
          <cell r="J2311">
            <v>0</v>
          </cell>
          <cell r="K2311">
            <v>0</v>
          </cell>
          <cell r="M2311">
            <v>0</v>
          </cell>
          <cell r="P2311">
            <v>1921</v>
          </cell>
          <cell r="V2311" t="str">
            <v>Available</v>
          </cell>
        </row>
        <row r="2312">
          <cell r="E2312">
            <v>10110014</v>
          </cell>
          <cell r="H2312">
            <v>8.4</v>
          </cell>
          <cell r="I2312">
            <v>504.05</v>
          </cell>
          <cell r="J2312">
            <v>0</v>
          </cell>
          <cell r="K2312">
            <v>0</v>
          </cell>
          <cell r="M2312">
            <v>0</v>
          </cell>
          <cell r="P2312">
            <v>504</v>
          </cell>
          <cell r="V2312" t="str">
            <v>Available</v>
          </cell>
        </row>
        <row r="2313">
          <cell r="E2313">
            <v>10110014</v>
          </cell>
          <cell r="H2313">
            <v>57.1</v>
          </cell>
          <cell r="I2313">
            <v>3129.57</v>
          </cell>
          <cell r="J2313">
            <v>0</v>
          </cell>
          <cell r="K2313">
            <v>0</v>
          </cell>
          <cell r="M2313">
            <v>0</v>
          </cell>
          <cell r="P2313">
            <v>3130</v>
          </cell>
          <cell r="V2313" t="str">
            <v>Available</v>
          </cell>
        </row>
        <row r="2314">
          <cell r="E2314">
            <v>10110014</v>
          </cell>
          <cell r="H2314">
            <v>10.200000000000001</v>
          </cell>
          <cell r="I2314">
            <v>360.17999999999995</v>
          </cell>
          <cell r="J2314">
            <v>0</v>
          </cell>
          <cell r="K2314">
            <v>0</v>
          </cell>
          <cell r="M2314">
            <v>0</v>
          </cell>
          <cell r="P2314">
            <v>360</v>
          </cell>
          <cell r="V2314" t="str">
            <v>Available</v>
          </cell>
        </row>
        <row r="2315">
          <cell r="E2315">
            <v>10110014</v>
          </cell>
          <cell r="H2315">
            <v>9.8000000000000007</v>
          </cell>
          <cell r="I2315">
            <v>337.87</v>
          </cell>
          <cell r="J2315">
            <v>0</v>
          </cell>
          <cell r="K2315">
            <v>0</v>
          </cell>
          <cell r="M2315">
            <v>0</v>
          </cell>
          <cell r="P2315">
            <v>338</v>
          </cell>
          <cell r="V2315" t="str">
            <v>Available</v>
          </cell>
        </row>
        <row r="2316">
          <cell r="E2316">
            <v>10110014</v>
          </cell>
          <cell r="H2316">
            <v>1.9</v>
          </cell>
          <cell r="I2316">
            <v>86.85</v>
          </cell>
          <cell r="J2316">
            <v>0</v>
          </cell>
          <cell r="K2316">
            <v>0</v>
          </cell>
          <cell r="M2316">
            <v>0</v>
          </cell>
          <cell r="P2316">
            <v>87</v>
          </cell>
          <cell r="V2316" t="str">
            <v>Available</v>
          </cell>
        </row>
        <row r="2317">
          <cell r="E2317">
            <v>10110014</v>
          </cell>
          <cell r="H2317">
            <v>31.500000000000004</v>
          </cell>
          <cell r="I2317">
            <v>1671.1400000000003</v>
          </cell>
          <cell r="J2317">
            <v>0</v>
          </cell>
          <cell r="K2317">
            <v>0</v>
          </cell>
          <cell r="M2317">
            <v>0</v>
          </cell>
          <cell r="P2317">
            <v>1671</v>
          </cell>
          <cell r="V2317" t="str">
            <v>Available</v>
          </cell>
        </row>
        <row r="2318">
          <cell r="E2318">
            <v>10110014</v>
          </cell>
          <cell r="H2318">
            <v>9.8999999999999986</v>
          </cell>
          <cell r="I2318">
            <v>423.33000000000004</v>
          </cell>
          <cell r="J2318">
            <v>0</v>
          </cell>
          <cell r="K2318">
            <v>0</v>
          </cell>
          <cell r="M2318">
            <v>0</v>
          </cell>
          <cell r="P2318">
            <v>423</v>
          </cell>
          <cell r="V2318" t="str">
            <v>Available</v>
          </cell>
        </row>
        <row r="2319">
          <cell r="E2319">
            <v>10110014</v>
          </cell>
          <cell r="H2319">
            <v>69.2</v>
          </cell>
          <cell r="I2319">
            <v>2531.4599999999996</v>
          </cell>
          <cell r="J2319">
            <v>0</v>
          </cell>
          <cell r="K2319">
            <v>0</v>
          </cell>
          <cell r="M2319">
            <v>0</v>
          </cell>
          <cell r="P2319">
            <v>2531</v>
          </cell>
          <cell r="V2319" t="str">
            <v>Available</v>
          </cell>
        </row>
        <row r="2320">
          <cell r="E2320">
            <v>10110014</v>
          </cell>
          <cell r="H2320">
            <v>14.000000000000002</v>
          </cell>
          <cell r="I2320">
            <v>557.7700000000001</v>
          </cell>
          <cell r="J2320">
            <v>0</v>
          </cell>
          <cell r="K2320">
            <v>0</v>
          </cell>
          <cell r="M2320">
            <v>0</v>
          </cell>
          <cell r="P2320">
            <v>558</v>
          </cell>
          <cell r="V2320" t="str">
            <v>Available</v>
          </cell>
        </row>
        <row r="2321">
          <cell r="E2321">
            <v>10110014</v>
          </cell>
          <cell r="H2321">
            <v>19.2</v>
          </cell>
          <cell r="I2321">
            <v>717.14999999999986</v>
          </cell>
          <cell r="J2321">
            <v>0</v>
          </cell>
          <cell r="K2321">
            <v>0</v>
          </cell>
          <cell r="M2321">
            <v>0</v>
          </cell>
          <cell r="P2321">
            <v>717</v>
          </cell>
          <cell r="V2321" t="str">
            <v>Available</v>
          </cell>
        </row>
        <row r="2322">
          <cell r="E2322">
            <v>10110014</v>
          </cell>
          <cell r="H2322">
            <v>18.700000000000003</v>
          </cell>
          <cell r="I2322">
            <v>701.76</v>
          </cell>
          <cell r="J2322">
            <v>0</v>
          </cell>
          <cell r="K2322">
            <v>0</v>
          </cell>
          <cell r="M2322">
            <v>0</v>
          </cell>
          <cell r="P2322">
            <v>702</v>
          </cell>
          <cell r="V2322" t="str">
            <v>Available</v>
          </cell>
        </row>
        <row r="2323">
          <cell r="E2323">
            <v>10110014</v>
          </cell>
          <cell r="H2323">
            <v>30.300000000000004</v>
          </cell>
          <cell r="I2323">
            <v>1109.49</v>
          </cell>
          <cell r="J2323">
            <v>0</v>
          </cell>
          <cell r="K2323">
            <v>0</v>
          </cell>
          <cell r="M2323">
            <v>0</v>
          </cell>
          <cell r="P2323">
            <v>1109</v>
          </cell>
          <cell r="V2323" t="str">
            <v>Available</v>
          </cell>
        </row>
        <row r="2324">
          <cell r="E2324">
            <v>10110014</v>
          </cell>
          <cell r="H2324">
            <v>8.4</v>
          </cell>
          <cell r="I2324">
            <v>499.53</v>
          </cell>
          <cell r="J2324">
            <v>0</v>
          </cell>
          <cell r="K2324">
            <v>0</v>
          </cell>
          <cell r="M2324">
            <v>0</v>
          </cell>
          <cell r="P2324">
            <v>500</v>
          </cell>
          <cell r="V2324" t="str">
            <v>Available</v>
          </cell>
        </row>
        <row r="2325">
          <cell r="E2325">
            <v>10110014</v>
          </cell>
          <cell r="H2325">
            <v>35.5</v>
          </cell>
          <cell r="I2325">
            <v>1942.02</v>
          </cell>
          <cell r="J2325">
            <v>0</v>
          </cell>
          <cell r="K2325">
            <v>0</v>
          </cell>
          <cell r="M2325">
            <v>0</v>
          </cell>
          <cell r="P2325">
            <v>1942</v>
          </cell>
          <cell r="V2325" t="str">
            <v>Available</v>
          </cell>
        </row>
        <row r="2326">
          <cell r="E2326">
            <v>10110014</v>
          </cell>
          <cell r="H2326">
            <v>1</v>
          </cell>
          <cell r="I2326">
            <v>37.28</v>
          </cell>
          <cell r="J2326">
            <v>0</v>
          </cell>
          <cell r="K2326">
            <v>0</v>
          </cell>
          <cell r="M2326">
            <v>0</v>
          </cell>
          <cell r="P2326">
            <v>37</v>
          </cell>
          <cell r="V2326" t="str">
            <v>Available</v>
          </cell>
        </row>
        <row r="2327">
          <cell r="E2327">
            <v>10110014</v>
          </cell>
          <cell r="H2327">
            <v>5.3</v>
          </cell>
          <cell r="I2327">
            <v>316.52</v>
          </cell>
          <cell r="J2327">
            <v>0</v>
          </cell>
          <cell r="K2327">
            <v>0</v>
          </cell>
          <cell r="M2327">
            <v>0</v>
          </cell>
          <cell r="P2327">
            <v>317</v>
          </cell>
          <cell r="V2327" t="str">
            <v>Available</v>
          </cell>
        </row>
        <row r="2328">
          <cell r="E2328">
            <v>10110014</v>
          </cell>
          <cell r="H2328">
            <v>25.900000000000006</v>
          </cell>
          <cell r="I2328">
            <v>979.85</v>
          </cell>
          <cell r="J2328">
            <v>0</v>
          </cell>
          <cell r="K2328">
            <v>0</v>
          </cell>
          <cell r="M2328">
            <v>0</v>
          </cell>
          <cell r="P2328">
            <v>980</v>
          </cell>
          <cell r="V2328" t="str">
            <v>Available</v>
          </cell>
        </row>
        <row r="2329">
          <cell r="E2329">
            <v>10110014</v>
          </cell>
          <cell r="H2329">
            <v>50.4</v>
          </cell>
          <cell r="I2329">
            <v>1949.81</v>
          </cell>
          <cell r="J2329">
            <v>0</v>
          </cell>
          <cell r="K2329">
            <v>0</v>
          </cell>
          <cell r="M2329">
            <v>0</v>
          </cell>
          <cell r="P2329">
            <v>1950</v>
          </cell>
          <cell r="V2329" t="str">
            <v>Available</v>
          </cell>
        </row>
        <row r="2330">
          <cell r="E2330">
            <v>10110014</v>
          </cell>
          <cell r="H2330">
            <v>30.2</v>
          </cell>
          <cell r="I2330">
            <v>1195.04</v>
          </cell>
          <cell r="J2330">
            <v>0</v>
          </cell>
          <cell r="K2330">
            <v>0</v>
          </cell>
          <cell r="M2330">
            <v>0</v>
          </cell>
          <cell r="P2330">
            <v>1195</v>
          </cell>
          <cell r="V2330" t="str">
            <v>Available</v>
          </cell>
        </row>
        <row r="2331">
          <cell r="E2331">
            <v>10110014</v>
          </cell>
          <cell r="H2331">
            <v>58.100000000000009</v>
          </cell>
          <cell r="I2331">
            <v>2872.1300000000006</v>
          </cell>
          <cell r="J2331">
            <v>0</v>
          </cell>
          <cell r="K2331">
            <v>0</v>
          </cell>
          <cell r="M2331">
            <v>0</v>
          </cell>
          <cell r="P2331">
            <v>2872</v>
          </cell>
          <cell r="V2331" t="str">
            <v>Available</v>
          </cell>
        </row>
        <row r="2332">
          <cell r="E2332">
            <v>10110014</v>
          </cell>
          <cell r="H2332">
            <v>2.8</v>
          </cell>
          <cell r="I2332">
            <v>109.63</v>
          </cell>
          <cell r="J2332">
            <v>0</v>
          </cell>
          <cell r="K2332">
            <v>0</v>
          </cell>
          <cell r="M2332">
            <v>0</v>
          </cell>
          <cell r="P2332">
            <v>110</v>
          </cell>
          <cell r="V2332" t="str">
            <v>Available</v>
          </cell>
        </row>
        <row r="2333">
          <cell r="E2333">
            <v>10110014</v>
          </cell>
          <cell r="H2333">
            <v>31.299999999999997</v>
          </cell>
          <cell r="I2333">
            <v>1094.8799999999999</v>
          </cell>
          <cell r="J2333">
            <v>0</v>
          </cell>
          <cell r="K2333">
            <v>0</v>
          </cell>
          <cell r="M2333">
            <v>0</v>
          </cell>
          <cell r="P2333">
            <v>1095</v>
          </cell>
          <cell r="V2333" t="str">
            <v>Available</v>
          </cell>
        </row>
        <row r="2334">
          <cell r="E2334">
            <v>10110015</v>
          </cell>
          <cell r="H2334">
            <v>73.669999999999987</v>
          </cell>
          <cell r="I2334">
            <v>3176.0499999999997</v>
          </cell>
          <cell r="J2334">
            <v>0</v>
          </cell>
          <cell r="K2334">
            <v>0</v>
          </cell>
          <cell r="M2334">
            <v>0</v>
          </cell>
          <cell r="P2334">
            <v>2479</v>
          </cell>
          <cell r="V2334" t="str">
            <v>Available</v>
          </cell>
        </row>
        <row r="2335">
          <cell r="E2335">
            <v>10110015</v>
          </cell>
          <cell r="H2335">
            <v>76.03</v>
          </cell>
          <cell r="I2335">
            <v>3274.3599999999997</v>
          </cell>
          <cell r="J2335">
            <v>0</v>
          </cell>
          <cell r="K2335">
            <v>0</v>
          </cell>
          <cell r="M2335">
            <v>0</v>
          </cell>
          <cell r="P2335">
            <v>3274</v>
          </cell>
          <cell r="V2335" t="str">
            <v>Available</v>
          </cell>
        </row>
        <row r="2336">
          <cell r="E2336">
            <v>10110015</v>
          </cell>
          <cell r="H2336">
            <v>76.150000000000006</v>
          </cell>
          <cell r="I2336">
            <v>3291.6199999999994</v>
          </cell>
          <cell r="J2336">
            <v>0</v>
          </cell>
          <cell r="K2336">
            <v>0</v>
          </cell>
          <cell r="M2336">
            <v>0</v>
          </cell>
          <cell r="P2336">
            <v>3292</v>
          </cell>
          <cell r="V2336" t="str">
            <v>Available</v>
          </cell>
        </row>
        <row r="2337">
          <cell r="E2337">
            <v>10110015</v>
          </cell>
          <cell r="H2337">
            <v>76.12</v>
          </cell>
          <cell r="I2337">
            <v>3436.0999999999995</v>
          </cell>
          <cell r="J2337">
            <v>0</v>
          </cell>
          <cell r="K2337">
            <v>0</v>
          </cell>
          <cell r="M2337">
            <v>0</v>
          </cell>
          <cell r="P2337">
            <v>3436</v>
          </cell>
          <cell r="V2337" t="str">
            <v>Available</v>
          </cell>
        </row>
        <row r="2338">
          <cell r="E2338">
            <v>10110015</v>
          </cell>
          <cell r="H2338">
            <v>76.78</v>
          </cell>
          <cell r="I2338">
            <v>3291.4500000000003</v>
          </cell>
          <cell r="J2338">
            <v>0</v>
          </cell>
          <cell r="K2338">
            <v>0</v>
          </cell>
          <cell r="M2338">
            <v>0</v>
          </cell>
          <cell r="P2338">
            <v>3291</v>
          </cell>
          <cell r="V2338" t="str">
            <v>Available</v>
          </cell>
        </row>
        <row r="2339">
          <cell r="E2339">
            <v>10110015</v>
          </cell>
          <cell r="H2339">
            <v>74.2</v>
          </cell>
          <cell r="I2339">
            <v>3168.9999999999995</v>
          </cell>
          <cell r="J2339">
            <v>0</v>
          </cell>
          <cell r="K2339">
            <v>0</v>
          </cell>
          <cell r="M2339">
            <v>0</v>
          </cell>
          <cell r="P2339">
            <v>3169</v>
          </cell>
          <cell r="V2339" t="str">
            <v>Available</v>
          </cell>
        </row>
        <row r="2340">
          <cell r="E2340">
            <v>10110015</v>
          </cell>
          <cell r="H2340">
            <v>32.07</v>
          </cell>
          <cell r="I2340">
            <v>1403.52</v>
          </cell>
          <cell r="J2340">
            <v>0</v>
          </cell>
          <cell r="K2340">
            <v>0</v>
          </cell>
          <cell r="M2340">
            <v>0</v>
          </cell>
          <cell r="P2340">
            <v>1404</v>
          </cell>
          <cell r="V2340" t="str">
            <v>Available</v>
          </cell>
        </row>
        <row r="2341">
          <cell r="E2341">
            <v>10110016</v>
          </cell>
          <cell r="H2341">
            <v>3.25</v>
          </cell>
          <cell r="I2341">
            <v>141.44999999999999</v>
          </cell>
          <cell r="J2341">
            <v>0</v>
          </cell>
          <cell r="K2341">
            <v>141.44999999999999</v>
          </cell>
          <cell r="M2341">
            <v>0</v>
          </cell>
          <cell r="P2341">
            <v>0</v>
          </cell>
          <cell r="V2341" t="str">
            <v>Not Available</v>
          </cell>
        </row>
        <row r="2342">
          <cell r="E2342">
            <v>10110016</v>
          </cell>
          <cell r="H2342">
            <v>87.600000000000009</v>
          </cell>
          <cell r="I2342">
            <v>3776.5599999999995</v>
          </cell>
          <cell r="J2342">
            <v>0</v>
          </cell>
          <cell r="K2342">
            <v>0</v>
          </cell>
          <cell r="M2342">
            <v>0</v>
          </cell>
          <cell r="P2342">
            <v>3777</v>
          </cell>
          <cell r="V2342" t="str">
            <v>Available</v>
          </cell>
        </row>
        <row r="2343">
          <cell r="E2343">
            <v>10110016</v>
          </cell>
          <cell r="H2343">
            <v>85</v>
          </cell>
          <cell r="I2343">
            <v>3659.1800000000007</v>
          </cell>
          <cell r="J2343">
            <v>0</v>
          </cell>
          <cell r="K2343">
            <v>0</v>
          </cell>
          <cell r="M2343">
            <v>0</v>
          </cell>
          <cell r="P2343">
            <v>3659</v>
          </cell>
          <cell r="V2343" t="str">
            <v>Available</v>
          </cell>
        </row>
        <row r="2344">
          <cell r="E2344">
            <v>10110016</v>
          </cell>
          <cell r="H2344">
            <v>87</v>
          </cell>
          <cell r="I2344">
            <v>3749.81</v>
          </cell>
          <cell r="J2344">
            <v>0</v>
          </cell>
          <cell r="K2344">
            <v>0</v>
          </cell>
          <cell r="M2344">
            <v>0</v>
          </cell>
          <cell r="P2344">
            <v>3750</v>
          </cell>
          <cell r="V2344" t="str">
            <v>Available</v>
          </cell>
        </row>
        <row r="2345">
          <cell r="E2345">
            <v>10110016</v>
          </cell>
          <cell r="H2345">
            <v>83</v>
          </cell>
          <cell r="I2345">
            <v>3571.4700000000007</v>
          </cell>
          <cell r="J2345">
            <v>0</v>
          </cell>
          <cell r="K2345">
            <v>0</v>
          </cell>
          <cell r="M2345">
            <v>0</v>
          </cell>
          <cell r="P2345">
            <v>3571</v>
          </cell>
          <cell r="V2345" t="str">
            <v>Available</v>
          </cell>
        </row>
        <row r="2346">
          <cell r="E2346">
            <v>10110016</v>
          </cell>
          <cell r="H2346">
            <v>85</v>
          </cell>
          <cell r="I2346">
            <v>3659.1800000000003</v>
          </cell>
          <cell r="J2346">
            <v>0</v>
          </cell>
          <cell r="K2346">
            <v>0</v>
          </cell>
          <cell r="M2346">
            <v>0</v>
          </cell>
          <cell r="P2346">
            <v>3659</v>
          </cell>
          <cell r="V2346" t="str">
            <v>Available</v>
          </cell>
        </row>
        <row r="2347">
          <cell r="E2347">
            <v>10110021</v>
          </cell>
          <cell r="H2347">
            <v>2.08</v>
          </cell>
          <cell r="I2347">
            <v>99.99</v>
          </cell>
          <cell r="J2347">
            <v>0</v>
          </cell>
          <cell r="K2347">
            <v>99.99</v>
          </cell>
          <cell r="M2347">
            <v>0</v>
          </cell>
          <cell r="P2347">
            <v>0</v>
          </cell>
          <cell r="V2347" t="str">
            <v>Not Available</v>
          </cell>
        </row>
        <row r="2348">
          <cell r="E2348">
            <v>10110021</v>
          </cell>
          <cell r="H2348">
            <v>20.420000000000002</v>
          </cell>
          <cell r="I2348">
            <v>1326.47</v>
          </cell>
          <cell r="J2348">
            <v>0</v>
          </cell>
          <cell r="K2348">
            <v>0</v>
          </cell>
          <cell r="M2348">
            <v>0</v>
          </cell>
          <cell r="P2348">
            <v>550</v>
          </cell>
          <cell r="V2348" t="str">
            <v>Available</v>
          </cell>
        </row>
        <row r="2349">
          <cell r="E2349">
            <v>10110021</v>
          </cell>
          <cell r="H2349">
            <v>10.31</v>
          </cell>
          <cell r="I2349">
            <v>607.69999999999993</v>
          </cell>
          <cell r="J2349">
            <v>0</v>
          </cell>
          <cell r="K2349">
            <v>0</v>
          </cell>
          <cell r="M2349">
            <v>0</v>
          </cell>
          <cell r="P2349">
            <v>608</v>
          </cell>
          <cell r="V2349" t="str">
            <v>Available</v>
          </cell>
        </row>
        <row r="2350">
          <cell r="E2350">
            <v>10110021</v>
          </cell>
          <cell r="H2350">
            <v>40.019999999999996</v>
          </cell>
          <cell r="I2350">
            <v>1687.9899999999998</v>
          </cell>
          <cell r="J2350">
            <v>0</v>
          </cell>
          <cell r="K2350">
            <v>0</v>
          </cell>
          <cell r="M2350">
            <v>0</v>
          </cell>
          <cell r="P2350">
            <v>1688</v>
          </cell>
          <cell r="V2350" t="str">
            <v>Available</v>
          </cell>
        </row>
        <row r="2351">
          <cell r="E2351">
            <v>10110021</v>
          </cell>
          <cell r="H2351">
            <v>131.92999999999998</v>
          </cell>
          <cell r="I2351">
            <v>6516.95</v>
          </cell>
          <cell r="J2351">
            <v>0</v>
          </cell>
          <cell r="K2351">
            <v>0</v>
          </cell>
          <cell r="M2351">
            <v>2700</v>
          </cell>
          <cell r="P2351">
            <v>3817</v>
          </cell>
          <cell r="V2351" t="str">
            <v>Available</v>
          </cell>
        </row>
        <row r="2352">
          <cell r="E2352">
            <v>10110049</v>
          </cell>
          <cell r="H2352">
            <v>2.1999999999999997</v>
          </cell>
          <cell r="I2352">
            <v>88.070000000000022</v>
          </cell>
          <cell r="J2352">
            <v>0</v>
          </cell>
          <cell r="K2352">
            <v>88.070000000000022</v>
          </cell>
          <cell r="M2352">
            <v>0</v>
          </cell>
          <cell r="P2352">
            <v>0</v>
          </cell>
          <cell r="V2352" t="str">
            <v>Not Available</v>
          </cell>
        </row>
        <row r="2353">
          <cell r="E2353">
            <v>10110049</v>
          </cell>
          <cell r="H2353">
            <v>151.90000000000003</v>
          </cell>
          <cell r="I2353">
            <v>6192.9199999999992</v>
          </cell>
          <cell r="J2353">
            <v>0</v>
          </cell>
          <cell r="K2353">
            <v>0</v>
          </cell>
          <cell r="M2353">
            <v>0</v>
          </cell>
          <cell r="P2353">
            <v>5497</v>
          </cell>
          <cell r="V2353" t="str">
            <v>Available</v>
          </cell>
        </row>
        <row r="2354">
          <cell r="E2354">
            <v>10110049</v>
          </cell>
          <cell r="H2354">
            <v>280.10000000000002</v>
          </cell>
          <cell r="I2354">
            <v>11086.520000000002</v>
          </cell>
          <cell r="J2354">
            <v>0</v>
          </cell>
          <cell r="K2354">
            <v>0</v>
          </cell>
          <cell r="M2354">
            <v>0</v>
          </cell>
          <cell r="P2354">
            <v>11087</v>
          </cell>
          <cell r="V2354" t="str">
            <v>Available</v>
          </cell>
        </row>
        <row r="2355">
          <cell r="E2355">
            <v>10110049</v>
          </cell>
          <cell r="H2355">
            <v>234.4</v>
          </cell>
          <cell r="I2355">
            <v>9446.2199999999993</v>
          </cell>
          <cell r="J2355">
            <v>0</v>
          </cell>
          <cell r="K2355">
            <v>0</v>
          </cell>
          <cell r="M2355">
            <v>0</v>
          </cell>
          <cell r="P2355">
            <v>9446</v>
          </cell>
          <cell r="V2355" t="str">
            <v>Available</v>
          </cell>
        </row>
        <row r="2356">
          <cell r="E2356">
            <v>10110050</v>
          </cell>
          <cell r="H2356">
            <v>1028.2</v>
          </cell>
          <cell r="I2356">
            <v>49456.42</v>
          </cell>
          <cell r="J2356">
            <v>0</v>
          </cell>
          <cell r="K2356">
            <v>0</v>
          </cell>
          <cell r="M2356">
            <v>0</v>
          </cell>
          <cell r="P2356">
            <v>49456</v>
          </cell>
          <cell r="V2356" t="str">
            <v>Available</v>
          </cell>
        </row>
        <row r="2357">
          <cell r="E2357">
            <v>10110053</v>
          </cell>
          <cell r="H2357">
            <v>2.6</v>
          </cell>
          <cell r="I2357">
            <v>109.19000000000001</v>
          </cell>
          <cell r="J2357">
            <v>0</v>
          </cell>
          <cell r="K2357">
            <v>109.19000000000001</v>
          </cell>
          <cell r="M2357">
            <v>0</v>
          </cell>
          <cell r="P2357">
            <v>0</v>
          </cell>
          <cell r="V2357" t="str">
            <v>Not Available</v>
          </cell>
        </row>
        <row r="2358">
          <cell r="E2358">
            <v>10110053</v>
          </cell>
          <cell r="H2358">
            <v>296.39999999999998</v>
          </cell>
          <cell r="I2358">
            <v>12306.52</v>
          </cell>
          <cell r="J2358">
            <v>0</v>
          </cell>
          <cell r="K2358">
            <v>0</v>
          </cell>
          <cell r="M2358">
            <v>0</v>
          </cell>
          <cell r="P2358">
            <v>11745</v>
          </cell>
          <cell r="V2358" t="str">
            <v>Available</v>
          </cell>
        </row>
        <row r="2359">
          <cell r="E2359">
            <v>10110055</v>
          </cell>
          <cell r="H2359">
            <v>219.4</v>
          </cell>
          <cell r="I2359">
            <v>10830.3</v>
          </cell>
          <cell r="J2359">
            <v>0</v>
          </cell>
          <cell r="K2359">
            <v>0</v>
          </cell>
          <cell r="M2359">
            <v>0</v>
          </cell>
          <cell r="P2359">
            <v>8891</v>
          </cell>
          <cell r="V2359" t="str">
            <v>Available</v>
          </cell>
        </row>
        <row r="2360">
          <cell r="E2360">
            <v>10110055</v>
          </cell>
          <cell r="H2360">
            <v>221.67999999999998</v>
          </cell>
          <cell r="I2360">
            <v>11188.449999999999</v>
          </cell>
          <cell r="J2360">
            <v>0</v>
          </cell>
          <cell r="K2360">
            <v>0</v>
          </cell>
          <cell r="M2360">
            <v>0</v>
          </cell>
          <cell r="P2360">
            <v>11188</v>
          </cell>
          <cell r="V2360" t="str">
            <v>Available</v>
          </cell>
        </row>
        <row r="2361">
          <cell r="E2361">
            <v>10110055</v>
          </cell>
          <cell r="H2361">
            <v>218.04000000000002</v>
          </cell>
          <cell r="I2361">
            <v>11162.800000000001</v>
          </cell>
          <cell r="J2361">
            <v>0</v>
          </cell>
          <cell r="K2361">
            <v>0</v>
          </cell>
          <cell r="M2361">
            <v>0</v>
          </cell>
          <cell r="P2361">
            <v>11163</v>
          </cell>
          <cell r="V2361" t="str">
            <v>Available</v>
          </cell>
        </row>
        <row r="2362">
          <cell r="E2362">
            <v>10110055</v>
          </cell>
          <cell r="H2362">
            <v>223.18</v>
          </cell>
          <cell r="I2362">
            <v>11596.759999999998</v>
          </cell>
          <cell r="J2362">
            <v>0</v>
          </cell>
          <cell r="K2362">
            <v>0</v>
          </cell>
          <cell r="M2362">
            <v>0</v>
          </cell>
          <cell r="P2362">
            <v>11597</v>
          </cell>
          <cell r="V2362" t="str">
            <v>Available</v>
          </cell>
        </row>
        <row r="2363">
          <cell r="E2363">
            <v>10110055</v>
          </cell>
          <cell r="H2363">
            <v>222.88</v>
          </cell>
          <cell r="I2363">
            <v>11290.230000000001</v>
          </cell>
          <cell r="J2363">
            <v>0</v>
          </cell>
          <cell r="K2363">
            <v>0</v>
          </cell>
          <cell r="M2363">
            <v>0</v>
          </cell>
          <cell r="P2363">
            <v>11290</v>
          </cell>
          <cell r="V2363" t="str">
            <v>Not Available</v>
          </cell>
        </row>
        <row r="2364">
          <cell r="E2364">
            <v>10110057</v>
          </cell>
          <cell r="H2364">
            <v>256</v>
          </cell>
          <cell r="I2364">
            <v>11640.800000000001</v>
          </cell>
          <cell r="J2364">
            <v>0</v>
          </cell>
          <cell r="K2364">
            <v>0</v>
          </cell>
          <cell r="M2364">
            <v>0</v>
          </cell>
          <cell r="P2364">
            <v>11641</v>
          </cell>
          <cell r="V2364" t="str">
            <v>Available</v>
          </cell>
        </row>
        <row r="2365">
          <cell r="E2365">
            <v>10110065</v>
          </cell>
          <cell r="H2365">
            <v>59.7</v>
          </cell>
          <cell r="I2365">
            <v>2436.8100000000004</v>
          </cell>
          <cell r="J2365">
            <v>0</v>
          </cell>
          <cell r="K2365">
            <v>0</v>
          </cell>
          <cell r="M2365">
            <v>0</v>
          </cell>
          <cell r="P2365">
            <v>2437</v>
          </cell>
          <cell r="V2365" t="str">
            <v>Available</v>
          </cell>
        </row>
        <row r="2366">
          <cell r="E2366">
            <v>10110065</v>
          </cell>
          <cell r="H2366">
            <v>15.799999999999999</v>
          </cell>
          <cell r="I2366">
            <v>601.25</v>
          </cell>
          <cell r="J2366">
            <v>0</v>
          </cell>
          <cell r="K2366">
            <v>0</v>
          </cell>
          <cell r="M2366">
            <v>0</v>
          </cell>
          <cell r="P2366">
            <v>601</v>
          </cell>
          <cell r="V2366" t="str">
            <v>Available</v>
          </cell>
        </row>
        <row r="2367">
          <cell r="E2367">
            <v>10110065</v>
          </cell>
          <cell r="H2367">
            <v>14.9</v>
          </cell>
          <cell r="I2367">
            <v>591.88000000000011</v>
          </cell>
          <cell r="J2367">
            <v>0</v>
          </cell>
          <cell r="K2367">
            <v>0</v>
          </cell>
          <cell r="M2367">
            <v>0</v>
          </cell>
          <cell r="P2367">
            <v>592</v>
          </cell>
          <cell r="V2367" t="str">
            <v>Available</v>
          </cell>
        </row>
        <row r="2368">
          <cell r="E2368">
            <v>10110065</v>
          </cell>
          <cell r="H2368">
            <v>19.2</v>
          </cell>
          <cell r="I2368">
            <v>731.79</v>
          </cell>
          <cell r="J2368">
            <v>0</v>
          </cell>
          <cell r="K2368">
            <v>0</v>
          </cell>
          <cell r="M2368">
            <v>0</v>
          </cell>
          <cell r="P2368">
            <v>732</v>
          </cell>
          <cell r="V2368" t="str">
            <v>Available</v>
          </cell>
        </row>
        <row r="2369">
          <cell r="E2369">
            <v>10110065</v>
          </cell>
          <cell r="H2369">
            <v>32.4</v>
          </cell>
          <cell r="I2369">
            <v>1217.7999999999997</v>
          </cell>
          <cell r="J2369">
            <v>0</v>
          </cell>
          <cell r="K2369">
            <v>0</v>
          </cell>
          <cell r="M2369">
            <v>0</v>
          </cell>
          <cell r="P2369">
            <v>1218</v>
          </cell>
          <cell r="V2369" t="str">
            <v>Available</v>
          </cell>
        </row>
        <row r="2370">
          <cell r="E2370">
            <v>10110065</v>
          </cell>
          <cell r="H2370">
            <v>93.300000000000011</v>
          </cell>
          <cell r="I2370">
            <v>3712.22</v>
          </cell>
          <cell r="J2370">
            <v>0</v>
          </cell>
          <cell r="K2370">
            <v>0</v>
          </cell>
          <cell r="M2370">
            <v>0</v>
          </cell>
          <cell r="P2370">
            <v>3712</v>
          </cell>
          <cell r="V2370" t="str">
            <v>Available</v>
          </cell>
        </row>
        <row r="2371">
          <cell r="E2371">
            <v>10110065</v>
          </cell>
          <cell r="H2371">
            <v>29</v>
          </cell>
          <cell r="I2371">
            <v>1096.23</v>
          </cell>
          <cell r="J2371">
            <v>0</v>
          </cell>
          <cell r="K2371">
            <v>0</v>
          </cell>
          <cell r="M2371">
            <v>0</v>
          </cell>
          <cell r="P2371">
            <v>1096</v>
          </cell>
          <cell r="V2371" t="str">
            <v>Available</v>
          </cell>
        </row>
        <row r="2372">
          <cell r="E2372">
            <v>10110065</v>
          </cell>
          <cell r="H2372">
            <v>36.4</v>
          </cell>
          <cell r="I2372">
            <v>1416.4299999999998</v>
          </cell>
          <cell r="J2372">
            <v>0</v>
          </cell>
          <cell r="K2372">
            <v>0</v>
          </cell>
          <cell r="M2372">
            <v>0</v>
          </cell>
          <cell r="P2372">
            <v>1416</v>
          </cell>
          <cell r="V2372" t="str">
            <v>Available</v>
          </cell>
        </row>
        <row r="2373">
          <cell r="E2373">
            <v>10110065</v>
          </cell>
          <cell r="H2373">
            <v>2.2000000000000002</v>
          </cell>
          <cell r="I2373">
            <v>85.01</v>
          </cell>
          <cell r="J2373">
            <v>0</v>
          </cell>
          <cell r="K2373">
            <v>0</v>
          </cell>
          <cell r="M2373">
            <v>0</v>
          </cell>
          <cell r="P2373">
            <v>85</v>
          </cell>
          <cell r="V2373" t="str">
            <v>Available</v>
          </cell>
        </row>
        <row r="2374">
          <cell r="E2374">
            <v>10110065</v>
          </cell>
          <cell r="H2374">
            <v>16.600000000000001</v>
          </cell>
          <cell r="I2374">
            <v>686.8900000000001</v>
          </cell>
          <cell r="J2374">
            <v>0</v>
          </cell>
          <cell r="K2374">
            <v>0</v>
          </cell>
          <cell r="M2374">
            <v>0</v>
          </cell>
          <cell r="P2374">
            <v>687</v>
          </cell>
          <cell r="V2374" t="str">
            <v>Available</v>
          </cell>
        </row>
        <row r="2375">
          <cell r="E2375">
            <v>10110065</v>
          </cell>
          <cell r="H2375">
            <v>24.6</v>
          </cell>
          <cell r="I2375">
            <v>951.07999999999993</v>
          </cell>
          <cell r="J2375">
            <v>0</v>
          </cell>
          <cell r="K2375">
            <v>0</v>
          </cell>
          <cell r="M2375">
            <v>0</v>
          </cell>
          <cell r="P2375">
            <v>951</v>
          </cell>
          <cell r="V2375" t="str">
            <v>Available</v>
          </cell>
        </row>
        <row r="2376">
          <cell r="E2376">
            <v>10110065</v>
          </cell>
          <cell r="H2376">
            <v>16.099999999999998</v>
          </cell>
          <cell r="I2376">
            <v>660.07</v>
          </cell>
          <cell r="J2376">
            <v>0</v>
          </cell>
          <cell r="K2376">
            <v>0</v>
          </cell>
          <cell r="M2376">
            <v>0</v>
          </cell>
          <cell r="P2376">
            <v>660</v>
          </cell>
          <cell r="V2376" t="str">
            <v>Available</v>
          </cell>
        </row>
        <row r="2377">
          <cell r="E2377">
            <v>10110065</v>
          </cell>
          <cell r="H2377">
            <v>31.2</v>
          </cell>
          <cell r="I2377">
            <v>1198.81</v>
          </cell>
          <cell r="J2377">
            <v>0</v>
          </cell>
          <cell r="K2377">
            <v>0</v>
          </cell>
          <cell r="M2377">
            <v>0</v>
          </cell>
          <cell r="P2377">
            <v>1199</v>
          </cell>
          <cell r="V2377" t="str">
            <v>Available</v>
          </cell>
        </row>
        <row r="2378">
          <cell r="E2378">
            <v>10110065</v>
          </cell>
          <cell r="H2378">
            <v>33.200000000000003</v>
          </cell>
          <cell r="I2378">
            <v>1300.3399999999999</v>
          </cell>
          <cell r="J2378">
            <v>0</v>
          </cell>
          <cell r="K2378">
            <v>0</v>
          </cell>
          <cell r="M2378">
            <v>0</v>
          </cell>
          <cell r="P2378">
            <v>1300</v>
          </cell>
          <cell r="V2378" t="str">
            <v>Available</v>
          </cell>
        </row>
        <row r="2379">
          <cell r="E2379">
            <v>10110065</v>
          </cell>
          <cell r="H2379">
            <v>34.500000000000007</v>
          </cell>
          <cell r="I2379">
            <v>1339.2900000000002</v>
          </cell>
          <cell r="J2379">
            <v>0</v>
          </cell>
          <cell r="K2379">
            <v>0</v>
          </cell>
          <cell r="M2379">
            <v>0</v>
          </cell>
          <cell r="P2379">
            <v>1339</v>
          </cell>
          <cell r="V2379" t="str">
            <v>Available</v>
          </cell>
        </row>
        <row r="2380">
          <cell r="E2380">
            <v>10110065</v>
          </cell>
          <cell r="H2380">
            <v>49.499999999999993</v>
          </cell>
          <cell r="I2380">
            <v>1944.98</v>
          </cell>
          <cell r="J2380">
            <v>0</v>
          </cell>
          <cell r="K2380">
            <v>0</v>
          </cell>
          <cell r="M2380">
            <v>0</v>
          </cell>
          <cell r="P2380">
            <v>1945</v>
          </cell>
          <cell r="V2380" t="str">
            <v>Available</v>
          </cell>
        </row>
        <row r="2381">
          <cell r="E2381">
            <v>10110065</v>
          </cell>
          <cell r="H2381">
            <v>3.7</v>
          </cell>
          <cell r="I2381">
            <v>152</v>
          </cell>
          <cell r="J2381">
            <v>0</v>
          </cell>
          <cell r="K2381">
            <v>0</v>
          </cell>
          <cell r="M2381">
            <v>0</v>
          </cell>
          <cell r="P2381">
            <v>152</v>
          </cell>
          <cell r="V2381" t="str">
            <v>Available</v>
          </cell>
        </row>
        <row r="2382">
          <cell r="E2382">
            <v>10110066</v>
          </cell>
          <cell r="H2382">
            <v>5.76</v>
          </cell>
          <cell r="I2382">
            <v>238.76000000000002</v>
          </cell>
          <cell r="J2382">
            <v>0</v>
          </cell>
          <cell r="K2382">
            <v>238.76000000000002</v>
          </cell>
          <cell r="M2382">
            <v>0</v>
          </cell>
          <cell r="P2382">
            <v>0</v>
          </cell>
          <cell r="V2382" t="str">
            <v>Not Available</v>
          </cell>
        </row>
        <row r="2383">
          <cell r="E2383">
            <v>10110066</v>
          </cell>
          <cell r="H2383">
            <v>13.56</v>
          </cell>
          <cell r="I2383">
            <v>581.46</v>
          </cell>
          <cell r="J2383">
            <v>0</v>
          </cell>
          <cell r="K2383">
            <v>0</v>
          </cell>
          <cell r="M2383">
            <v>0</v>
          </cell>
          <cell r="P2383">
            <v>103</v>
          </cell>
          <cell r="V2383" t="str">
            <v>Available</v>
          </cell>
        </row>
        <row r="2384">
          <cell r="E2384">
            <v>10110066</v>
          </cell>
          <cell r="H2384">
            <v>14.580000000000002</v>
          </cell>
          <cell r="I2384">
            <v>1051.3899999999999</v>
          </cell>
          <cell r="J2384">
            <v>0</v>
          </cell>
          <cell r="K2384">
            <v>0</v>
          </cell>
          <cell r="M2384">
            <v>0</v>
          </cell>
          <cell r="P2384">
            <v>1051</v>
          </cell>
          <cell r="V2384" t="str">
            <v>Available</v>
          </cell>
        </row>
        <row r="2385">
          <cell r="E2385">
            <v>10110066</v>
          </cell>
          <cell r="H2385">
            <v>16</v>
          </cell>
          <cell r="I2385">
            <v>1102.1000000000001</v>
          </cell>
          <cell r="J2385">
            <v>0</v>
          </cell>
          <cell r="K2385">
            <v>0</v>
          </cell>
          <cell r="M2385">
            <v>0</v>
          </cell>
          <cell r="P2385">
            <v>1102</v>
          </cell>
          <cell r="V2385" t="str">
            <v>Available</v>
          </cell>
        </row>
        <row r="2386">
          <cell r="E2386">
            <v>10110066</v>
          </cell>
          <cell r="H2386">
            <v>16.559999999999999</v>
          </cell>
          <cell r="I2386">
            <v>691.87</v>
          </cell>
          <cell r="J2386">
            <v>0</v>
          </cell>
          <cell r="K2386">
            <v>0</v>
          </cell>
          <cell r="M2386">
            <v>0</v>
          </cell>
          <cell r="P2386">
            <v>692</v>
          </cell>
          <cell r="V2386" t="str">
            <v>Available</v>
          </cell>
        </row>
        <row r="2387">
          <cell r="E2387">
            <v>10110066</v>
          </cell>
          <cell r="H2387">
            <v>6.0200000000000005</v>
          </cell>
          <cell r="I2387">
            <v>271.20999999999998</v>
          </cell>
          <cell r="J2387">
            <v>0</v>
          </cell>
          <cell r="K2387">
            <v>0</v>
          </cell>
          <cell r="M2387">
            <v>0</v>
          </cell>
          <cell r="P2387">
            <v>271</v>
          </cell>
          <cell r="V2387" t="str">
            <v>Available</v>
          </cell>
        </row>
        <row r="2388">
          <cell r="E2388">
            <v>10110066</v>
          </cell>
          <cell r="H2388">
            <v>370.64</v>
          </cell>
          <cell r="I2388">
            <v>16058.199999999999</v>
          </cell>
          <cell r="J2388">
            <v>0</v>
          </cell>
          <cell r="K2388">
            <v>0</v>
          </cell>
          <cell r="M2388">
            <v>0</v>
          </cell>
          <cell r="P2388">
            <v>16058</v>
          </cell>
          <cell r="V2388" t="str">
            <v>Available</v>
          </cell>
        </row>
        <row r="2389">
          <cell r="E2389">
            <v>10110066</v>
          </cell>
          <cell r="H2389">
            <v>23.4</v>
          </cell>
          <cell r="I2389">
            <v>867.95000000000016</v>
          </cell>
          <cell r="J2389">
            <v>0</v>
          </cell>
          <cell r="K2389">
            <v>0</v>
          </cell>
          <cell r="M2389">
            <v>0</v>
          </cell>
          <cell r="P2389">
            <v>868</v>
          </cell>
          <cell r="V2389" t="str">
            <v>Available</v>
          </cell>
        </row>
        <row r="2390">
          <cell r="E2390">
            <v>10110066</v>
          </cell>
          <cell r="H2390">
            <v>17.82</v>
          </cell>
          <cell r="I2390">
            <v>727.36</v>
          </cell>
          <cell r="J2390">
            <v>0</v>
          </cell>
          <cell r="K2390">
            <v>0</v>
          </cell>
          <cell r="M2390">
            <v>0</v>
          </cell>
          <cell r="P2390">
            <v>727</v>
          </cell>
          <cell r="V2390" t="str">
            <v>Available</v>
          </cell>
        </row>
        <row r="2391">
          <cell r="E2391">
            <v>10110066</v>
          </cell>
          <cell r="H2391">
            <v>8</v>
          </cell>
          <cell r="I2391">
            <v>329.57000000000005</v>
          </cell>
          <cell r="J2391">
            <v>0</v>
          </cell>
          <cell r="K2391">
            <v>0</v>
          </cell>
          <cell r="M2391">
            <v>0</v>
          </cell>
          <cell r="P2391">
            <v>330</v>
          </cell>
          <cell r="V2391" t="str">
            <v>Available</v>
          </cell>
        </row>
        <row r="2392">
          <cell r="E2392">
            <v>10110066</v>
          </cell>
          <cell r="H2392">
            <v>8.24</v>
          </cell>
          <cell r="I2392">
            <v>354.14</v>
          </cell>
          <cell r="J2392">
            <v>0</v>
          </cell>
          <cell r="K2392">
            <v>0</v>
          </cell>
          <cell r="M2392">
            <v>0</v>
          </cell>
          <cell r="P2392">
            <v>354</v>
          </cell>
          <cell r="V2392" t="str">
            <v>Available</v>
          </cell>
        </row>
        <row r="2393">
          <cell r="E2393">
            <v>10110066</v>
          </cell>
          <cell r="H2393">
            <v>3.52</v>
          </cell>
          <cell r="I2393">
            <v>177.41</v>
          </cell>
          <cell r="J2393">
            <v>0</v>
          </cell>
          <cell r="K2393">
            <v>0</v>
          </cell>
          <cell r="M2393">
            <v>0</v>
          </cell>
          <cell r="P2393">
            <v>177</v>
          </cell>
          <cell r="V2393" t="str">
            <v>Available</v>
          </cell>
        </row>
        <row r="2394">
          <cell r="E2394">
            <v>10110066</v>
          </cell>
          <cell r="H2394">
            <v>4.5</v>
          </cell>
          <cell r="I2394">
            <v>177.37</v>
          </cell>
          <cell r="J2394">
            <v>0</v>
          </cell>
          <cell r="K2394">
            <v>0</v>
          </cell>
          <cell r="M2394">
            <v>0</v>
          </cell>
          <cell r="P2394">
            <v>177</v>
          </cell>
          <cell r="V2394" t="str">
            <v>Available</v>
          </cell>
        </row>
        <row r="2395">
          <cell r="E2395">
            <v>10110066</v>
          </cell>
          <cell r="H2395">
            <v>60.920000000000009</v>
          </cell>
          <cell r="I2395">
            <v>2198.7899999999995</v>
          </cell>
          <cell r="J2395">
            <v>0</v>
          </cell>
          <cell r="K2395">
            <v>0</v>
          </cell>
          <cell r="M2395">
            <v>0</v>
          </cell>
          <cell r="P2395">
            <v>2199</v>
          </cell>
          <cell r="V2395" t="str">
            <v>Available</v>
          </cell>
        </row>
        <row r="2396">
          <cell r="E2396">
            <v>10110071</v>
          </cell>
          <cell r="H2396">
            <v>116.8</v>
          </cell>
          <cell r="I2396">
            <v>4540.6900000000005</v>
          </cell>
          <cell r="J2396">
            <v>0</v>
          </cell>
          <cell r="K2396">
            <v>0</v>
          </cell>
          <cell r="M2396">
            <v>0</v>
          </cell>
          <cell r="P2396">
            <v>3774</v>
          </cell>
          <cell r="V2396" t="str">
            <v>Available</v>
          </cell>
        </row>
        <row r="2397">
          <cell r="E2397">
            <v>10110073</v>
          </cell>
          <cell r="H2397">
            <v>42.4</v>
          </cell>
          <cell r="I2397">
            <v>1709.14</v>
          </cell>
          <cell r="J2397">
            <v>0</v>
          </cell>
          <cell r="K2397">
            <v>0</v>
          </cell>
          <cell r="M2397">
            <v>0</v>
          </cell>
          <cell r="P2397">
            <v>750</v>
          </cell>
          <cell r="V2397" t="str">
            <v>Available</v>
          </cell>
        </row>
        <row r="2398">
          <cell r="E2398">
            <v>10110073</v>
          </cell>
          <cell r="H2398">
            <v>101.21</v>
          </cell>
          <cell r="I2398">
            <v>4181.24</v>
          </cell>
          <cell r="J2398">
            <v>0</v>
          </cell>
          <cell r="K2398">
            <v>0</v>
          </cell>
          <cell r="M2398">
            <v>0</v>
          </cell>
          <cell r="P2398">
            <v>4181</v>
          </cell>
          <cell r="V2398" t="str">
            <v>Available</v>
          </cell>
        </row>
        <row r="2399">
          <cell r="E2399">
            <v>10110073</v>
          </cell>
          <cell r="H2399">
            <v>7.59</v>
          </cell>
          <cell r="I2399">
            <v>272.02</v>
          </cell>
          <cell r="J2399">
            <v>0</v>
          </cell>
          <cell r="K2399">
            <v>0</v>
          </cell>
          <cell r="M2399">
            <v>0</v>
          </cell>
          <cell r="P2399">
            <v>272</v>
          </cell>
          <cell r="V2399" t="str">
            <v>Available</v>
          </cell>
        </row>
        <row r="2400">
          <cell r="E2400">
            <v>10110076</v>
          </cell>
          <cell r="H2400">
            <v>3.5600000000000009</v>
          </cell>
          <cell r="I2400">
            <v>154.34000000000003</v>
          </cell>
          <cell r="J2400">
            <v>0</v>
          </cell>
          <cell r="K2400">
            <v>154.34000000000003</v>
          </cell>
          <cell r="M2400">
            <v>0</v>
          </cell>
          <cell r="P2400">
            <v>0</v>
          </cell>
          <cell r="V2400" t="str">
            <v>Not Available</v>
          </cell>
        </row>
        <row r="2401">
          <cell r="E2401">
            <v>10110076</v>
          </cell>
          <cell r="H2401">
            <v>251.51999999999998</v>
          </cell>
          <cell r="I2401">
            <v>12009.22</v>
          </cell>
          <cell r="J2401">
            <v>0</v>
          </cell>
          <cell r="K2401">
            <v>0</v>
          </cell>
          <cell r="M2401">
            <v>0</v>
          </cell>
          <cell r="P2401">
            <v>4026</v>
          </cell>
          <cell r="V2401" t="str">
            <v>Available</v>
          </cell>
        </row>
        <row r="2402">
          <cell r="E2402">
            <v>10110076</v>
          </cell>
          <cell r="H2402">
            <v>235.99999999999997</v>
          </cell>
          <cell r="I2402">
            <v>10989.099999999999</v>
          </cell>
          <cell r="J2402">
            <v>0</v>
          </cell>
          <cell r="K2402">
            <v>0</v>
          </cell>
          <cell r="M2402">
            <v>9100</v>
          </cell>
          <cell r="P2402">
            <v>1889</v>
          </cell>
          <cell r="V2402" t="str">
            <v>Available</v>
          </cell>
        </row>
        <row r="2403">
          <cell r="E2403">
            <v>10110076</v>
          </cell>
          <cell r="H2403">
            <v>226.18</v>
          </cell>
          <cell r="I2403">
            <v>10654.769999999999</v>
          </cell>
          <cell r="J2403">
            <v>0</v>
          </cell>
          <cell r="K2403">
            <v>0</v>
          </cell>
          <cell r="M2403">
            <v>0</v>
          </cell>
          <cell r="P2403">
            <v>10655</v>
          </cell>
          <cell r="V2403" t="str">
            <v>Available</v>
          </cell>
        </row>
        <row r="2404">
          <cell r="E2404">
            <v>10110076</v>
          </cell>
          <cell r="H2404">
            <v>223.56</v>
          </cell>
          <cell r="I2404">
            <v>10037.99</v>
          </cell>
          <cell r="J2404">
            <v>0</v>
          </cell>
          <cell r="K2404">
            <v>0</v>
          </cell>
          <cell r="M2404">
            <v>10038</v>
          </cell>
          <cell r="P2404">
            <v>0</v>
          </cell>
          <cell r="V2404" t="str">
            <v>Available</v>
          </cell>
        </row>
        <row r="2405">
          <cell r="E2405">
            <v>10110076</v>
          </cell>
          <cell r="H2405">
            <v>216.89999999999998</v>
          </cell>
          <cell r="I2405">
            <v>10234.680000000002</v>
          </cell>
          <cell r="J2405">
            <v>0</v>
          </cell>
          <cell r="K2405">
            <v>0</v>
          </cell>
          <cell r="M2405">
            <v>0</v>
          </cell>
          <cell r="P2405">
            <v>10235</v>
          </cell>
          <cell r="V2405" t="str">
            <v>Available</v>
          </cell>
        </row>
        <row r="2406">
          <cell r="E2406">
            <v>10110076</v>
          </cell>
          <cell r="H2406">
            <v>146.06</v>
          </cell>
          <cell r="I2406">
            <v>6871.4400000000005</v>
          </cell>
          <cell r="J2406">
            <v>0</v>
          </cell>
          <cell r="K2406">
            <v>0</v>
          </cell>
          <cell r="M2406">
            <v>0</v>
          </cell>
          <cell r="P2406">
            <v>6871</v>
          </cell>
          <cell r="V2406" t="str">
            <v>Available</v>
          </cell>
        </row>
        <row r="2407">
          <cell r="E2407">
            <v>10110076</v>
          </cell>
          <cell r="H2407">
            <v>112.02000000000001</v>
          </cell>
          <cell r="I2407">
            <v>5649.16</v>
          </cell>
          <cell r="J2407">
            <v>0</v>
          </cell>
          <cell r="K2407">
            <v>0</v>
          </cell>
          <cell r="M2407">
            <v>362</v>
          </cell>
          <cell r="P2407">
            <v>5287</v>
          </cell>
          <cell r="V2407" t="str">
            <v>Not Available</v>
          </cell>
        </row>
        <row r="2408">
          <cell r="E2408">
            <v>10110076</v>
          </cell>
          <cell r="H2408">
            <v>99.84</v>
          </cell>
          <cell r="I2408">
            <v>4737.75</v>
          </cell>
          <cell r="J2408">
            <v>0</v>
          </cell>
          <cell r="K2408">
            <v>0</v>
          </cell>
          <cell r="M2408">
            <v>0</v>
          </cell>
          <cell r="P2408">
            <v>4738</v>
          </cell>
          <cell r="V2408" t="str">
            <v>Not Available</v>
          </cell>
        </row>
        <row r="2409">
          <cell r="E2409">
            <v>10110076</v>
          </cell>
          <cell r="H2409">
            <v>76.12</v>
          </cell>
          <cell r="I2409">
            <v>3467.15</v>
          </cell>
          <cell r="J2409">
            <v>0</v>
          </cell>
          <cell r="K2409">
            <v>0</v>
          </cell>
          <cell r="M2409">
            <v>0</v>
          </cell>
          <cell r="P2409">
            <v>3467</v>
          </cell>
          <cell r="V2409" t="str">
            <v>Not Available</v>
          </cell>
        </row>
        <row r="2410">
          <cell r="E2410">
            <v>10110076</v>
          </cell>
          <cell r="H2410">
            <v>107.08000000000001</v>
          </cell>
          <cell r="I2410">
            <v>4705.2299999999996</v>
          </cell>
          <cell r="J2410">
            <v>0</v>
          </cell>
          <cell r="K2410">
            <v>0</v>
          </cell>
          <cell r="M2410">
            <v>0</v>
          </cell>
          <cell r="P2410">
            <v>4705</v>
          </cell>
          <cell r="V2410" t="str">
            <v>Not Available</v>
          </cell>
        </row>
        <row r="2411">
          <cell r="E2411">
            <v>10110076</v>
          </cell>
          <cell r="H2411">
            <v>103.69999999999999</v>
          </cell>
          <cell r="I2411">
            <v>4871.8500000000004</v>
          </cell>
          <cell r="J2411">
            <v>0</v>
          </cell>
          <cell r="K2411">
            <v>0</v>
          </cell>
          <cell r="M2411">
            <v>0</v>
          </cell>
          <cell r="P2411">
            <v>4872</v>
          </cell>
          <cell r="V2411" t="str">
            <v>Not Available</v>
          </cell>
        </row>
        <row r="2412">
          <cell r="E2412">
            <v>10110076</v>
          </cell>
          <cell r="H2412">
            <v>97.66</v>
          </cell>
          <cell r="I2412">
            <v>4475.82</v>
          </cell>
          <cell r="J2412">
            <v>0</v>
          </cell>
          <cell r="K2412">
            <v>0</v>
          </cell>
          <cell r="M2412">
            <v>0</v>
          </cell>
          <cell r="P2412">
            <v>4476</v>
          </cell>
          <cell r="V2412" t="str">
            <v>Not Available</v>
          </cell>
        </row>
        <row r="2413">
          <cell r="E2413">
            <v>10110076</v>
          </cell>
          <cell r="H2413">
            <v>124.3</v>
          </cell>
          <cell r="I2413">
            <v>5809.619999999999</v>
          </cell>
          <cell r="J2413">
            <v>0</v>
          </cell>
          <cell r="K2413">
            <v>0</v>
          </cell>
          <cell r="M2413">
            <v>0</v>
          </cell>
          <cell r="P2413">
            <v>5810</v>
          </cell>
          <cell r="V2413" t="str">
            <v>Available</v>
          </cell>
        </row>
        <row r="2414">
          <cell r="E2414">
            <v>10110083</v>
          </cell>
          <cell r="H2414">
            <v>181.5</v>
          </cell>
          <cell r="I2414">
            <v>7254.81</v>
          </cell>
          <cell r="J2414">
            <v>0</v>
          </cell>
          <cell r="K2414">
            <v>0</v>
          </cell>
          <cell r="M2414">
            <v>0</v>
          </cell>
          <cell r="P2414">
            <v>7021</v>
          </cell>
          <cell r="V2414" t="str">
            <v>Available</v>
          </cell>
        </row>
        <row r="2415">
          <cell r="E2415">
            <v>10110086</v>
          </cell>
          <cell r="H2415">
            <v>2.2999999999999998</v>
          </cell>
          <cell r="I2415">
            <v>107.07000000000002</v>
          </cell>
          <cell r="J2415">
            <v>0</v>
          </cell>
          <cell r="K2415">
            <v>107.07000000000002</v>
          </cell>
          <cell r="M2415">
            <v>0</v>
          </cell>
          <cell r="P2415">
            <v>0</v>
          </cell>
          <cell r="V2415" t="str">
            <v>Not Available</v>
          </cell>
        </row>
        <row r="2416">
          <cell r="E2416">
            <v>10110086</v>
          </cell>
          <cell r="H2416">
            <v>106.80000000000001</v>
          </cell>
          <cell r="I2416">
            <v>4256.18</v>
          </cell>
          <cell r="J2416">
            <v>0</v>
          </cell>
          <cell r="K2416">
            <v>0</v>
          </cell>
          <cell r="M2416">
            <v>4256</v>
          </cell>
          <cell r="P2416">
            <v>0</v>
          </cell>
          <cell r="V2416" t="str">
            <v>Available</v>
          </cell>
        </row>
        <row r="2417">
          <cell r="E2417">
            <v>10110086</v>
          </cell>
          <cell r="H2417">
            <v>81.399999999999991</v>
          </cell>
          <cell r="I2417">
            <v>3230.15</v>
          </cell>
          <cell r="J2417">
            <v>0</v>
          </cell>
          <cell r="K2417">
            <v>0</v>
          </cell>
          <cell r="M2417">
            <v>3230</v>
          </cell>
          <cell r="P2417">
            <v>0</v>
          </cell>
          <cell r="V2417" t="str">
            <v>Available</v>
          </cell>
        </row>
        <row r="2418">
          <cell r="E2418">
            <v>10110086</v>
          </cell>
          <cell r="H2418">
            <v>28.6</v>
          </cell>
          <cell r="I2418">
            <v>1151.3899999999999</v>
          </cell>
          <cell r="J2418">
            <v>0</v>
          </cell>
          <cell r="K2418">
            <v>0</v>
          </cell>
          <cell r="M2418">
            <v>1151</v>
          </cell>
          <cell r="P2418">
            <v>0</v>
          </cell>
          <cell r="V2418" t="str">
            <v>Available</v>
          </cell>
        </row>
        <row r="2419">
          <cell r="E2419">
            <v>10110093</v>
          </cell>
          <cell r="H2419">
            <v>11</v>
          </cell>
          <cell r="I2419">
            <v>458.9</v>
          </cell>
          <cell r="J2419">
            <v>0</v>
          </cell>
          <cell r="K2419">
            <v>458.9</v>
          </cell>
          <cell r="M2419">
            <v>0</v>
          </cell>
          <cell r="P2419">
            <v>0</v>
          </cell>
          <cell r="V2419" t="str">
            <v>Not Available</v>
          </cell>
        </row>
        <row r="2420">
          <cell r="E2420">
            <v>10110093</v>
          </cell>
          <cell r="H2420">
            <v>368.4</v>
          </cell>
          <cell r="I2420">
            <v>15311.68</v>
          </cell>
          <cell r="J2420">
            <v>0</v>
          </cell>
          <cell r="K2420">
            <v>0</v>
          </cell>
          <cell r="M2420">
            <v>0</v>
          </cell>
          <cell r="P2420">
            <v>13145</v>
          </cell>
          <cell r="V2420" t="str">
            <v>Available</v>
          </cell>
        </row>
        <row r="2421">
          <cell r="E2421">
            <v>10110093</v>
          </cell>
          <cell r="H2421">
            <v>4.3</v>
          </cell>
          <cell r="I2421">
            <v>177.98</v>
          </cell>
          <cell r="J2421">
            <v>0</v>
          </cell>
          <cell r="K2421">
            <v>0</v>
          </cell>
          <cell r="M2421">
            <v>0</v>
          </cell>
          <cell r="P2421">
            <v>178</v>
          </cell>
          <cell r="V2421" t="str">
            <v>Available</v>
          </cell>
        </row>
        <row r="2422">
          <cell r="E2422">
            <v>10110093</v>
          </cell>
          <cell r="H2422">
            <v>1</v>
          </cell>
          <cell r="I2422">
            <v>40.590000000000003</v>
          </cell>
          <cell r="J2422">
            <v>0</v>
          </cell>
          <cell r="K2422">
            <v>0</v>
          </cell>
          <cell r="M2422">
            <v>0</v>
          </cell>
          <cell r="P2422">
            <v>41</v>
          </cell>
          <cell r="V2422" t="str">
            <v>Available</v>
          </cell>
        </row>
        <row r="2423">
          <cell r="E2423">
            <v>10110094</v>
          </cell>
          <cell r="H2423">
            <v>5.23</v>
          </cell>
          <cell r="I2423">
            <v>210</v>
          </cell>
          <cell r="J2423">
            <v>0</v>
          </cell>
          <cell r="K2423">
            <v>210</v>
          </cell>
          <cell r="M2423">
            <v>0</v>
          </cell>
          <cell r="P2423">
            <v>0</v>
          </cell>
          <cell r="V2423" t="str">
            <v>Not Available</v>
          </cell>
        </row>
        <row r="2424">
          <cell r="E2424">
            <v>10110094</v>
          </cell>
          <cell r="H2424">
            <v>10.190000000000001</v>
          </cell>
          <cell r="I2424">
            <v>390.52000000000004</v>
          </cell>
          <cell r="J2424">
            <v>0</v>
          </cell>
          <cell r="K2424">
            <v>0</v>
          </cell>
          <cell r="M2424">
            <v>0</v>
          </cell>
          <cell r="P2424">
            <v>283</v>
          </cell>
          <cell r="V2424" t="str">
            <v>Available</v>
          </cell>
        </row>
        <row r="2425">
          <cell r="E2425">
            <v>10110094</v>
          </cell>
          <cell r="H2425">
            <v>36.28</v>
          </cell>
          <cell r="I2425">
            <v>1386.91</v>
          </cell>
          <cell r="J2425">
            <v>0</v>
          </cell>
          <cell r="K2425">
            <v>0</v>
          </cell>
          <cell r="M2425">
            <v>0</v>
          </cell>
          <cell r="P2425">
            <v>1387</v>
          </cell>
          <cell r="V2425" t="str">
            <v>Available</v>
          </cell>
        </row>
        <row r="2426">
          <cell r="E2426">
            <v>10110094</v>
          </cell>
          <cell r="H2426">
            <v>83.82</v>
          </cell>
          <cell r="I2426">
            <v>3216.7000000000003</v>
          </cell>
          <cell r="J2426">
            <v>0</v>
          </cell>
          <cell r="K2426">
            <v>0</v>
          </cell>
          <cell r="M2426">
            <v>0</v>
          </cell>
          <cell r="P2426">
            <v>3217</v>
          </cell>
          <cell r="V2426" t="str">
            <v>Available</v>
          </cell>
        </row>
        <row r="2427">
          <cell r="E2427">
            <v>10110094</v>
          </cell>
          <cell r="H2427">
            <v>21.130000000000003</v>
          </cell>
          <cell r="I2427">
            <v>903.68999999999994</v>
          </cell>
          <cell r="J2427">
            <v>0</v>
          </cell>
          <cell r="K2427">
            <v>0</v>
          </cell>
          <cell r="M2427">
            <v>0</v>
          </cell>
          <cell r="P2427">
            <v>904</v>
          </cell>
          <cell r="V2427" t="str">
            <v>Available</v>
          </cell>
        </row>
        <row r="2428">
          <cell r="E2428">
            <v>10110094</v>
          </cell>
          <cell r="H2428">
            <v>14.51</v>
          </cell>
          <cell r="I2428">
            <v>625.56000000000006</v>
          </cell>
          <cell r="J2428">
            <v>0</v>
          </cell>
          <cell r="K2428">
            <v>0</v>
          </cell>
          <cell r="M2428">
            <v>0</v>
          </cell>
          <cell r="P2428">
            <v>626</v>
          </cell>
          <cell r="V2428" t="str">
            <v>Available</v>
          </cell>
        </row>
        <row r="2429">
          <cell r="E2429">
            <v>10110094</v>
          </cell>
          <cell r="H2429">
            <v>30.990000000000002</v>
          </cell>
          <cell r="I2429">
            <v>1271.6999999999998</v>
          </cell>
          <cell r="J2429">
            <v>0</v>
          </cell>
          <cell r="K2429">
            <v>0</v>
          </cell>
          <cell r="M2429">
            <v>0</v>
          </cell>
          <cell r="P2429">
            <v>1272</v>
          </cell>
          <cell r="V2429" t="str">
            <v>Available</v>
          </cell>
        </row>
        <row r="2430">
          <cell r="E2430">
            <v>10110094</v>
          </cell>
          <cell r="H2430">
            <v>52.32</v>
          </cell>
          <cell r="I2430">
            <v>2110.7599999999998</v>
          </cell>
          <cell r="J2430">
            <v>0</v>
          </cell>
          <cell r="K2430">
            <v>0</v>
          </cell>
          <cell r="M2430">
            <v>0</v>
          </cell>
          <cell r="P2430">
            <v>2111</v>
          </cell>
          <cell r="V2430" t="str">
            <v>Available</v>
          </cell>
        </row>
        <row r="2431">
          <cell r="E2431">
            <v>10110094</v>
          </cell>
          <cell r="H2431">
            <v>12.7</v>
          </cell>
          <cell r="I2431">
            <v>539.15</v>
          </cell>
          <cell r="J2431">
            <v>0</v>
          </cell>
          <cell r="K2431">
            <v>0</v>
          </cell>
          <cell r="M2431">
            <v>0</v>
          </cell>
          <cell r="P2431">
            <v>539</v>
          </cell>
          <cell r="V2431" t="str">
            <v>Available</v>
          </cell>
        </row>
        <row r="2432">
          <cell r="E2432">
            <v>10110094</v>
          </cell>
          <cell r="H2432">
            <v>23.29</v>
          </cell>
          <cell r="I2432">
            <v>910.01</v>
          </cell>
          <cell r="J2432">
            <v>0</v>
          </cell>
          <cell r="K2432">
            <v>0</v>
          </cell>
          <cell r="M2432">
            <v>0</v>
          </cell>
          <cell r="P2432">
            <v>910</v>
          </cell>
          <cell r="V2432" t="str">
            <v>Available</v>
          </cell>
        </row>
        <row r="2433">
          <cell r="E2433">
            <v>10110094</v>
          </cell>
          <cell r="H2433">
            <v>73.249999999999986</v>
          </cell>
          <cell r="I2433">
            <v>3057.0700000000006</v>
          </cell>
          <cell r="J2433">
            <v>0</v>
          </cell>
          <cell r="K2433">
            <v>0</v>
          </cell>
          <cell r="M2433">
            <v>0</v>
          </cell>
          <cell r="P2433">
            <v>3057</v>
          </cell>
          <cell r="V2433" t="str">
            <v>Available</v>
          </cell>
        </row>
        <row r="2434">
          <cell r="E2434">
            <v>10110095</v>
          </cell>
          <cell r="H2434">
            <v>5.7800000000000011</v>
          </cell>
          <cell r="I2434">
            <v>257.83999999999997</v>
          </cell>
          <cell r="J2434">
            <v>0</v>
          </cell>
          <cell r="K2434">
            <v>257.83999999999997</v>
          </cell>
          <cell r="M2434">
            <v>0</v>
          </cell>
          <cell r="P2434">
            <v>0</v>
          </cell>
          <cell r="V2434" t="str">
            <v>Not Available</v>
          </cell>
        </row>
        <row r="2435">
          <cell r="E2435">
            <v>10110095</v>
          </cell>
          <cell r="H2435">
            <v>37.400000000000006</v>
          </cell>
          <cell r="I2435">
            <v>1270.0100000000002</v>
          </cell>
          <cell r="J2435">
            <v>0</v>
          </cell>
          <cell r="K2435">
            <v>0</v>
          </cell>
          <cell r="M2435">
            <v>0</v>
          </cell>
          <cell r="P2435">
            <v>1270</v>
          </cell>
          <cell r="V2435" t="str">
            <v>Available</v>
          </cell>
        </row>
        <row r="2436">
          <cell r="E2436">
            <v>10110095</v>
          </cell>
          <cell r="H2436">
            <v>24.5</v>
          </cell>
          <cell r="I2436">
            <v>993.27999999999986</v>
          </cell>
          <cell r="J2436">
            <v>0</v>
          </cell>
          <cell r="K2436">
            <v>0</v>
          </cell>
          <cell r="M2436">
            <v>0</v>
          </cell>
          <cell r="P2436">
            <v>993</v>
          </cell>
          <cell r="V2436" t="str">
            <v>Available</v>
          </cell>
        </row>
        <row r="2437">
          <cell r="E2437">
            <v>10110095</v>
          </cell>
          <cell r="H2437">
            <v>61.599999999999994</v>
          </cell>
          <cell r="I2437">
            <v>2746.03</v>
          </cell>
          <cell r="J2437">
            <v>0</v>
          </cell>
          <cell r="K2437">
            <v>0</v>
          </cell>
          <cell r="M2437">
            <v>0</v>
          </cell>
          <cell r="P2437">
            <v>2746</v>
          </cell>
          <cell r="V2437" t="str">
            <v>Available</v>
          </cell>
        </row>
        <row r="2438">
          <cell r="E2438">
            <v>10110095</v>
          </cell>
          <cell r="H2438">
            <v>0.65</v>
          </cell>
          <cell r="I2438">
            <v>31.08</v>
          </cell>
          <cell r="J2438">
            <v>0</v>
          </cell>
          <cell r="K2438">
            <v>0</v>
          </cell>
          <cell r="M2438">
            <v>0</v>
          </cell>
          <cell r="P2438">
            <v>31</v>
          </cell>
          <cell r="V2438" t="str">
            <v>Available</v>
          </cell>
        </row>
        <row r="2439">
          <cell r="E2439">
            <v>10110095</v>
          </cell>
          <cell r="H2439">
            <v>51.089999999999989</v>
          </cell>
          <cell r="I2439">
            <v>2320.46</v>
          </cell>
          <cell r="J2439">
            <v>0</v>
          </cell>
          <cell r="K2439">
            <v>0</v>
          </cell>
          <cell r="M2439">
            <v>0</v>
          </cell>
          <cell r="P2439">
            <v>2320</v>
          </cell>
          <cell r="V2439" t="str">
            <v>Available</v>
          </cell>
        </row>
        <row r="2440">
          <cell r="E2440">
            <v>10110095</v>
          </cell>
          <cell r="H2440">
            <v>7.17</v>
          </cell>
          <cell r="I2440">
            <v>469.45000000000005</v>
          </cell>
          <cell r="J2440">
            <v>0</v>
          </cell>
          <cell r="K2440">
            <v>0</v>
          </cell>
          <cell r="M2440">
            <v>0</v>
          </cell>
          <cell r="P2440">
            <v>469</v>
          </cell>
          <cell r="V2440" t="str">
            <v>Available</v>
          </cell>
        </row>
        <row r="2441">
          <cell r="E2441">
            <v>10110095</v>
          </cell>
          <cell r="H2441">
            <v>13.759999999999998</v>
          </cell>
          <cell r="I2441">
            <v>721.87</v>
          </cell>
          <cell r="J2441">
            <v>0</v>
          </cell>
          <cell r="K2441">
            <v>0</v>
          </cell>
          <cell r="M2441">
            <v>0</v>
          </cell>
          <cell r="P2441">
            <v>722</v>
          </cell>
          <cell r="V2441" t="str">
            <v>Available</v>
          </cell>
        </row>
        <row r="2442">
          <cell r="E2442">
            <v>10110095</v>
          </cell>
          <cell r="H2442">
            <v>19.53</v>
          </cell>
          <cell r="I2442">
            <v>1290.75</v>
          </cell>
          <cell r="J2442">
            <v>0</v>
          </cell>
          <cell r="K2442">
            <v>0</v>
          </cell>
          <cell r="M2442">
            <v>0</v>
          </cell>
          <cell r="P2442">
            <v>1291</v>
          </cell>
          <cell r="V2442" t="str">
            <v>Available</v>
          </cell>
        </row>
        <row r="2443">
          <cell r="E2443">
            <v>10110095</v>
          </cell>
          <cell r="H2443">
            <v>15.759999999999998</v>
          </cell>
          <cell r="I2443">
            <v>629.06999999999994</v>
          </cell>
          <cell r="J2443">
            <v>0</v>
          </cell>
          <cell r="K2443">
            <v>0</v>
          </cell>
          <cell r="M2443">
            <v>0</v>
          </cell>
          <cell r="P2443">
            <v>629</v>
          </cell>
          <cell r="V2443" t="str">
            <v>Available</v>
          </cell>
        </row>
        <row r="2444">
          <cell r="E2444">
            <v>10110095</v>
          </cell>
          <cell r="H2444">
            <v>16.09</v>
          </cell>
          <cell r="I2444">
            <v>682.61999999999989</v>
          </cell>
          <cell r="J2444">
            <v>0</v>
          </cell>
          <cell r="K2444">
            <v>0</v>
          </cell>
          <cell r="M2444">
            <v>0</v>
          </cell>
          <cell r="P2444">
            <v>683</v>
          </cell>
          <cell r="V2444" t="str">
            <v>Available</v>
          </cell>
        </row>
        <row r="2445">
          <cell r="E2445">
            <v>10110098</v>
          </cell>
          <cell r="H2445">
            <v>120.9</v>
          </cell>
          <cell r="I2445">
            <v>4750.25</v>
          </cell>
          <cell r="J2445">
            <v>0</v>
          </cell>
          <cell r="K2445">
            <v>0</v>
          </cell>
          <cell r="M2445">
            <v>0</v>
          </cell>
          <cell r="P2445">
            <v>4250</v>
          </cell>
          <cell r="V2445" t="str">
            <v>Available</v>
          </cell>
        </row>
        <row r="2446">
          <cell r="E2446">
            <v>10110100</v>
          </cell>
          <cell r="H2446">
            <v>119.94</v>
          </cell>
          <cell r="I2446">
            <v>6046.4699999999993</v>
          </cell>
          <cell r="J2446">
            <v>0</v>
          </cell>
          <cell r="K2446">
            <v>0</v>
          </cell>
          <cell r="M2446">
            <v>0</v>
          </cell>
          <cell r="P2446">
            <v>6046</v>
          </cell>
          <cell r="V2446" t="str">
            <v>Available</v>
          </cell>
        </row>
        <row r="2447">
          <cell r="E2447">
            <v>10110100</v>
          </cell>
          <cell r="H2447">
            <v>21.52</v>
          </cell>
          <cell r="I2447">
            <v>846.78</v>
          </cell>
          <cell r="J2447">
            <v>0</v>
          </cell>
          <cell r="K2447">
            <v>0</v>
          </cell>
          <cell r="M2447">
            <v>0</v>
          </cell>
          <cell r="P2447">
            <v>847</v>
          </cell>
          <cell r="V2447" t="str">
            <v>Available</v>
          </cell>
        </row>
        <row r="2448">
          <cell r="E2448">
            <v>10110100</v>
          </cell>
          <cell r="H2448">
            <v>1450.9699999999998</v>
          </cell>
          <cell r="I2448">
            <v>62038.21</v>
          </cell>
          <cell r="J2448">
            <v>0</v>
          </cell>
          <cell r="K2448">
            <v>0</v>
          </cell>
          <cell r="M2448">
            <v>0</v>
          </cell>
          <cell r="P2448">
            <v>62038</v>
          </cell>
          <cell r="V2448" t="str">
            <v>Available</v>
          </cell>
        </row>
        <row r="2449">
          <cell r="E2449">
            <v>10110100</v>
          </cell>
          <cell r="H2449">
            <v>40.260000000000005</v>
          </cell>
          <cell r="I2449">
            <v>1453.24</v>
          </cell>
          <cell r="J2449">
            <v>0</v>
          </cell>
          <cell r="K2449">
            <v>0</v>
          </cell>
          <cell r="M2449">
            <v>0</v>
          </cell>
          <cell r="P2449">
            <v>1453</v>
          </cell>
          <cell r="V2449" t="str">
            <v>Available</v>
          </cell>
        </row>
        <row r="2450">
          <cell r="E2450">
            <v>10110100</v>
          </cell>
          <cell r="H2450">
            <v>47.64</v>
          </cell>
          <cell r="I2450">
            <v>1703.6399999999999</v>
          </cell>
          <cell r="J2450">
            <v>0</v>
          </cell>
          <cell r="K2450">
            <v>0</v>
          </cell>
          <cell r="M2450">
            <v>0</v>
          </cell>
          <cell r="P2450">
            <v>1704</v>
          </cell>
          <cell r="V2450" t="str">
            <v>Available</v>
          </cell>
        </row>
        <row r="2451">
          <cell r="E2451">
            <v>10110100</v>
          </cell>
          <cell r="H2451">
            <v>19.66</v>
          </cell>
          <cell r="I2451">
            <v>697.17</v>
          </cell>
          <cell r="J2451">
            <v>0</v>
          </cell>
          <cell r="K2451">
            <v>0</v>
          </cell>
          <cell r="M2451">
            <v>0</v>
          </cell>
          <cell r="P2451">
            <v>697</v>
          </cell>
          <cell r="V2451" t="str">
            <v>Available</v>
          </cell>
        </row>
        <row r="2452">
          <cell r="E2452">
            <v>10110100</v>
          </cell>
          <cell r="H2452">
            <v>436.53</v>
          </cell>
          <cell r="I2452">
            <v>17291.829999999998</v>
          </cell>
          <cell r="J2452">
            <v>0</v>
          </cell>
          <cell r="K2452">
            <v>0</v>
          </cell>
          <cell r="M2452">
            <v>0</v>
          </cell>
          <cell r="P2452">
            <v>17292</v>
          </cell>
          <cell r="V2452" t="str">
            <v>Available</v>
          </cell>
        </row>
        <row r="2453">
          <cell r="E2453">
            <v>10110100</v>
          </cell>
          <cell r="H2453">
            <v>33.76</v>
          </cell>
          <cell r="I2453">
            <v>1438.58</v>
          </cell>
          <cell r="J2453">
            <v>0</v>
          </cell>
          <cell r="K2453">
            <v>0</v>
          </cell>
          <cell r="M2453">
            <v>0</v>
          </cell>
          <cell r="P2453">
            <v>1439</v>
          </cell>
          <cell r="V2453" t="str">
            <v>Available</v>
          </cell>
        </row>
        <row r="2454">
          <cell r="E2454">
            <v>10110100</v>
          </cell>
          <cell r="H2454">
            <v>21.26</v>
          </cell>
          <cell r="I2454">
            <v>926.30000000000007</v>
          </cell>
          <cell r="J2454">
            <v>0</v>
          </cell>
          <cell r="K2454">
            <v>0</v>
          </cell>
          <cell r="M2454">
            <v>0</v>
          </cell>
          <cell r="P2454">
            <v>926</v>
          </cell>
          <cell r="V2454" t="str">
            <v>Available</v>
          </cell>
        </row>
        <row r="2455">
          <cell r="E2455">
            <v>10110100</v>
          </cell>
          <cell r="H2455">
            <v>1207.6199999999999</v>
          </cell>
          <cell r="I2455">
            <v>49105.289999999994</v>
          </cell>
          <cell r="J2455">
            <v>0</v>
          </cell>
          <cell r="K2455">
            <v>0</v>
          </cell>
          <cell r="M2455">
            <v>0</v>
          </cell>
          <cell r="P2455">
            <v>49105</v>
          </cell>
          <cell r="V2455" t="str">
            <v>Available</v>
          </cell>
        </row>
        <row r="2456">
          <cell r="E2456">
            <v>10110100</v>
          </cell>
          <cell r="H2456">
            <v>42.300000000000004</v>
          </cell>
          <cell r="I2456">
            <v>1566.3899999999999</v>
          </cell>
          <cell r="J2456">
            <v>0</v>
          </cell>
          <cell r="K2456">
            <v>0</v>
          </cell>
          <cell r="M2456">
            <v>0</v>
          </cell>
          <cell r="P2456">
            <v>1566</v>
          </cell>
          <cell r="V2456" t="str">
            <v>Available</v>
          </cell>
        </row>
        <row r="2457">
          <cell r="E2457">
            <v>10110100</v>
          </cell>
          <cell r="H2457">
            <v>26.379999999999995</v>
          </cell>
          <cell r="I2457">
            <v>1178.2700000000002</v>
          </cell>
          <cell r="J2457">
            <v>0</v>
          </cell>
          <cell r="K2457">
            <v>0</v>
          </cell>
          <cell r="M2457">
            <v>0</v>
          </cell>
          <cell r="P2457">
            <v>1178</v>
          </cell>
          <cell r="V2457" t="str">
            <v>Available</v>
          </cell>
        </row>
        <row r="2458">
          <cell r="E2458">
            <v>10110100</v>
          </cell>
          <cell r="H2458">
            <v>6.1000000000000005</v>
          </cell>
          <cell r="I2458">
            <v>308.83999999999997</v>
          </cell>
          <cell r="J2458">
            <v>0</v>
          </cell>
          <cell r="K2458">
            <v>0</v>
          </cell>
          <cell r="M2458">
            <v>0</v>
          </cell>
          <cell r="P2458">
            <v>309</v>
          </cell>
          <cell r="V2458" t="str">
            <v>Available</v>
          </cell>
        </row>
        <row r="2459">
          <cell r="E2459">
            <v>10110100</v>
          </cell>
          <cell r="H2459">
            <v>16.940000000000001</v>
          </cell>
          <cell r="I2459">
            <v>660.77</v>
          </cell>
          <cell r="J2459">
            <v>0</v>
          </cell>
          <cell r="K2459">
            <v>0</v>
          </cell>
          <cell r="M2459">
            <v>0</v>
          </cell>
          <cell r="P2459">
            <v>661</v>
          </cell>
          <cell r="V2459" t="str">
            <v>Available</v>
          </cell>
        </row>
        <row r="2460">
          <cell r="E2460">
            <v>10110100</v>
          </cell>
          <cell r="H2460">
            <v>1.56</v>
          </cell>
          <cell r="I2460">
            <v>67.22</v>
          </cell>
          <cell r="J2460">
            <v>0</v>
          </cell>
          <cell r="K2460">
            <v>0</v>
          </cell>
          <cell r="M2460">
            <v>0</v>
          </cell>
          <cell r="P2460">
            <v>67</v>
          </cell>
          <cell r="V2460" t="str">
            <v>Available</v>
          </cell>
        </row>
        <row r="2461">
          <cell r="E2461">
            <v>10110100</v>
          </cell>
          <cell r="H2461">
            <v>34.379999999999995</v>
          </cell>
          <cell r="I2461">
            <v>1260.2299999999998</v>
          </cell>
          <cell r="J2461">
            <v>0</v>
          </cell>
          <cell r="K2461">
            <v>0</v>
          </cell>
          <cell r="M2461">
            <v>0</v>
          </cell>
          <cell r="P2461">
            <v>1260</v>
          </cell>
          <cell r="V2461" t="str">
            <v>Available</v>
          </cell>
        </row>
        <row r="2462">
          <cell r="E2462">
            <v>10110100</v>
          </cell>
          <cell r="H2462">
            <v>24.640000000000004</v>
          </cell>
          <cell r="I2462">
            <v>897.2700000000001</v>
          </cell>
          <cell r="J2462">
            <v>0</v>
          </cell>
          <cell r="K2462">
            <v>0</v>
          </cell>
          <cell r="M2462">
            <v>0</v>
          </cell>
          <cell r="P2462">
            <v>897</v>
          </cell>
          <cell r="V2462" t="str">
            <v>Available</v>
          </cell>
        </row>
        <row r="2463">
          <cell r="E2463">
            <v>10110100</v>
          </cell>
          <cell r="H2463">
            <v>21.42</v>
          </cell>
          <cell r="I2463">
            <v>823.99</v>
          </cell>
          <cell r="J2463">
            <v>0</v>
          </cell>
          <cell r="K2463">
            <v>0</v>
          </cell>
          <cell r="M2463">
            <v>0</v>
          </cell>
          <cell r="P2463">
            <v>824</v>
          </cell>
          <cell r="V2463" t="str">
            <v>Available</v>
          </cell>
        </row>
        <row r="2464">
          <cell r="E2464">
            <v>10110101</v>
          </cell>
          <cell r="H2464">
            <v>53.5</v>
          </cell>
          <cell r="I2464">
            <v>2156.59</v>
          </cell>
          <cell r="J2464">
            <v>0</v>
          </cell>
          <cell r="K2464">
            <v>0</v>
          </cell>
          <cell r="M2464">
            <v>0</v>
          </cell>
          <cell r="P2464">
            <v>2157</v>
          </cell>
          <cell r="V2464" t="str">
            <v>Available</v>
          </cell>
        </row>
        <row r="2465">
          <cell r="E2465">
            <v>10110101</v>
          </cell>
          <cell r="H2465">
            <v>280</v>
          </cell>
          <cell r="I2465">
            <v>11286.8</v>
          </cell>
          <cell r="J2465">
            <v>0</v>
          </cell>
          <cell r="K2465">
            <v>0</v>
          </cell>
          <cell r="M2465">
            <v>0</v>
          </cell>
          <cell r="P2465">
            <v>11287</v>
          </cell>
          <cell r="V2465" t="str">
            <v>Available</v>
          </cell>
        </row>
        <row r="2466">
          <cell r="E2466">
            <v>10110106</v>
          </cell>
          <cell r="H2466">
            <v>10.72</v>
          </cell>
          <cell r="I2466">
            <v>456.63999999999993</v>
          </cell>
          <cell r="J2466">
            <v>0</v>
          </cell>
          <cell r="K2466">
            <v>456.63999999999993</v>
          </cell>
          <cell r="M2466">
            <v>0</v>
          </cell>
          <cell r="P2466">
            <v>0</v>
          </cell>
          <cell r="V2466" t="str">
            <v>Not Available</v>
          </cell>
        </row>
        <row r="2467">
          <cell r="E2467">
            <v>10110106</v>
          </cell>
          <cell r="H2467">
            <v>578.45999999999992</v>
          </cell>
          <cell r="I2467">
            <v>23468.95</v>
          </cell>
          <cell r="J2467">
            <v>0</v>
          </cell>
          <cell r="K2467">
            <v>0</v>
          </cell>
          <cell r="M2467">
            <v>0</v>
          </cell>
          <cell r="P2467">
            <v>20775</v>
          </cell>
          <cell r="V2467" t="str">
            <v>Available</v>
          </cell>
        </row>
        <row r="2468">
          <cell r="E2468">
            <v>10110106</v>
          </cell>
          <cell r="H2468">
            <v>540.6</v>
          </cell>
          <cell r="I2468">
            <v>20945.61</v>
          </cell>
          <cell r="J2468">
            <v>0</v>
          </cell>
          <cell r="K2468">
            <v>0</v>
          </cell>
          <cell r="M2468">
            <v>0</v>
          </cell>
          <cell r="P2468">
            <v>20946</v>
          </cell>
          <cell r="V2468" t="str">
            <v>Available</v>
          </cell>
        </row>
        <row r="2469">
          <cell r="E2469">
            <v>10110106</v>
          </cell>
          <cell r="H2469">
            <v>550.46</v>
          </cell>
          <cell r="I2469">
            <v>22639.289999999997</v>
          </cell>
          <cell r="J2469">
            <v>0</v>
          </cell>
          <cell r="K2469">
            <v>0</v>
          </cell>
          <cell r="M2469">
            <v>0</v>
          </cell>
          <cell r="P2469">
            <v>22639</v>
          </cell>
          <cell r="V2469" t="str">
            <v>Not Available</v>
          </cell>
        </row>
        <row r="2470">
          <cell r="E2470">
            <v>10110106</v>
          </cell>
          <cell r="H2470">
            <v>620.6</v>
          </cell>
          <cell r="I2470">
            <v>24494.33</v>
          </cell>
          <cell r="J2470">
            <v>0</v>
          </cell>
          <cell r="K2470">
            <v>0</v>
          </cell>
          <cell r="M2470">
            <v>0</v>
          </cell>
          <cell r="P2470">
            <v>24494</v>
          </cell>
          <cell r="V2470" t="str">
            <v>Not Available</v>
          </cell>
        </row>
        <row r="2471">
          <cell r="E2471">
            <v>10110106</v>
          </cell>
          <cell r="H2471">
            <v>685.68</v>
          </cell>
          <cell r="I2471">
            <v>26932.469999999998</v>
          </cell>
          <cell r="J2471">
            <v>0</v>
          </cell>
          <cell r="K2471">
            <v>0</v>
          </cell>
          <cell r="M2471">
            <v>0</v>
          </cell>
          <cell r="P2471">
            <v>26932</v>
          </cell>
          <cell r="V2471" t="str">
            <v>Not Available</v>
          </cell>
        </row>
        <row r="2472">
          <cell r="E2472">
            <v>10110106</v>
          </cell>
          <cell r="H2472">
            <v>513.92000000000007</v>
          </cell>
          <cell r="I2472">
            <v>20125.350000000002</v>
          </cell>
          <cell r="J2472">
            <v>0</v>
          </cell>
          <cell r="K2472">
            <v>0</v>
          </cell>
          <cell r="M2472">
            <v>0</v>
          </cell>
          <cell r="P2472">
            <v>20125</v>
          </cell>
          <cell r="V2472" t="str">
            <v>Not Available</v>
          </cell>
        </row>
        <row r="2473">
          <cell r="E2473">
            <v>10110106</v>
          </cell>
          <cell r="H2473">
            <v>393.68000000000006</v>
          </cell>
          <cell r="I2473">
            <v>15641.880000000003</v>
          </cell>
          <cell r="J2473">
            <v>0</v>
          </cell>
          <cell r="K2473">
            <v>0</v>
          </cell>
          <cell r="M2473">
            <v>0</v>
          </cell>
          <cell r="P2473">
            <v>15642</v>
          </cell>
          <cell r="V2473" t="str">
            <v>Not Available</v>
          </cell>
        </row>
        <row r="2474">
          <cell r="E2474">
            <v>10110106</v>
          </cell>
          <cell r="H2474">
            <v>344.07999999999993</v>
          </cell>
          <cell r="I2474">
            <v>13563.489999999998</v>
          </cell>
          <cell r="J2474">
            <v>0</v>
          </cell>
          <cell r="K2474">
            <v>0</v>
          </cell>
          <cell r="M2474">
            <v>0</v>
          </cell>
          <cell r="P2474">
            <v>13563</v>
          </cell>
          <cell r="V2474" t="str">
            <v>Not Available</v>
          </cell>
        </row>
        <row r="2475">
          <cell r="E2475">
            <v>10110106</v>
          </cell>
          <cell r="H2475">
            <v>360.58000000000004</v>
          </cell>
          <cell r="I2475">
            <v>15452.64</v>
          </cell>
          <cell r="J2475">
            <v>0</v>
          </cell>
          <cell r="K2475">
            <v>0</v>
          </cell>
          <cell r="M2475">
            <v>0</v>
          </cell>
          <cell r="P2475">
            <v>15453</v>
          </cell>
          <cell r="V2475" t="str">
            <v>Not Available</v>
          </cell>
        </row>
        <row r="2476">
          <cell r="E2476">
            <v>10110106</v>
          </cell>
          <cell r="H2476">
            <v>257.34000000000003</v>
          </cell>
          <cell r="I2476">
            <v>11917.88</v>
          </cell>
          <cell r="J2476">
            <v>0</v>
          </cell>
          <cell r="K2476">
            <v>0</v>
          </cell>
          <cell r="M2476">
            <v>0</v>
          </cell>
          <cell r="P2476">
            <v>11918</v>
          </cell>
          <cell r="V2476" t="str">
            <v>Not Available</v>
          </cell>
        </row>
        <row r="2477">
          <cell r="E2477">
            <v>10110106</v>
          </cell>
          <cell r="H2477">
            <v>180.96</v>
          </cell>
          <cell r="I2477">
            <v>7473.05</v>
          </cell>
          <cell r="J2477">
            <v>0</v>
          </cell>
          <cell r="K2477">
            <v>0</v>
          </cell>
          <cell r="M2477">
            <v>0</v>
          </cell>
          <cell r="P2477">
            <v>7473</v>
          </cell>
          <cell r="V2477" t="str">
            <v>Not Available</v>
          </cell>
        </row>
        <row r="2478">
          <cell r="E2478">
            <v>10110106</v>
          </cell>
          <cell r="H2478">
            <v>103.15999999999998</v>
          </cell>
          <cell r="I2478">
            <v>5098.0599999999995</v>
          </cell>
          <cell r="J2478">
            <v>0</v>
          </cell>
          <cell r="K2478">
            <v>0</v>
          </cell>
          <cell r="M2478">
            <v>0</v>
          </cell>
          <cell r="P2478">
            <v>5098</v>
          </cell>
          <cell r="V2478" t="str">
            <v>Not Available</v>
          </cell>
        </row>
        <row r="2479">
          <cell r="E2479">
            <v>10110106</v>
          </cell>
          <cell r="H2479">
            <v>134.06</v>
          </cell>
          <cell r="I2479">
            <v>6532.78</v>
          </cell>
          <cell r="J2479">
            <v>0</v>
          </cell>
          <cell r="K2479">
            <v>0</v>
          </cell>
          <cell r="M2479">
            <v>0</v>
          </cell>
          <cell r="P2479">
            <v>6533</v>
          </cell>
          <cell r="V2479" t="str">
            <v>Not Available</v>
          </cell>
        </row>
        <row r="2480">
          <cell r="E2480">
            <v>10110106</v>
          </cell>
          <cell r="H2480">
            <v>41.120000000000005</v>
          </cell>
          <cell r="I2480">
            <v>1639.9099999999999</v>
          </cell>
          <cell r="J2480">
            <v>0</v>
          </cell>
          <cell r="K2480">
            <v>0</v>
          </cell>
          <cell r="M2480">
            <v>0</v>
          </cell>
          <cell r="P2480">
            <v>1640</v>
          </cell>
          <cell r="V2480" t="str">
            <v>Not Available</v>
          </cell>
        </row>
        <row r="2481">
          <cell r="E2481">
            <v>10110106</v>
          </cell>
          <cell r="H2481">
            <v>12</v>
          </cell>
          <cell r="I2481">
            <v>558.38</v>
          </cell>
          <cell r="J2481">
            <v>0</v>
          </cell>
          <cell r="K2481">
            <v>0</v>
          </cell>
          <cell r="M2481">
            <v>0</v>
          </cell>
          <cell r="P2481">
            <v>558</v>
          </cell>
          <cell r="V2481" t="str">
            <v>Not Available</v>
          </cell>
        </row>
        <row r="2482">
          <cell r="E2482">
            <v>10110109</v>
          </cell>
          <cell r="H2482">
            <v>616</v>
          </cell>
          <cell r="I2482">
            <v>24917.200000000001</v>
          </cell>
          <cell r="J2482">
            <v>0</v>
          </cell>
          <cell r="K2482">
            <v>0</v>
          </cell>
          <cell r="M2482">
            <v>0</v>
          </cell>
          <cell r="P2482">
            <v>24838</v>
          </cell>
          <cell r="V2482" t="str">
            <v>Available</v>
          </cell>
        </row>
        <row r="2483">
          <cell r="E2483">
            <v>10110110</v>
          </cell>
          <cell r="H2483">
            <v>7.2</v>
          </cell>
          <cell r="I2483">
            <v>306.29000000000002</v>
          </cell>
          <cell r="J2483">
            <v>0</v>
          </cell>
          <cell r="K2483">
            <v>0</v>
          </cell>
          <cell r="M2483">
            <v>0</v>
          </cell>
          <cell r="P2483">
            <v>0</v>
          </cell>
          <cell r="V2483" t="str">
            <v>Available</v>
          </cell>
        </row>
        <row r="2484">
          <cell r="E2484">
            <v>10110111</v>
          </cell>
          <cell r="H2484">
            <v>2.12</v>
          </cell>
          <cell r="I2484">
            <v>130.65</v>
          </cell>
          <cell r="J2484">
            <v>0</v>
          </cell>
          <cell r="K2484">
            <v>130.65</v>
          </cell>
          <cell r="M2484">
            <v>0</v>
          </cell>
          <cell r="P2484">
            <v>0</v>
          </cell>
          <cell r="V2484" t="str">
            <v>Not Available</v>
          </cell>
        </row>
        <row r="2485">
          <cell r="E2485">
            <v>10110111</v>
          </cell>
          <cell r="H2485">
            <v>50.320000000000007</v>
          </cell>
          <cell r="I2485">
            <v>3442.7000000000007</v>
          </cell>
          <cell r="J2485">
            <v>0</v>
          </cell>
          <cell r="K2485">
            <v>0</v>
          </cell>
          <cell r="M2485">
            <v>0</v>
          </cell>
          <cell r="P2485">
            <v>3199</v>
          </cell>
          <cell r="V2485" t="str">
            <v>Available</v>
          </cell>
        </row>
        <row r="2486">
          <cell r="E2486">
            <v>10110111</v>
          </cell>
          <cell r="H2486">
            <v>30.380000000000003</v>
          </cell>
          <cell r="I2486">
            <v>1288.24</v>
          </cell>
          <cell r="J2486">
            <v>0</v>
          </cell>
          <cell r="K2486">
            <v>0</v>
          </cell>
          <cell r="M2486">
            <v>0</v>
          </cell>
          <cell r="P2486">
            <v>1288</v>
          </cell>
          <cell r="V2486" t="str">
            <v>Available</v>
          </cell>
        </row>
        <row r="2487">
          <cell r="E2487">
            <v>10110112</v>
          </cell>
          <cell r="H2487">
            <v>288</v>
          </cell>
          <cell r="I2487">
            <v>11208.96</v>
          </cell>
          <cell r="J2487">
            <v>0</v>
          </cell>
          <cell r="K2487">
            <v>0</v>
          </cell>
          <cell r="M2487">
            <v>0</v>
          </cell>
          <cell r="P2487">
            <v>8393</v>
          </cell>
          <cell r="V2487" t="str">
            <v>Available</v>
          </cell>
        </row>
        <row r="2488">
          <cell r="E2488">
            <v>10110114</v>
          </cell>
          <cell r="H2488">
            <v>137.5</v>
          </cell>
          <cell r="I2488">
            <v>5503.3899999999994</v>
          </cell>
          <cell r="J2488">
            <v>0</v>
          </cell>
          <cell r="K2488">
            <v>0</v>
          </cell>
          <cell r="M2488">
            <v>0</v>
          </cell>
          <cell r="P2488">
            <v>5503</v>
          </cell>
          <cell r="V2488" t="str">
            <v>Available</v>
          </cell>
        </row>
        <row r="2489">
          <cell r="E2489">
            <v>10110114</v>
          </cell>
          <cell r="H2489">
            <v>117.67</v>
          </cell>
          <cell r="I2489">
            <v>4748.21</v>
          </cell>
          <cell r="J2489">
            <v>0</v>
          </cell>
          <cell r="K2489">
            <v>0</v>
          </cell>
          <cell r="M2489">
            <v>0</v>
          </cell>
          <cell r="P2489">
            <v>4748</v>
          </cell>
          <cell r="V2489" t="str">
            <v>Available</v>
          </cell>
        </row>
        <row r="2490">
          <cell r="E2490">
            <v>10110114</v>
          </cell>
          <cell r="H2490">
            <v>46.28</v>
          </cell>
          <cell r="I2490">
            <v>1907.02</v>
          </cell>
          <cell r="J2490">
            <v>0</v>
          </cell>
          <cell r="K2490">
            <v>0</v>
          </cell>
          <cell r="M2490">
            <v>0</v>
          </cell>
          <cell r="P2490">
            <v>1907</v>
          </cell>
          <cell r="V2490" t="str">
            <v>Not Available</v>
          </cell>
        </row>
        <row r="2491">
          <cell r="E2491">
            <v>10110114</v>
          </cell>
          <cell r="H2491">
            <v>4.3600000000000003</v>
          </cell>
          <cell r="I2491">
            <v>184.19</v>
          </cell>
          <cell r="J2491">
            <v>0</v>
          </cell>
          <cell r="K2491">
            <v>0</v>
          </cell>
          <cell r="M2491">
            <v>0</v>
          </cell>
          <cell r="P2491">
            <v>184</v>
          </cell>
          <cell r="V2491" t="str">
            <v>Not Available</v>
          </cell>
        </row>
        <row r="2492">
          <cell r="E2492">
            <v>10110114</v>
          </cell>
          <cell r="H2492">
            <v>18.82</v>
          </cell>
          <cell r="I2492">
            <v>750.87</v>
          </cell>
          <cell r="J2492">
            <v>0</v>
          </cell>
          <cell r="K2492">
            <v>0</v>
          </cell>
          <cell r="M2492">
            <v>0</v>
          </cell>
          <cell r="P2492">
            <v>751</v>
          </cell>
          <cell r="V2492" t="str">
            <v>Not Available</v>
          </cell>
        </row>
        <row r="2493">
          <cell r="E2493">
            <v>10110116</v>
          </cell>
          <cell r="H2493">
            <v>37</v>
          </cell>
          <cell r="I2493">
            <v>1471.48</v>
          </cell>
          <cell r="J2493">
            <v>0</v>
          </cell>
          <cell r="K2493">
            <v>0</v>
          </cell>
          <cell r="M2493">
            <v>0</v>
          </cell>
          <cell r="P2493">
            <v>1204</v>
          </cell>
          <cell r="V2493" t="str">
            <v>Available</v>
          </cell>
        </row>
        <row r="2494">
          <cell r="E2494">
            <v>10110116</v>
          </cell>
          <cell r="H2494">
            <v>194.79999999999998</v>
          </cell>
          <cell r="I2494">
            <v>7701.1199999999981</v>
          </cell>
          <cell r="J2494">
            <v>0</v>
          </cell>
          <cell r="K2494">
            <v>0</v>
          </cell>
          <cell r="M2494">
            <v>0</v>
          </cell>
          <cell r="P2494">
            <v>7701</v>
          </cell>
          <cell r="V2494" t="str">
            <v>Available</v>
          </cell>
        </row>
        <row r="2495">
          <cell r="E2495">
            <v>10110116</v>
          </cell>
          <cell r="H2495">
            <v>16</v>
          </cell>
          <cell r="I2495">
            <v>633.65000000000009</v>
          </cell>
          <cell r="J2495">
            <v>0</v>
          </cell>
          <cell r="K2495">
            <v>0</v>
          </cell>
          <cell r="M2495">
            <v>0</v>
          </cell>
          <cell r="P2495">
            <v>634</v>
          </cell>
          <cell r="V2495" t="str">
            <v>Available</v>
          </cell>
        </row>
        <row r="2496">
          <cell r="E2496">
            <v>10110116</v>
          </cell>
          <cell r="H2496">
            <v>86.5</v>
          </cell>
          <cell r="I2496">
            <v>3401.1700000000005</v>
          </cell>
          <cell r="J2496">
            <v>0</v>
          </cell>
          <cell r="K2496">
            <v>0</v>
          </cell>
          <cell r="M2496">
            <v>0</v>
          </cell>
          <cell r="P2496">
            <v>3401</v>
          </cell>
          <cell r="V2496" t="str">
            <v>Available</v>
          </cell>
        </row>
        <row r="2497">
          <cell r="E2497">
            <v>10110116</v>
          </cell>
          <cell r="H2497">
            <v>56</v>
          </cell>
          <cell r="I2497">
            <v>2207.2100000000005</v>
          </cell>
          <cell r="J2497">
            <v>0</v>
          </cell>
          <cell r="K2497">
            <v>0</v>
          </cell>
          <cell r="M2497">
            <v>0</v>
          </cell>
          <cell r="P2497">
            <v>2207</v>
          </cell>
          <cell r="V2497" t="str">
            <v>Not Available</v>
          </cell>
        </row>
        <row r="2498">
          <cell r="E2498">
            <v>10110116</v>
          </cell>
          <cell r="H2498">
            <v>56</v>
          </cell>
          <cell r="I2498">
            <v>2207.2100000000005</v>
          </cell>
          <cell r="J2498">
            <v>0</v>
          </cell>
          <cell r="K2498">
            <v>0</v>
          </cell>
          <cell r="M2498">
            <v>0</v>
          </cell>
          <cell r="P2498">
            <v>2207</v>
          </cell>
          <cell r="V2498" t="str">
            <v>Not Available</v>
          </cell>
        </row>
        <row r="2499">
          <cell r="E2499">
            <v>10110116</v>
          </cell>
          <cell r="H2499">
            <v>56</v>
          </cell>
          <cell r="I2499">
            <v>2207.2100000000005</v>
          </cell>
          <cell r="J2499">
            <v>0</v>
          </cell>
          <cell r="K2499">
            <v>0</v>
          </cell>
          <cell r="M2499">
            <v>0</v>
          </cell>
          <cell r="P2499">
            <v>2207</v>
          </cell>
          <cell r="V2499" t="str">
            <v>Not Available</v>
          </cell>
        </row>
        <row r="2500">
          <cell r="E2500">
            <v>10110116</v>
          </cell>
          <cell r="H2500">
            <v>56</v>
          </cell>
          <cell r="I2500">
            <v>2207.2100000000005</v>
          </cell>
          <cell r="J2500">
            <v>0</v>
          </cell>
          <cell r="K2500">
            <v>0</v>
          </cell>
          <cell r="M2500">
            <v>0</v>
          </cell>
          <cell r="P2500">
            <v>2207</v>
          </cell>
          <cell r="V2500" t="str">
            <v>Not Available</v>
          </cell>
        </row>
        <row r="2501">
          <cell r="E2501">
            <v>10110116</v>
          </cell>
          <cell r="H2501">
            <v>56</v>
          </cell>
          <cell r="I2501">
            <v>2207.2100000000005</v>
          </cell>
          <cell r="J2501">
            <v>0</v>
          </cell>
          <cell r="K2501">
            <v>0</v>
          </cell>
          <cell r="M2501">
            <v>0</v>
          </cell>
          <cell r="P2501">
            <v>2207</v>
          </cell>
          <cell r="V2501" t="str">
            <v>Not Available</v>
          </cell>
        </row>
        <row r="2502">
          <cell r="E2502">
            <v>10110116</v>
          </cell>
          <cell r="H2502">
            <v>56</v>
          </cell>
          <cell r="I2502">
            <v>2207.2100000000005</v>
          </cell>
          <cell r="J2502">
            <v>0</v>
          </cell>
          <cell r="K2502">
            <v>0</v>
          </cell>
          <cell r="M2502">
            <v>0</v>
          </cell>
          <cell r="P2502">
            <v>2207</v>
          </cell>
          <cell r="V2502" t="str">
            <v>Not Available</v>
          </cell>
        </row>
        <row r="2503">
          <cell r="E2503">
            <v>10110118</v>
          </cell>
          <cell r="H2503">
            <v>15.51</v>
          </cell>
          <cell r="I2503">
            <v>615.71</v>
          </cell>
          <cell r="J2503">
            <v>0</v>
          </cell>
          <cell r="K2503">
            <v>615.71</v>
          </cell>
          <cell r="M2503">
            <v>0</v>
          </cell>
          <cell r="P2503">
            <v>0</v>
          </cell>
          <cell r="V2503" t="str">
            <v>Not Available</v>
          </cell>
        </row>
        <row r="2504">
          <cell r="E2504">
            <v>10110118</v>
          </cell>
          <cell r="H2504">
            <v>56.850000000000009</v>
          </cell>
          <cell r="I2504">
            <v>2303.67</v>
          </cell>
          <cell r="J2504">
            <v>0</v>
          </cell>
          <cell r="K2504">
            <v>0</v>
          </cell>
          <cell r="M2504">
            <v>0</v>
          </cell>
          <cell r="P2504">
            <v>1758</v>
          </cell>
          <cell r="V2504" t="str">
            <v>Available</v>
          </cell>
        </row>
        <row r="2505">
          <cell r="E2505">
            <v>10110118</v>
          </cell>
          <cell r="H2505">
            <v>46.26</v>
          </cell>
          <cell r="I2505">
            <v>2252.1</v>
          </cell>
          <cell r="J2505">
            <v>0</v>
          </cell>
          <cell r="K2505">
            <v>0</v>
          </cell>
          <cell r="M2505">
            <v>0</v>
          </cell>
          <cell r="P2505">
            <v>2252</v>
          </cell>
          <cell r="V2505" t="str">
            <v>Available</v>
          </cell>
        </row>
        <row r="2506">
          <cell r="E2506">
            <v>10110118</v>
          </cell>
          <cell r="H2506">
            <v>58.349999999999987</v>
          </cell>
          <cell r="I2506">
            <v>3001.0200000000004</v>
          </cell>
          <cell r="J2506">
            <v>0</v>
          </cell>
          <cell r="K2506">
            <v>0</v>
          </cell>
          <cell r="M2506">
            <v>0</v>
          </cell>
          <cell r="P2506">
            <v>3001</v>
          </cell>
          <cell r="V2506" t="str">
            <v>Available</v>
          </cell>
        </row>
        <row r="2507">
          <cell r="E2507">
            <v>10110118</v>
          </cell>
          <cell r="H2507">
            <v>44.589999999999996</v>
          </cell>
          <cell r="I2507">
            <v>1862.1</v>
          </cell>
          <cell r="J2507">
            <v>0</v>
          </cell>
          <cell r="K2507">
            <v>0</v>
          </cell>
          <cell r="M2507">
            <v>0</v>
          </cell>
          <cell r="P2507">
            <v>1862</v>
          </cell>
          <cell r="V2507" t="str">
            <v>Available</v>
          </cell>
        </row>
        <row r="2508">
          <cell r="E2508">
            <v>10110118</v>
          </cell>
          <cell r="H2508">
            <v>28.56</v>
          </cell>
          <cell r="I2508">
            <v>1126.99</v>
          </cell>
          <cell r="J2508">
            <v>0</v>
          </cell>
          <cell r="K2508">
            <v>0</v>
          </cell>
          <cell r="M2508">
            <v>0</v>
          </cell>
          <cell r="P2508">
            <v>1127</v>
          </cell>
          <cell r="V2508" t="str">
            <v>Available</v>
          </cell>
        </row>
        <row r="2509">
          <cell r="E2509">
            <v>10110118</v>
          </cell>
          <cell r="H2509">
            <v>20.29</v>
          </cell>
          <cell r="I2509">
            <v>1000.96</v>
          </cell>
          <cell r="J2509">
            <v>0</v>
          </cell>
          <cell r="K2509">
            <v>0</v>
          </cell>
          <cell r="M2509">
            <v>0</v>
          </cell>
          <cell r="P2509">
            <v>1001</v>
          </cell>
          <cell r="V2509" t="str">
            <v>Not Available</v>
          </cell>
        </row>
        <row r="2510">
          <cell r="E2510">
            <v>10110118</v>
          </cell>
          <cell r="H2510">
            <v>12.99</v>
          </cell>
          <cell r="I2510">
            <v>728.48</v>
          </cell>
          <cell r="J2510">
            <v>0</v>
          </cell>
          <cell r="K2510">
            <v>0</v>
          </cell>
          <cell r="M2510">
            <v>0</v>
          </cell>
          <cell r="P2510">
            <v>728</v>
          </cell>
          <cell r="V2510" t="str">
            <v>Not Available</v>
          </cell>
        </row>
        <row r="2511">
          <cell r="E2511">
            <v>10110118</v>
          </cell>
          <cell r="H2511">
            <v>12.83</v>
          </cell>
          <cell r="I2511">
            <v>727.66</v>
          </cell>
          <cell r="J2511">
            <v>0</v>
          </cell>
          <cell r="K2511">
            <v>0</v>
          </cell>
          <cell r="M2511">
            <v>0</v>
          </cell>
          <cell r="P2511">
            <v>728</v>
          </cell>
          <cell r="V2511" t="str">
            <v>Not Available</v>
          </cell>
        </row>
        <row r="2512">
          <cell r="E2512">
            <v>10110118</v>
          </cell>
          <cell r="H2512">
            <v>155.48999999999998</v>
          </cell>
          <cell r="I2512">
            <v>6425.1799999999994</v>
          </cell>
          <cell r="J2512">
            <v>0</v>
          </cell>
          <cell r="K2512">
            <v>0</v>
          </cell>
          <cell r="M2512">
            <v>0</v>
          </cell>
          <cell r="P2512">
            <v>6425</v>
          </cell>
          <cell r="V2512" t="str">
            <v>Not Available</v>
          </cell>
        </row>
        <row r="2513">
          <cell r="E2513">
            <v>10110118</v>
          </cell>
          <cell r="H2513">
            <v>7.33</v>
          </cell>
          <cell r="I2513">
            <v>428.24</v>
          </cell>
          <cell r="J2513">
            <v>0</v>
          </cell>
          <cell r="K2513">
            <v>0</v>
          </cell>
          <cell r="M2513">
            <v>0</v>
          </cell>
          <cell r="P2513">
            <v>428</v>
          </cell>
          <cell r="V2513" t="str">
            <v>Not Available</v>
          </cell>
        </row>
        <row r="2514">
          <cell r="E2514">
            <v>10110119</v>
          </cell>
          <cell r="H2514">
            <v>10.1</v>
          </cell>
          <cell r="I2514">
            <v>407.13</v>
          </cell>
          <cell r="J2514">
            <v>0</v>
          </cell>
          <cell r="K2514">
            <v>0</v>
          </cell>
          <cell r="M2514">
            <v>0</v>
          </cell>
          <cell r="P2514">
            <v>405</v>
          </cell>
          <cell r="V2514" t="str">
            <v>Available</v>
          </cell>
        </row>
        <row r="2515">
          <cell r="E2515">
            <v>10110119</v>
          </cell>
          <cell r="H2515">
            <v>62.27</v>
          </cell>
          <cell r="I2515">
            <v>2068.2199999999998</v>
          </cell>
          <cell r="J2515">
            <v>0</v>
          </cell>
          <cell r="K2515">
            <v>0</v>
          </cell>
          <cell r="M2515">
            <v>0</v>
          </cell>
          <cell r="P2515">
            <v>2068</v>
          </cell>
          <cell r="V2515" t="str">
            <v>Available</v>
          </cell>
        </row>
        <row r="2516">
          <cell r="E2516">
            <v>10110119</v>
          </cell>
          <cell r="H2516">
            <v>38.67</v>
          </cell>
          <cell r="I2516">
            <v>1293.29</v>
          </cell>
          <cell r="J2516">
            <v>0</v>
          </cell>
          <cell r="K2516">
            <v>0</v>
          </cell>
          <cell r="M2516">
            <v>0</v>
          </cell>
          <cell r="P2516">
            <v>1293</v>
          </cell>
          <cell r="V2516" t="str">
            <v>Available</v>
          </cell>
        </row>
        <row r="2517">
          <cell r="E2517">
            <v>10110119</v>
          </cell>
          <cell r="H2517">
            <v>46.219999999999992</v>
          </cell>
          <cell r="I2517">
            <v>1533.37</v>
          </cell>
          <cell r="J2517">
            <v>0</v>
          </cell>
          <cell r="K2517">
            <v>0</v>
          </cell>
          <cell r="M2517">
            <v>0</v>
          </cell>
          <cell r="P2517">
            <v>1533</v>
          </cell>
          <cell r="V2517" t="str">
            <v>Available</v>
          </cell>
        </row>
        <row r="2518">
          <cell r="E2518">
            <v>10110119</v>
          </cell>
          <cell r="H2518">
            <v>22.32</v>
          </cell>
          <cell r="I2518">
            <v>1220.0500000000002</v>
          </cell>
          <cell r="J2518">
            <v>0</v>
          </cell>
          <cell r="K2518">
            <v>0</v>
          </cell>
          <cell r="M2518">
            <v>0</v>
          </cell>
          <cell r="P2518">
            <v>1220</v>
          </cell>
          <cell r="V2518" t="str">
            <v>Available</v>
          </cell>
        </row>
        <row r="2519">
          <cell r="E2519">
            <v>10110119</v>
          </cell>
          <cell r="H2519">
            <v>44.790000000000006</v>
          </cell>
          <cell r="I2519">
            <v>1450.31</v>
          </cell>
          <cell r="J2519">
            <v>0</v>
          </cell>
          <cell r="K2519">
            <v>0</v>
          </cell>
          <cell r="M2519">
            <v>0</v>
          </cell>
          <cell r="P2519">
            <v>1450</v>
          </cell>
          <cell r="V2519" t="str">
            <v>Available</v>
          </cell>
        </row>
        <row r="2520">
          <cell r="E2520">
            <v>10110119</v>
          </cell>
          <cell r="H2520">
            <v>28.58</v>
          </cell>
          <cell r="I2520">
            <v>991.59999999999991</v>
          </cell>
          <cell r="J2520">
            <v>0</v>
          </cell>
          <cell r="K2520">
            <v>0</v>
          </cell>
          <cell r="M2520">
            <v>0</v>
          </cell>
          <cell r="P2520">
            <v>992</v>
          </cell>
          <cell r="V2520" t="str">
            <v>Available</v>
          </cell>
        </row>
        <row r="2521">
          <cell r="E2521">
            <v>10110119</v>
          </cell>
          <cell r="H2521">
            <v>81.390000000000015</v>
          </cell>
          <cell r="I2521">
            <v>3128.6200000000003</v>
          </cell>
          <cell r="J2521">
            <v>0</v>
          </cell>
          <cell r="K2521">
            <v>0</v>
          </cell>
          <cell r="M2521">
            <v>0</v>
          </cell>
          <cell r="P2521">
            <v>3129</v>
          </cell>
          <cell r="V2521" t="str">
            <v>Available</v>
          </cell>
        </row>
        <row r="2522">
          <cell r="E2522">
            <v>10110119</v>
          </cell>
          <cell r="H2522">
            <v>22.36</v>
          </cell>
          <cell r="I2522">
            <v>932.68</v>
          </cell>
          <cell r="J2522">
            <v>0</v>
          </cell>
          <cell r="K2522">
            <v>0</v>
          </cell>
          <cell r="M2522">
            <v>0</v>
          </cell>
          <cell r="P2522">
            <v>933</v>
          </cell>
          <cell r="V2522" t="str">
            <v>Available</v>
          </cell>
        </row>
        <row r="2523">
          <cell r="E2523">
            <v>10110119</v>
          </cell>
          <cell r="H2523">
            <v>13.18</v>
          </cell>
          <cell r="I2523">
            <v>540.79999999999995</v>
          </cell>
          <cell r="J2523">
            <v>0</v>
          </cell>
          <cell r="K2523">
            <v>0</v>
          </cell>
          <cell r="M2523">
            <v>0</v>
          </cell>
          <cell r="P2523">
            <v>541</v>
          </cell>
          <cell r="V2523" t="str">
            <v>Available</v>
          </cell>
        </row>
        <row r="2524">
          <cell r="E2524">
            <v>10110119</v>
          </cell>
          <cell r="H2524">
            <v>5.34</v>
          </cell>
          <cell r="I2524">
            <v>179.88</v>
          </cell>
          <cell r="J2524">
            <v>0</v>
          </cell>
          <cell r="K2524">
            <v>0</v>
          </cell>
          <cell r="M2524">
            <v>0</v>
          </cell>
          <cell r="P2524">
            <v>180</v>
          </cell>
          <cell r="V2524" t="str">
            <v>Available</v>
          </cell>
        </row>
        <row r="2525">
          <cell r="E2525">
            <v>10110119</v>
          </cell>
          <cell r="H2525">
            <v>30.580000000000002</v>
          </cell>
          <cell r="I2525">
            <v>1104.74</v>
          </cell>
          <cell r="J2525">
            <v>0</v>
          </cell>
          <cell r="K2525">
            <v>0</v>
          </cell>
          <cell r="M2525">
            <v>0</v>
          </cell>
          <cell r="P2525">
            <v>1105</v>
          </cell>
          <cell r="V2525" t="str">
            <v>Available</v>
          </cell>
        </row>
        <row r="2526">
          <cell r="E2526">
            <v>10110119</v>
          </cell>
          <cell r="H2526">
            <v>30.759999999999998</v>
          </cell>
          <cell r="I2526">
            <v>1255.01</v>
          </cell>
          <cell r="J2526">
            <v>0</v>
          </cell>
          <cell r="K2526">
            <v>0</v>
          </cell>
          <cell r="M2526">
            <v>0</v>
          </cell>
          <cell r="P2526">
            <v>1255</v>
          </cell>
          <cell r="V2526" t="str">
            <v>Available</v>
          </cell>
        </row>
        <row r="2527">
          <cell r="E2527">
            <v>10110119</v>
          </cell>
          <cell r="H2527">
            <v>16.52</v>
          </cell>
          <cell r="I2527">
            <v>529.31999999999994</v>
          </cell>
          <cell r="J2527">
            <v>0</v>
          </cell>
          <cell r="K2527">
            <v>0</v>
          </cell>
          <cell r="M2527">
            <v>0</v>
          </cell>
          <cell r="P2527">
            <v>529</v>
          </cell>
          <cell r="V2527" t="str">
            <v>Available</v>
          </cell>
        </row>
        <row r="2528">
          <cell r="E2528">
            <v>10110120</v>
          </cell>
          <cell r="H2528">
            <v>31.600000000000005</v>
          </cell>
          <cell r="I2528">
            <v>1508.48</v>
          </cell>
          <cell r="J2528">
            <v>0</v>
          </cell>
          <cell r="K2528">
            <v>0</v>
          </cell>
          <cell r="M2528">
            <v>0</v>
          </cell>
          <cell r="P2528">
            <v>1502</v>
          </cell>
          <cell r="V2528" t="str">
            <v>Available</v>
          </cell>
        </row>
        <row r="2529">
          <cell r="E2529">
            <v>10110120</v>
          </cell>
          <cell r="H2529">
            <v>286</v>
          </cell>
          <cell r="I2529">
            <v>13413.78</v>
          </cell>
          <cell r="J2529">
            <v>0</v>
          </cell>
          <cell r="K2529">
            <v>0</v>
          </cell>
          <cell r="M2529">
            <v>0</v>
          </cell>
          <cell r="P2529">
            <v>13414</v>
          </cell>
          <cell r="V2529" t="str">
            <v>Not Available</v>
          </cell>
        </row>
        <row r="2530">
          <cell r="E2530">
            <v>10110120</v>
          </cell>
          <cell r="H2530">
            <v>90</v>
          </cell>
          <cell r="I2530">
            <v>4319.6499999999996</v>
          </cell>
          <cell r="J2530">
            <v>0</v>
          </cell>
          <cell r="K2530">
            <v>0</v>
          </cell>
          <cell r="M2530">
            <v>0</v>
          </cell>
          <cell r="P2530">
            <v>4320</v>
          </cell>
          <cell r="V2530" t="str">
            <v>Not Available</v>
          </cell>
        </row>
        <row r="2531">
          <cell r="E2531">
            <v>10110120</v>
          </cell>
          <cell r="H2531">
            <v>90</v>
          </cell>
          <cell r="I2531">
            <v>4318.2499999999991</v>
          </cell>
          <cell r="J2531">
            <v>0</v>
          </cell>
          <cell r="K2531">
            <v>0</v>
          </cell>
          <cell r="M2531">
            <v>0</v>
          </cell>
          <cell r="P2531">
            <v>4318</v>
          </cell>
          <cell r="V2531" t="str">
            <v>Not Available</v>
          </cell>
        </row>
        <row r="2532">
          <cell r="E2532">
            <v>10110120</v>
          </cell>
          <cell r="H2532">
            <v>125</v>
          </cell>
          <cell r="I2532">
            <v>5908.35</v>
          </cell>
          <cell r="J2532">
            <v>0</v>
          </cell>
          <cell r="K2532">
            <v>0</v>
          </cell>
          <cell r="M2532">
            <v>0</v>
          </cell>
          <cell r="P2532">
            <v>5908</v>
          </cell>
          <cell r="V2532" t="str">
            <v>Not Available</v>
          </cell>
        </row>
        <row r="2533">
          <cell r="E2533">
            <v>10110120</v>
          </cell>
          <cell r="H2533">
            <v>155</v>
          </cell>
          <cell r="I2533">
            <v>7327.55</v>
          </cell>
          <cell r="J2533">
            <v>0</v>
          </cell>
          <cell r="K2533">
            <v>0</v>
          </cell>
          <cell r="M2533">
            <v>0</v>
          </cell>
          <cell r="P2533">
            <v>7328</v>
          </cell>
          <cell r="V2533" t="str">
            <v>Not Available</v>
          </cell>
        </row>
        <row r="2534">
          <cell r="E2534">
            <v>10110120</v>
          </cell>
          <cell r="H2534">
            <v>65</v>
          </cell>
          <cell r="I2534">
            <v>2964.5499999999997</v>
          </cell>
          <cell r="J2534">
            <v>0</v>
          </cell>
          <cell r="K2534">
            <v>0</v>
          </cell>
          <cell r="M2534">
            <v>0</v>
          </cell>
          <cell r="P2534">
            <v>2965</v>
          </cell>
          <cell r="V2534" t="str">
            <v>Not Available</v>
          </cell>
        </row>
        <row r="2535">
          <cell r="E2535">
            <v>10110120</v>
          </cell>
          <cell r="H2535">
            <v>61.4</v>
          </cell>
          <cell r="I2535">
            <v>2812.92</v>
          </cell>
          <cell r="J2535">
            <v>0</v>
          </cell>
          <cell r="K2535">
            <v>0</v>
          </cell>
          <cell r="M2535">
            <v>0</v>
          </cell>
          <cell r="P2535">
            <v>2813</v>
          </cell>
          <cell r="V2535" t="str">
            <v>Not Available</v>
          </cell>
        </row>
        <row r="2536">
          <cell r="E2536">
            <v>10110120</v>
          </cell>
          <cell r="H2536">
            <v>60</v>
          </cell>
          <cell r="I2536">
            <v>2753.95</v>
          </cell>
          <cell r="J2536">
            <v>0</v>
          </cell>
          <cell r="K2536">
            <v>0</v>
          </cell>
          <cell r="M2536">
            <v>0</v>
          </cell>
          <cell r="P2536">
            <v>2754</v>
          </cell>
          <cell r="V2536" t="str">
            <v>Not Available</v>
          </cell>
        </row>
        <row r="2537">
          <cell r="E2537">
            <v>10110120</v>
          </cell>
          <cell r="H2537">
            <v>65</v>
          </cell>
          <cell r="I2537">
            <v>2964.5499999999997</v>
          </cell>
          <cell r="J2537">
            <v>0</v>
          </cell>
          <cell r="K2537">
            <v>0</v>
          </cell>
          <cell r="M2537">
            <v>0</v>
          </cell>
          <cell r="P2537">
            <v>2965</v>
          </cell>
          <cell r="V2537" t="str">
            <v>Not Available</v>
          </cell>
        </row>
        <row r="2538">
          <cell r="E2538">
            <v>10110121</v>
          </cell>
          <cell r="H2538">
            <v>337.23</v>
          </cell>
          <cell r="I2538">
            <v>13472.8</v>
          </cell>
          <cell r="J2538">
            <v>0</v>
          </cell>
          <cell r="K2538">
            <v>0</v>
          </cell>
          <cell r="M2538">
            <v>0</v>
          </cell>
          <cell r="P2538">
            <v>13113</v>
          </cell>
          <cell r="V2538" t="str">
            <v>Available</v>
          </cell>
        </row>
        <row r="2539">
          <cell r="E2539">
            <v>10110123</v>
          </cell>
          <cell r="H2539">
            <v>12.340000000000003</v>
          </cell>
          <cell r="I2539">
            <v>500.34999999999997</v>
          </cell>
          <cell r="J2539">
            <v>0</v>
          </cell>
          <cell r="K2539">
            <v>500.34999999999997</v>
          </cell>
          <cell r="M2539">
            <v>0</v>
          </cell>
          <cell r="P2539">
            <v>0</v>
          </cell>
          <cell r="V2539" t="str">
            <v>Not Available</v>
          </cell>
        </row>
        <row r="2540">
          <cell r="E2540">
            <v>10110123</v>
          </cell>
          <cell r="H2540">
            <v>43.26</v>
          </cell>
          <cell r="I2540">
            <v>1801.6999999999998</v>
          </cell>
          <cell r="J2540">
            <v>0</v>
          </cell>
          <cell r="K2540">
            <v>0</v>
          </cell>
          <cell r="M2540">
            <v>0</v>
          </cell>
          <cell r="P2540">
            <v>1802</v>
          </cell>
          <cell r="V2540" t="str">
            <v>Available</v>
          </cell>
        </row>
        <row r="2541">
          <cell r="E2541">
            <v>10110123</v>
          </cell>
          <cell r="H2541">
            <v>35.29</v>
          </cell>
          <cell r="I2541">
            <v>1614</v>
          </cell>
          <cell r="J2541">
            <v>0</v>
          </cell>
          <cell r="K2541">
            <v>0</v>
          </cell>
          <cell r="M2541">
            <v>0</v>
          </cell>
          <cell r="P2541">
            <v>1614</v>
          </cell>
          <cell r="V2541" t="str">
            <v>Available</v>
          </cell>
        </row>
        <row r="2542">
          <cell r="E2542">
            <v>10110123</v>
          </cell>
          <cell r="H2542">
            <v>165.48</v>
          </cell>
          <cell r="I2542">
            <v>6527.45</v>
          </cell>
          <cell r="J2542">
            <v>0</v>
          </cell>
          <cell r="K2542">
            <v>0</v>
          </cell>
          <cell r="M2542">
            <v>1400</v>
          </cell>
          <cell r="P2542">
            <v>5127</v>
          </cell>
          <cell r="V2542" t="str">
            <v>Available</v>
          </cell>
        </row>
        <row r="2543">
          <cell r="E2543">
            <v>10110123</v>
          </cell>
          <cell r="H2543">
            <v>99.29</v>
          </cell>
          <cell r="I2543">
            <v>3948.8600000000006</v>
          </cell>
          <cell r="J2543">
            <v>0</v>
          </cell>
          <cell r="K2543">
            <v>0</v>
          </cell>
          <cell r="M2543">
            <v>2800</v>
          </cell>
          <cell r="P2543">
            <v>1149</v>
          </cell>
          <cell r="V2543" t="str">
            <v>Available</v>
          </cell>
        </row>
        <row r="2544">
          <cell r="E2544">
            <v>10110123</v>
          </cell>
          <cell r="H2544">
            <v>106.95</v>
          </cell>
          <cell r="I2544">
            <v>4225.7000000000007</v>
          </cell>
          <cell r="J2544">
            <v>0</v>
          </cell>
          <cell r="K2544">
            <v>0</v>
          </cell>
          <cell r="M2544">
            <v>1400</v>
          </cell>
          <cell r="P2544">
            <v>2826</v>
          </cell>
          <cell r="V2544" t="str">
            <v>Available</v>
          </cell>
        </row>
        <row r="2545">
          <cell r="E2545">
            <v>10110123</v>
          </cell>
          <cell r="H2545">
            <v>90.899999999999991</v>
          </cell>
          <cell r="I2545">
            <v>3681.7599999999998</v>
          </cell>
          <cell r="J2545">
            <v>0</v>
          </cell>
          <cell r="K2545">
            <v>0</v>
          </cell>
          <cell r="M2545">
            <v>0</v>
          </cell>
          <cell r="P2545">
            <v>3682</v>
          </cell>
          <cell r="V2545" t="str">
            <v>Available</v>
          </cell>
        </row>
        <row r="2546">
          <cell r="E2546">
            <v>10110123</v>
          </cell>
          <cell r="H2546">
            <v>56.49</v>
          </cell>
          <cell r="I2546">
            <v>2267.83</v>
          </cell>
          <cell r="J2546">
            <v>0</v>
          </cell>
          <cell r="K2546">
            <v>0</v>
          </cell>
          <cell r="M2546">
            <v>0</v>
          </cell>
          <cell r="P2546">
            <v>2268</v>
          </cell>
          <cell r="V2546" t="str">
            <v>Available</v>
          </cell>
        </row>
        <row r="2547">
          <cell r="E2547">
            <v>10110123</v>
          </cell>
          <cell r="H2547">
            <v>53.699999999999996</v>
          </cell>
          <cell r="I2547">
            <v>2213.0099999999998</v>
          </cell>
          <cell r="J2547">
            <v>0</v>
          </cell>
          <cell r="K2547">
            <v>0</v>
          </cell>
          <cell r="M2547">
            <v>0</v>
          </cell>
          <cell r="P2547">
            <v>2213</v>
          </cell>
          <cell r="V2547" t="str">
            <v>Available</v>
          </cell>
        </row>
        <row r="2548">
          <cell r="E2548">
            <v>10110123</v>
          </cell>
          <cell r="H2548">
            <v>2.98</v>
          </cell>
          <cell r="I2548">
            <v>148.69999999999999</v>
          </cell>
          <cell r="J2548">
            <v>0</v>
          </cell>
          <cell r="K2548">
            <v>0</v>
          </cell>
          <cell r="M2548">
            <v>0</v>
          </cell>
          <cell r="P2548">
            <v>149</v>
          </cell>
          <cell r="V2548" t="str">
            <v>Available</v>
          </cell>
        </row>
        <row r="2549">
          <cell r="E2549">
            <v>10110123</v>
          </cell>
          <cell r="H2549">
            <v>50.77</v>
          </cell>
          <cell r="I2549">
            <v>2285.61</v>
          </cell>
          <cell r="J2549">
            <v>0</v>
          </cell>
          <cell r="K2549">
            <v>0</v>
          </cell>
          <cell r="M2549">
            <v>0</v>
          </cell>
          <cell r="P2549">
            <v>2286</v>
          </cell>
          <cell r="V2549" t="str">
            <v>Available</v>
          </cell>
        </row>
        <row r="2550">
          <cell r="E2550">
            <v>10110123</v>
          </cell>
          <cell r="H2550">
            <v>23.419999999999998</v>
          </cell>
          <cell r="I2550">
            <v>1100.82</v>
          </cell>
          <cell r="J2550">
            <v>0</v>
          </cell>
          <cell r="K2550">
            <v>0</v>
          </cell>
          <cell r="M2550">
            <v>0</v>
          </cell>
          <cell r="P2550">
            <v>1101</v>
          </cell>
          <cell r="V2550" t="str">
            <v>Available</v>
          </cell>
        </row>
        <row r="2551">
          <cell r="E2551">
            <v>10110123</v>
          </cell>
          <cell r="H2551">
            <v>64.259999999999991</v>
          </cell>
          <cell r="I2551">
            <v>2536.11</v>
          </cell>
          <cell r="J2551">
            <v>0</v>
          </cell>
          <cell r="K2551">
            <v>0</v>
          </cell>
          <cell r="M2551">
            <v>0</v>
          </cell>
          <cell r="P2551">
            <v>2536</v>
          </cell>
          <cell r="V2551" t="str">
            <v>Available</v>
          </cell>
        </row>
        <row r="2552">
          <cell r="E2552">
            <v>10110123</v>
          </cell>
          <cell r="H2552">
            <v>137.29000000000002</v>
          </cell>
          <cell r="I2552">
            <v>5612.52</v>
          </cell>
          <cell r="J2552">
            <v>0</v>
          </cell>
          <cell r="K2552">
            <v>0</v>
          </cell>
          <cell r="M2552">
            <v>0</v>
          </cell>
          <cell r="P2552">
            <v>5613</v>
          </cell>
          <cell r="V2552" t="str">
            <v>Available</v>
          </cell>
        </row>
        <row r="2553">
          <cell r="E2553">
            <v>10110123</v>
          </cell>
          <cell r="H2553">
            <v>18.490000000000002</v>
          </cell>
          <cell r="I2553">
            <v>894.84999999999991</v>
          </cell>
          <cell r="J2553">
            <v>0</v>
          </cell>
          <cell r="K2553">
            <v>0</v>
          </cell>
          <cell r="M2553">
            <v>0</v>
          </cell>
          <cell r="P2553">
            <v>895</v>
          </cell>
          <cell r="V2553" t="str">
            <v>Available</v>
          </cell>
        </row>
        <row r="2554">
          <cell r="E2554">
            <v>10110124</v>
          </cell>
          <cell r="H2554">
            <v>8.59</v>
          </cell>
          <cell r="I2554">
            <v>359.90999999999997</v>
          </cell>
          <cell r="J2554">
            <v>0</v>
          </cell>
          <cell r="K2554">
            <v>359.90999999999997</v>
          </cell>
          <cell r="M2554">
            <v>0</v>
          </cell>
          <cell r="P2554">
            <v>0</v>
          </cell>
          <cell r="V2554" t="str">
            <v>Not Available</v>
          </cell>
        </row>
        <row r="2555">
          <cell r="E2555">
            <v>10110124</v>
          </cell>
          <cell r="H2555">
            <v>37.739999999999995</v>
          </cell>
          <cell r="I2555">
            <v>1563.8300000000002</v>
          </cell>
          <cell r="J2555">
            <v>0</v>
          </cell>
          <cell r="K2555">
            <v>0</v>
          </cell>
          <cell r="M2555">
            <v>0</v>
          </cell>
          <cell r="P2555">
            <v>1564</v>
          </cell>
          <cell r="V2555" t="str">
            <v>Available</v>
          </cell>
        </row>
        <row r="2556">
          <cell r="E2556">
            <v>10110124</v>
          </cell>
          <cell r="H2556">
            <v>21.990000000000002</v>
          </cell>
          <cell r="I2556">
            <v>833.76</v>
          </cell>
          <cell r="J2556">
            <v>0</v>
          </cell>
          <cell r="K2556">
            <v>0</v>
          </cell>
          <cell r="M2556">
            <v>0</v>
          </cell>
          <cell r="P2556">
            <v>834</v>
          </cell>
          <cell r="V2556" t="str">
            <v>Available</v>
          </cell>
        </row>
        <row r="2557">
          <cell r="E2557">
            <v>10110124</v>
          </cell>
          <cell r="H2557">
            <v>41.03</v>
          </cell>
          <cell r="I2557">
            <v>1549.02</v>
          </cell>
          <cell r="J2557">
            <v>0</v>
          </cell>
          <cell r="K2557">
            <v>0</v>
          </cell>
          <cell r="M2557">
            <v>0</v>
          </cell>
          <cell r="P2557">
            <v>1549</v>
          </cell>
          <cell r="V2557" t="str">
            <v>Available</v>
          </cell>
        </row>
        <row r="2558">
          <cell r="E2558">
            <v>10110124</v>
          </cell>
          <cell r="H2558">
            <v>48.269999999999996</v>
          </cell>
          <cell r="I2558">
            <v>1965.48</v>
          </cell>
          <cell r="J2558">
            <v>0</v>
          </cell>
          <cell r="K2558">
            <v>0</v>
          </cell>
          <cell r="M2558">
            <v>1400</v>
          </cell>
          <cell r="P2558">
            <v>565</v>
          </cell>
          <cell r="V2558" t="str">
            <v>Available</v>
          </cell>
        </row>
        <row r="2559">
          <cell r="E2559">
            <v>10110124</v>
          </cell>
          <cell r="H2559">
            <v>274.84999999999997</v>
          </cell>
          <cell r="I2559">
            <v>12094.019999999999</v>
          </cell>
          <cell r="J2559">
            <v>0</v>
          </cell>
          <cell r="K2559">
            <v>0</v>
          </cell>
          <cell r="M2559">
            <v>0</v>
          </cell>
          <cell r="P2559">
            <v>12094</v>
          </cell>
          <cell r="V2559" t="str">
            <v>Available</v>
          </cell>
        </row>
        <row r="2560">
          <cell r="E2560">
            <v>10110124</v>
          </cell>
          <cell r="H2560">
            <v>13.51</v>
          </cell>
          <cell r="I2560">
            <v>609.13</v>
          </cell>
          <cell r="J2560">
            <v>0</v>
          </cell>
          <cell r="K2560">
            <v>0</v>
          </cell>
          <cell r="M2560">
            <v>0</v>
          </cell>
          <cell r="P2560">
            <v>609</v>
          </cell>
          <cell r="V2560" t="str">
            <v>Available</v>
          </cell>
        </row>
        <row r="2561">
          <cell r="E2561">
            <v>10110124</v>
          </cell>
          <cell r="H2561">
            <v>58.07</v>
          </cell>
          <cell r="I2561">
            <v>2333.3599999999997</v>
          </cell>
          <cell r="J2561">
            <v>0</v>
          </cell>
          <cell r="K2561">
            <v>0</v>
          </cell>
          <cell r="M2561">
            <v>0</v>
          </cell>
          <cell r="P2561">
            <v>2333</v>
          </cell>
          <cell r="V2561" t="str">
            <v>Available</v>
          </cell>
        </row>
        <row r="2562">
          <cell r="E2562">
            <v>10110124</v>
          </cell>
          <cell r="H2562">
            <v>91.55</v>
          </cell>
          <cell r="I2562">
            <v>5134.1900000000005</v>
          </cell>
          <cell r="J2562">
            <v>0</v>
          </cell>
          <cell r="K2562">
            <v>0</v>
          </cell>
          <cell r="M2562">
            <v>0</v>
          </cell>
          <cell r="P2562">
            <v>5134</v>
          </cell>
          <cell r="V2562" t="str">
            <v>Available</v>
          </cell>
        </row>
        <row r="2563">
          <cell r="E2563">
            <v>10110124</v>
          </cell>
          <cell r="H2563">
            <v>33.53</v>
          </cell>
          <cell r="I2563">
            <v>1377.56</v>
          </cell>
          <cell r="J2563">
            <v>0</v>
          </cell>
          <cell r="K2563">
            <v>0</v>
          </cell>
          <cell r="M2563">
            <v>0</v>
          </cell>
          <cell r="P2563">
            <v>1378</v>
          </cell>
          <cell r="V2563" t="str">
            <v>Available</v>
          </cell>
        </row>
        <row r="2564">
          <cell r="E2564">
            <v>10110124</v>
          </cell>
          <cell r="H2564">
            <v>18.809999999999999</v>
          </cell>
          <cell r="I2564">
            <v>772.45999999999992</v>
          </cell>
          <cell r="J2564">
            <v>0</v>
          </cell>
          <cell r="K2564">
            <v>0</v>
          </cell>
          <cell r="M2564">
            <v>0</v>
          </cell>
          <cell r="P2564">
            <v>772</v>
          </cell>
          <cell r="V2564" t="str">
            <v>Available</v>
          </cell>
        </row>
        <row r="2565">
          <cell r="E2565">
            <v>10110124</v>
          </cell>
          <cell r="H2565">
            <v>18.329999999999998</v>
          </cell>
          <cell r="I2565">
            <v>794.86999999999989</v>
          </cell>
          <cell r="J2565">
            <v>0</v>
          </cell>
          <cell r="K2565">
            <v>0</v>
          </cell>
          <cell r="M2565">
            <v>0</v>
          </cell>
          <cell r="P2565">
            <v>795</v>
          </cell>
          <cell r="V2565" t="str">
            <v>Available</v>
          </cell>
        </row>
        <row r="2566">
          <cell r="E2566">
            <v>10110124</v>
          </cell>
          <cell r="H2566">
            <v>160.54000000000002</v>
          </cell>
          <cell r="I2566">
            <v>6654.0800000000008</v>
          </cell>
          <cell r="J2566">
            <v>0</v>
          </cell>
          <cell r="K2566">
            <v>0</v>
          </cell>
          <cell r="M2566">
            <v>0</v>
          </cell>
          <cell r="P2566">
            <v>6654</v>
          </cell>
          <cell r="V2566" t="str">
            <v>Available</v>
          </cell>
        </row>
        <row r="2567">
          <cell r="E2567">
            <v>10110124</v>
          </cell>
          <cell r="H2567">
            <v>295.22000000000003</v>
          </cell>
          <cell r="I2567">
            <v>12306.960000000001</v>
          </cell>
          <cell r="J2567">
            <v>0</v>
          </cell>
          <cell r="K2567">
            <v>0</v>
          </cell>
          <cell r="M2567">
            <v>0</v>
          </cell>
          <cell r="P2567">
            <v>12307</v>
          </cell>
          <cell r="V2567" t="str">
            <v>Available</v>
          </cell>
        </row>
        <row r="2568">
          <cell r="E2568">
            <v>10110128</v>
          </cell>
          <cell r="H2568">
            <v>1.9499999999999997</v>
          </cell>
          <cell r="I2568">
            <v>76.739999999999981</v>
          </cell>
          <cell r="J2568">
            <v>0</v>
          </cell>
          <cell r="K2568">
            <v>76.739999999999981</v>
          </cell>
          <cell r="M2568">
            <v>0</v>
          </cell>
          <cell r="P2568">
            <v>0</v>
          </cell>
          <cell r="V2568" t="str">
            <v>Not Available</v>
          </cell>
        </row>
        <row r="2569">
          <cell r="E2569">
            <v>10110128</v>
          </cell>
          <cell r="H2569">
            <v>106.1</v>
          </cell>
          <cell r="I2569">
            <v>4463.6899999999996</v>
          </cell>
          <cell r="J2569">
            <v>0</v>
          </cell>
          <cell r="K2569">
            <v>0</v>
          </cell>
          <cell r="M2569">
            <v>0</v>
          </cell>
          <cell r="P2569">
            <v>4464</v>
          </cell>
          <cell r="V2569" t="str">
            <v>Available</v>
          </cell>
        </row>
        <row r="2570">
          <cell r="E2570">
            <v>10110128</v>
          </cell>
          <cell r="H2570">
            <v>23.46</v>
          </cell>
          <cell r="I2570">
            <v>968.02</v>
          </cell>
          <cell r="J2570">
            <v>0</v>
          </cell>
          <cell r="K2570">
            <v>0</v>
          </cell>
          <cell r="M2570">
            <v>0</v>
          </cell>
          <cell r="P2570">
            <v>968</v>
          </cell>
          <cell r="V2570" t="str">
            <v>Available</v>
          </cell>
        </row>
        <row r="2571">
          <cell r="E2571">
            <v>10110128</v>
          </cell>
          <cell r="H2571">
            <v>17.100000000000001</v>
          </cell>
          <cell r="I2571">
            <v>700.86</v>
          </cell>
          <cell r="J2571">
            <v>0</v>
          </cell>
          <cell r="K2571">
            <v>0</v>
          </cell>
          <cell r="M2571">
            <v>0</v>
          </cell>
          <cell r="P2571">
            <v>701</v>
          </cell>
          <cell r="V2571" t="str">
            <v>Available</v>
          </cell>
        </row>
        <row r="2572">
          <cell r="E2572">
            <v>10110128</v>
          </cell>
          <cell r="H2572">
            <v>16.14</v>
          </cell>
          <cell r="I2572">
            <v>747.71</v>
          </cell>
          <cell r="J2572">
            <v>0</v>
          </cell>
          <cell r="K2572">
            <v>0</v>
          </cell>
          <cell r="M2572">
            <v>0</v>
          </cell>
          <cell r="P2572">
            <v>748</v>
          </cell>
          <cell r="V2572" t="str">
            <v>Available</v>
          </cell>
        </row>
        <row r="2573">
          <cell r="E2573">
            <v>10110128</v>
          </cell>
          <cell r="H2573">
            <v>22.5</v>
          </cell>
          <cell r="I2573">
            <v>896.86</v>
          </cell>
          <cell r="J2573">
            <v>0</v>
          </cell>
          <cell r="K2573">
            <v>0</v>
          </cell>
          <cell r="M2573">
            <v>0</v>
          </cell>
          <cell r="P2573">
            <v>897</v>
          </cell>
          <cell r="V2573" t="str">
            <v>Available</v>
          </cell>
        </row>
        <row r="2574">
          <cell r="E2574">
            <v>10110128</v>
          </cell>
          <cell r="H2574">
            <v>1.9</v>
          </cell>
          <cell r="I2574">
            <v>93.25</v>
          </cell>
          <cell r="J2574">
            <v>0</v>
          </cell>
          <cell r="K2574">
            <v>0</v>
          </cell>
          <cell r="M2574">
            <v>0</v>
          </cell>
          <cell r="P2574">
            <v>93</v>
          </cell>
          <cell r="V2574" t="str">
            <v>Available</v>
          </cell>
        </row>
        <row r="2575">
          <cell r="E2575">
            <v>10110128</v>
          </cell>
          <cell r="H2575">
            <v>22.64</v>
          </cell>
          <cell r="I2575">
            <v>938.73</v>
          </cell>
          <cell r="J2575">
            <v>0</v>
          </cell>
          <cell r="K2575">
            <v>0</v>
          </cell>
          <cell r="M2575">
            <v>0</v>
          </cell>
          <cell r="P2575">
            <v>939</v>
          </cell>
          <cell r="V2575" t="str">
            <v>Available</v>
          </cell>
        </row>
        <row r="2576">
          <cell r="E2576">
            <v>10110128</v>
          </cell>
          <cell r="H2576">
            <v>20.36</v>
          </cell>
          <cell r="I2576">
            <v>829.5</v>
          </cell>
          <cell r="J2576">
            <v>0</v>
          </cell>
          <cell r="K2576">
            <v>0</v>
          </cell>
          <cell r="M2576">
            <v>0</v>
          </cell>
          <cell r="P2576">
            <v>830</v>
          </cell>
          <cell r="V2576" t="str">
            <v>Available</v>
          </cell>
        </row>
        <row r="2577">
          <cell r="E2577">
            <v>10110129</v>
          </cell>
          <cell r="H2577">
            <v>285</v>
          </cell>
          <cell r="I2577">
            <v>12044.35</v>
          </cell>
          <cell r="J2577">
            <v>0</v>
          </cell>
          <cell r="K2577">
            <v>0</v>
          </cell>
          <cell r="M2577">
            <v>0</v>
          </cell>
          <cell r="P2577">
            <v>4800</v>
          </cell>
          <cell r="V2577" t="str">
            <v>Available</v>
          </cell>
        </row>
        <row r="2578">
          <cell r="E2578">
            <v>10110129</v>
          </cell>
          <cell r="H2578">
            <v>25</v>
          </cell>
          <cell r="I2578">
            <v>1060</v>
          </cell>
          <cell r="J2578">
            <v>0</v>
          </cell>
          <cell r="K2578">
            <v>0</v>
          </cell>
          <cell r="M2578">
            <v>0</v>
          </cell>
          <cell r="P2578">
            <v>1060</v>
          </cell>
          <cell r="V2578" t="str">
            <v>Available</v>
          </cell>
        </row>
        <row r="2579">
          <cell r="E2579">
            <v>10110129</v>
          </cell>
          <cell r="H2579">
            <v>188</v>
          </cell>
          <cell r="I2579">
            <v>7923.95</v>
          </cell>
          <cell r="J2579">
            <v>0</v>
          </cell>
          <cell r="K2579">
            <v>0</v>
          </cell>
          <cell r="M2579">
            <v>0</v>
          </cell>
          <cell r="P2579">
            <v>7924</v>
          </cell>
          <cell r="V2579" t="str">
            <v>Available</v>
          </cell>
        </row>
        <row r="2580">
          <cell r="E2580">
            <v>10110129</v>
          </cell>
          <cell r="H2580">
            <v>245</v>
          </cell>
          <cell r="I2580">
            <v>10376.24</v>
          </cell>
          <cell r="J2580">
            <v>0</v>
          </cell>
          <cell r="K2580">
            <v>0</v>
          </cell>
          <cell r="M2580">
            <v>0</v>
          </cell>
          <cell r="P2580">
            <v>10376</v>
          </cell>
          <cell r="V2580" t="str">
            <v>Available</v>
          </cell>
        </row>
        <row r="2581">
          <cell r="E2581">
            <v>10110132</v>
          </cell>
          <cell r="H2581">
            <v>44.2</v>
          </cell>
          <cell r="I2581">
            <v>1983.05</v>
          </cell>
          <cell r="J2581">
            <v>0</v>
          </cell>
          <cell r="K2581">
            <v>0</v>
          </cell>
          <cell r="M2581">
            <v>0</v>
          </cell>
          <cell r="P2581">
            <v>927</v>
          </cell>
          <cell r="V2581" t="str">
            <v>Available</v>
          </cell>
        </row>
        <row r="2582">
          <cell r="E2582">
            <v>10110132</v>
          </cell>
          <cell r="H2582">
            <v>197.5</v>
          </cell>
          <cell r="I2582">
            <v>9060.1</v>
          </cell>
          <cell r="J2582">
            <v>0</v>
          </cell>
          <cell r="K2582">
            <v>0</v>
          </cell>
          <cell r="M2582">
            <v>0</v>
          </cell>
          <cell r="P2582">
            <v>9060</v>
          </cell>
          <cell r="V2582" t="str">
            <v>Available</v>
          </cell>
        </row>
        <row r="2583">
          <cell r="E2583">
            <v>10110132</v>
          </cell>
          <cell r="H2583">
            <v>3.7699999999999996</v>
          </cell>
          <cell r="I2583">
            <v>169.87</v>
          </cell>
          <cell r="J2583">
            <v>0</v>
          </cell>
          <cell r="K2583">
            <v>0</v>
          </cell>
          <cell r="M2583">
            <v>0</v>
          </cell>
          <cell r="P2583">
            <v>170</v>
          </cell>
          <cell r="V2583" t="str">
            <v>Not Available</v>
          </cell>
        </row>
        <row r="2584">
          <cell r="E2584">
            <v>10110132</v>
          </cell>
          <cell r="H2584">
            <v>2.0699999999999998</v>
          </cell>
          <cell r="I2584">
            <v>74.27</v>
          </cell>
          <cell r="J2584">
            <v>0</v>
          </cell>
          <cell r="K2584">
            <v>0</v>
          </cell>
          <cell r="M2584">
            <v>0</v>
          </cell>
          <cell r="P2584">
            <v>74</v>
          </cell>
          <cell r="V2584" t="str">
            <v>Not Available</v>
          </cell>
        </row>
        <row r="2585">
          <cell r="E2585">
            <v>10110132</v>
          </cell>
          <cell r="H2585">
            <v>4.9800000000000004</v>
          </cell>
          <cell r="I2585">
            <v>267.40999999999997</v>
          </cell>
          <cell r="J2585">
            <v>0</v>
          </cell>
          <cell r="K2585">
            <v>0</v>
          </cell>
          <cell r="M2585">
            <v>0</v>
          </cell>
          <cell r="P2585">
            <v>267</v>
          </cell>
          <cell r="V2585" t="str">
            <v>Not Available</v>
          </cell>
        </row>
        <row r="2586">
          <cell r="E2586">
            <v>10110132</v>
          </cell>
          <cell r="H2586">
            <v>2.75</v>
          </cell>
          <cell r="I2586">
            <v>110.08</v>
          </cell>
          <cell r="J2586">
            <v>0</v>
          </cell>
          <cell r="K2586">
            <v>0</v>
          </cell>
          <cell r="M2586">
            <v>0</v>
          </cell>
          <cell r="P2586">
            <v>110</v>
          </cell>
          <cell r="V2586" t="str">
            <v>Not Available</v>
          </cell>
        </row>
        <row r="2587">
          <cell r="E2587">
            <v>10110132</v>
          </cell>
          <cell r="H2587">
            <v>15.969999999999999</v>
          </cell>
          <cell r="I2587">
            <v>963.44</v>
          </cell>
          <cell r="J2587">
            <v>0</v>
          </cell>
          <cell r="K2587">
            <v>0</v>
          </cell>
          <cell r="M2587">
            <v>0</v>
          </cell>
          <cell r="P2587">
            <v>963</v>
          </cell>
          <cell r="V2587" t="str">
            <v>Not Available</v>
          </cell>
        </row>
        <row r="2588">
          <cell r="E2588">
            <v>10110132</v>
          </cell>
          <cell r="H2588">
            <v>2.42</v>
          </cell>
          <cell r="I2588">
            <v>214.85</v>
          </cell>
          <cell r="J2588">
            <v>0</v>
          </cell>
          <cell r="K2588">
            <v>0</v>
          </cell>
          <cell r="M2588">
            <v>0</v>
          </cell>
          <cell r="P2588">
            <v>215</v>
          </cell>
          <cell r="V2588" t="str">
            <v>Not Available</v>
          </cell>
        </row>
        <row r="2589">
          <cell r="E2589">
            <v>10110132</v>
          </cell>
          <cell r="H2589">
            <v>31.54</v>
          </cell>
          <cell r="I2589">
            <v>1221.08</v>
          </cell>
          <cell r="J2589">
            <v>0</v>
          </cell>
          <cell r="K2589">
            <v>0</v>
          </cell>
          <cell r="M2589">
            <v>0</v>
          </cell>
          <cell r="P2589">
            <v>1221</v>
          </cell>
          <cell r="V2589" t="str">
            <v>Not Available</v>
          </cell>
        </row>
        <row r="2590">
          <cell r="E2590">
            <v>10110132</v>
          </cell>
          <cell r="H2590">
            <v>2.31</v>
          </cell>
          <cell r="I2590">
            <v>87.66</v>
          </cell>
          <cell r="J2590">
            <v>0</v>
          </cell>
          <cell r="K2590">
            <v>0</v>
          </cell>
          <cell r="M2590">
            <v>0</v>
          </cell>
          <cell r="P2590">
            <v>88</v>
          </cell>
          <cell r="V2590" t="str">
            <v>Not Available</v>
          </cell>
        </row>
        <row r="2591">
          <cell r="E2591">
            <v>10110133</v>
          </cell>
          <cell r="H2591">
            <v>2887</v>
          </cell>
          <cell r="I2591">
            <v>114449.76000000001</v>
          </cell>
          <cell r="J2591">
            <v>0</v>
          </cell>
          <cell r="K2591">
            <v>0</v>
          </cell>
          <cell r="M2591">
            <v>0</v>
          </cell>
          <cell r="P2591">
            <v>111969</v>
          </cell>
          <cell r="V2591" t="str">
            <v>Available</v>
          </cell>
        </row>
        <row r="2592">
          <cell r="E2592">
            <v>10110134</v>
          </cell>
          <cell r="H2592">
            <v>3.5799999999999996</v>
          </cell>
          <cell r="I2592">
            <v>147.70000000000002</v>
          </cell>
          <cell r="J2592">
            <v>0</v>
          </cell>
          <cell r="K2592">
            <v>147.70000000000002</v>
          </cell>
          <cell r="M2592">
            <v>0</v>
          </cell>
          <cell r="P2592">
            <v>0</v>
          </cell>
          <cell r="V2592" t="str">
            <v>Not Available</v>
          </cell>
        </row>
        <row r="2593">
          <cell r="E2593">
            <v>10110134</v>
          </cell>
          <cell r="H2593">
            <v>150.99999999999997</v>
          </cell>
          <cell r="I2593">
            <v>6474.69</v>
          </cell>
          <cell r="J2593">
            <v>0</v>
          </cell>
          <cell r="K2593">
            <v>0</v>
          </cell>
          <cell r="M2593">
            <v>0</v>
          </cell>
          <cell r="P2593">
            <v>6422</v>
          </cell>
          <cell r="V2593" t="str">
            <v>Available</v>
          </cell>
        </row>
        <row r="2594">
          <cell r="E2594">
            <v>10110134</v>
          </cell>
          <cell r="H2594">
            <v>30.450000000000003</v>
          </cell>
          <cell r="I2594">
            <v>1369.58</v>
          </cell>
          <cell r="J2594">
            <v>0</v>
          </cell>
          <cell r="K2594">
            <v>0</v>
          </cell>
          <cell r="M2594">
            <v>0</v>
          </cell>
          <cell r="P2594">
            <v>1370</v>
          </cell>
          <cell r="V2594" t="str">
            <v>Available</v>
          </cell>
        </row>
        <row r="2595">
          <cell r="E2595">
            <v>10110134</v>
          </cell>
          <cell r="H2595">
            <v>9.74</v>
          </cell>
          <cell r="I2595">
            <v>371.97</v>
          </cell>
          <cell r="J2595">
            <v>0</v>
          </cell>
          <cell r="K2595">
            <v>0</v>
          </cell>
          <cell r="M2595">
            <v>0</v>
          </cell>
          <cell r="P2595">
            <v>372</v>
          </cell>
          <cell r="V2595" t="str">
            <v>Available</v>
          </cell>
        </row>
        <row r="2596">
          <cell r="E2596">
            <v>10110134</v>
          </cell>
          <cell r="H2596">
            <v>30.04</v>
          </cell>
          <cell r="I2596">
            <v>1144.8000000000002</v>
          </cell>
          <cell r="J2596">
            <v>0</v>
          </cell>
          <cell r="K2596">
            <v>0</v>
          </cell>
          <cell r="M2596">
            <v>0</v>
          </cell>
          <cell r="P2596">
            <v>1145</v>
          </cell>
          <cell r="V2596" t="str">
            <v>Available</v>
          </cell>
        </row>
        <row r="2597">
          <cell r="E2597">
            <v>10110134</v>
          </cell>
          <cell r="H2597">
            <v>19.689999999999998</v>
          </cell>
          <cell r="I2597">
            <v>732.23</v>
          </cell>
          <cell r="J2597">
            <v>0</v>
          </cell>
          <cell r="K2597">
            <v>0</v>
          </cell>
          <cell r="M2597">
            <v>0</v>
          </cell>
          <cell r="P2597">
            <v>732</v>
          </cell>
          <cell r="V2597" t="str">
            <v>Available</v>
          </cell>
        </row>
        <row r="2598">
          <cell r="E2598">
            <v>10110135</v>
          </cell>
          <cell r="H2598">
            <v>82.249999999999986</v>
          </cell>
          <cell r="I2598">
            <v>3662.4700000000007</v>
          </cell>
          <cell r="J2598">
            <v>0</v>
          </cell>
          <cell r="K2598">
            <v>0</v>
          </cell>
          <cell r="M2598">
            <v>0</v>
          </cell>
          <cell r="P2598">
            <v>618</v>
          </cell>
          <cell r="V2598" t="str">
            <v>Available</v>
          </cell>
        </row>
        <row r="2599">
          <cell r="E2599">
            <v>10110135</v>
          </cell>
          <cell r="H2599">
            <v>48.819999999999993</v>
          </cell>
          <cell r="I2599">
            <v>2005.99</v>
          </cell>
          <cell r="J2599">
            <v>0</v>
          </cell>
          <cell r="K2599">
            <v>0</v>
          </cell>
          <cell r="M2599">
            <v>0</v>
          </cell>
          <cell r="P2599">
            <v>2006</v>
          </cell>
          <cell r="V2599" t="str">
            <v>Available</v>
          </cell>
        </row>
        <row r="2600">
          <cell r="E2600">
            <v>10110135</v>
          </cell>
          <cell r="H2600">
            <v>44.56</v>
          </cell>
          <cell r="I2600">
            <v>1786.59</v>
          </cell>
          <cell r="J2600">
            <v>0</v>
          </cell>
          <cell r="K2600">
            <v>0</v>
          </cell>
          <cell r="M2600">
            <v>0</v>
          </cell>
          <cell r="P2600">
            <v>1787</v>
          </cell>
          <cell r="V2600" t="str">
            <v>Available</v>
          </cell>
        </row>
        <row r="2601">
          <cell r="E2601">
            <v>10110135</v>
          </cell>
          <cell r="H2601">
            <v>42.13</v>
          </cell>
          <cell r="I2601">
            <v>1877.3999999999999</v>
          </cell>
          <cell r="J2601">
            <v>0</v>
          </cell>
          <cell r="K2601">
            <v>0</v>
          </cell>
          <cell r="M2601">
            <v>0</v>
          </cell>
          <cell r="P2601">
            <v>1877</v>
          </cell>
          <cell r="V2601" t="str">
            <v>Available</v>
          </cell>
        </row>
        <row r="2602">
          <cell r="E2602">
            <v>10110135</v>
          </cell>
          <cell r="H2602">
            <v>74.47</v>
          </cell>
          <cell r="I2602">
            <v>2954.83</v>
          </cell>
          <cell r="J2602">
            <v>0</v>
          </cell>
          <cell r="K2602">
            <v>0</v>
          </cell>
          <cell r="M2602">
            <v>0</v>
          </cell>
          <cell r="P2602">
            <v>2955</v>
          </cell>
          <cell r="V2602" t="str">
            <v>Available</v>
          </cell>
        </row>
        <row r="2603">
          <cell r="E2603">
            <v>10110135</v>
          </cell>
          <cell r="H2603">
            <v>35.580000000000005</v>
          </cell>
          <cell r="I2603">
            <v>1308.6199999999999</v>
          </cell>
          <cell r="J2603">
            <v>0</v>
          </cell>
          <cell r="K2603">
            <v>0</v>
          </cell>
          <cell r="M2603">
            <v>0</v>
          </cell>
          <cell r="P2603">
            <v>1309</v>
          </cell>
          <cell r="V2603" t="str">
            <v>Available</v>
          </cell>
        </row>
        <row r="2604">
          <cell r="E2604">
            <v>10110135</v>
          </cell>
          <cell r="H2604">
            <v>32.870000000000005</v>
          </cell>
          <cell r="I2604">
            <v>1181.3599999999999</v>
          </cell>
          <cell r="J2604">
            <v>0</v>
          </cell>
          <cell r="K2604">
            <v>0</v>
          </cell>
          <cell r="M2604">
            <v>0</v>
          </cell>
          <cell r="P2604">
            <v>1181</v>
          </cell>
          <cell r="V2604" t="str">
            <v>Available</v>
          </cell>
        </row>
        <row r="2605">
          <cell r="E2605">
            <v>10110135</v>
          </cell>
          <cell r="H2605">
            <v>36.069999999999993</v>
          </cell>
          <cell r="I2605">
            <v>1325.64</v>
          </cell>
          <cell r="J2605">
            <v>0</v>
          </cell>
          <cell r="K2605">
            <v>0</v>
          </cell>
          <cell r="M2605">
            <v>0</v>
          </cell>
          <cell r="P2605">
            <v>1326</v>
          </cell>
          <cell r="V2605" t="str">
            <v>Available</v>
          </cell>
        </row>
        <row r="2606">
          <cell r="E2606">
            <v>10110135</v>
          </cell>
          <cell r="H2606">
            <v>8.25</v>
          </cell>
          <cell r="I2606">
            <v>573.03</v>
          </cell>
          <cell r="J2606">
            <v>0</v>
          </cell>
          <cell r="K2606">
            <v>0</v>
          </cell>
          <cell r="M2606">
            <v>0</v>
          </cell>
          <cell r="P2606">
            <v>573</v>
          </cell>
          <cell r="V2606" t="str">
            <v>Available</v>
          </cell>
        </row>
        <row r="2607">
          <cell r="E2607">
            <v>10110135</v>
          </cell>
          <cell r="H2607">
            <v>57.980000000000004</v>
          </cell>
          <cell r="I2607">
            <v>2274.62</v>
          </cell>
          <cell r="J2607">
            <v>0</v>
          </cell>
          <cell r="K2607">
            <v>0</v>
          </cell>
          <cell r="M2607">
            <v>0</v>
          </cell>
          <cell r="P2607">
            <v>2275</v>
          </cell>
          <cell r="V2607" t="str">
            <v>Available</v>
          </cell>
        </row>
        <row r="2608">
          <cell r="E2608">
            <v>10110135</v>
          </cell>
          <cell r="H2608">
            <v>63.199999999999996</v>
          </cell>
          <cell r="I2608">
            <v>2288.5700000000002</v>
          </cell>
          <cell r="J2608">
            <v>0</v>
          </cell>
          <cell r="K2608">
            <v>0</v>
          </cell>
          <cell r="M2608">
            <v>0</v>
          </cell>
          <cell r="P2608">
            <v>2289</v>
          </cell>
          <cell r="V2608" t="str">
            <v>Available</v>
          </cell>
        </row>
        <row r="2609">
          <cell r="E2609">
            <v>10110135</v>
          </cell>
          <cell r="H2609">
            <v>146.15999999999997</v>
          </cell>
          <cell r="I2609">
            <v>5145.3999999999996</v>
          </cell>
          <cell r="J2609">
            <v>0</v>
          </cell>
          <cell r="K2609">
            <v>0</v>
          </cell>
          <cell r="M2609">
            <v>0</v>
          </cell>
          <cell r="P2609">
            <v>5145</v>
          </cell>
          <cell r="V2609" t="str">
            <v>Available</v>
          </cell>
        </row>
        <row r="2610">
          <cell r="E2610">
            <v>10110135</v>
          </cell>
          <cell r="H2610">
            <v>237.48</v>
          </cell>
          <cell r="I2610">
            <v>11112.65</v>
          </cell>
          <cell r="J2610">
            <v>0</v>
          </cell>
          <cell r="K2610">
            <v>0</v>
          </cell>
          <cell r="M2610">
            <v>0</v>
          </cell>
          <cell r="P2610">
            <v>11113</v>
          </cell>
          <cell r="V2610" t="str">
            <v>Not Available</v>
          </cell>
        </row>
        <row r="2611">
          <cell r="E2611">
            <v>10110135</v>
          </cell>
          <cell r="H2611">
            <v>6.16</v>
          </cell>
          <cell r="I2611">
            <v>290.04000000000002</v>
          </cell>
          <cell r="J2611">
            <v>0</v>
          </cell>
          <cell r="K2611">
            <v>0</v>
          </cell>
          <cell r="M2611">
            <v>0</v>
          </cell>
          <cell r="P2611">
            <v>290</v>
          </cell>
          <cell r="V2611" t="str">
            <v>Available</v>
          </cell>
        </row>
        <row r="2612">
          <cell r="E2612">
            <v>10110135</v>
          </cell>
          <cell r="H2612">
            <v>40.53</v>
          </cell>
          <cell r="I2612">
            <v>1418.46</v>
          </cell>
          <cell r="J2612">
            <v>0</v>
          </cell>
          <cell r="K2612">
            <v>0</v>
          </cell>
          <cell r="M2612">
            <v>0</v>
          </cell>
          <cell r="P2612">
            <v>1418</v>
          </cell>
          <cell r="V2612" t="str">
            <v>Available</v>
          </cell>
        </row>
        <row r="2613">
          <cell r="E2613">
            <v>10110140</v>
          </cell>
          <cell r="H2613">
            <v>1.1499999999999999</v>
          </cell>
          <cell r="I2613">
            <v>57.51</v>
          </cell>
          <cell r="J2613">
            <v>0</v>
          </cell>
          <cell r="K2613">
            <v>57.51</v>
          </cell>
          <cell r="M2613">
            <v>0</v>
          </cell>
          <cell r="P2613">
            <v>0</v>
          </cell>
          <cell r="V2613" t="str">
            <v>Not Available</v>
          </cell>
        </row>
        <row r="2614">
          <cell r="E2614">
            <v>10110140</v>
          </cell>
          <cell r="H2614">
            <v>85</v>
          </cell>
          <cell r="I2614">
            <v>4398.75</v>
          </cell>
          <cell r="J2614">
            <v>0</v>
          </cell>
          <cell r="K2614">
            <v>0</v>
          </cell>
          <cell r="M2614">
            <v>0</v>
          </cell>
          <cell r="P2614">
            <v>0</v>
          </cell>
          <cell r="V2614" t="str">
            <v>Available</v>
          </cell>
        </row>
        <row r="2615">
          <cell r="E2615">
            <v>10110140</v>
          </cell>
          <cell r="H2615">
            <v>45.85</v>
          </cell>
          <cell r="I2615">
            <v>2042.89</v>
          </cell>
          <cell r="J2615">
            <v>0</v>
          </cell>
          <cell r="K2615">
            <v>0</v>
          </cell>
          <cell r="M2615">
            <v>0</v>
          </cell>
          <cell r="P2615">
            <v>1867</v>
          </cell>
          <cell r="V2615" t="str">
            <v>Available</v>
          </cell>
        </row>
        <row r="2616">
          <cell r="E2616">
            <v>10110140</v>
          </cell>
          <cell r="H2616">
            <v>39.11</v>
          </cell>
          <cell r="I2616">
            <v>2263.7600000000002</v>
          </cell>
          <cell r="J2616">
            <v>0</v>
          </cell>
          <cell r="K2616">
            <v>0</v>
          </cell>
          <cell r="M2616">
            <v>0</v>
          </cell>
          <cell r="P2616">
            <v>2264</v>
          </cell>
          <cell r="V2616" t="str">
            <v>Available</v>
          </cell>
        </row>
        <row r="2617">
          <cell r="E2617">
            <v>10110141</v>
          </cell>
          <cell r="H2617">
            <v>8.4499999999999993</v>
          </cell>
          <cell r="I2617">
            <v>343.99</v>
          </cell>
          <cell r="J2617">
            <v>0</v>
          </cell>
          <cell r="K2617">
            <v>343.99</v>
          </cell>
          <cell r="M2617">
            <v>0</v>
          </cell>
          <cell r="P2617">
            <v>0</v>
          </cell>
          <cell r="V2617" t="str">
            <v>Not Available</v>
          </cell>
        </row>
        <row r="2618">
          <cell r="E2618">
            <v>10110141</v>
          </cell>
          <cell r="H2618">
            <v>242.57999999999998</v>
          </cell>
          <cell r="I2618">
            <v>10347.700000000001</v>
          </cell>
          <cell r="J2618">
            <v>0</v>
          </cell>
          <cell r="K2618">
            <v>0</v>
          </cell>
          <cell r="M2618">
            <v>0</v>
          </cell>
          <cell r="P2618">
            <v>9989</v>
          </cell>
          <cell r="V2618" t="str">
            <v>Available</v>
          </cell>
        </row>
        <row r="2619">
          <cell r="E2619">
            <v>10110141</v>
          </cell>
          <cell r="H2619">
            <v>15.549999999999999</v>
          </cell>
          <cell r="I2619">
            <v>650.67999999999995</v>
          </cell>
          <cell r="J2619">
            <v>0</v>
          </cell>
          <cell r="K2619">
            <v>0</v>
          </cell>
          <cell r="M2619">
            <v>0</v>
          </cell>
          <cell r="P2619">
            <v>651</v>
          </cell>
          <cell r="V2619" t="str">
            <v>Available</v>
          </cell>
        </row>
        <row r="2620">
          <cell r="E2620">
            <v>10110141</v>
          </cell>
          <cell r="H2620">
            <v>128.66000000000003</v>
          </cell>
          <cell r="I2620">
            <v>5303.1599999999989</v>
          </cell>
          <cell r="J2620">
            <v>0</v>
          </cell>
          <cell r="K2620">
            <v>0</v>
          </cell>
          <cell r="M2620">
            <v>0</v>
          </cell>
          <cell r="P2620">
            <v>5303</v>
          </cell>
          <cell r="V2620" t="str">
            <v>Available</v>
          </cell>
        </row>
        <row r="2621">
          <cell r="E2621">
            <v>10110141</v>
          </cell>
          <cell r="H2621">
            <v>77.3</v>
          </cell>
          <cell r="I2621">
            <v>3018.7799999999997</v>
          </cell>
          <cell r="J2621">
            <v>0</v>
          </cell>
          <cell r="K2621">
            <v>0</v>
          </cell>
          <cell r="M2621">
            <v>0</v>
          </cell>
          <cell r="P2621">
            <v>3019</v>
          </cell>
          <cell r="V2621" t="str">
            <v>Available</v>
          </cell>
        </row>
        <row r="2622">
          <cell r="E2622">
            <v>10110141</v>
          </cell>
          <cell r="H2622">
            <v>23.409999999999997</v>
          </cell>
          <cell r="I2622">
            <v>902.71</v>
          </cell>
          <cell r="J2622">
            <v>0</v>
          </cell>
          <cell r="K2622">
            <v>0</v>
          </cell>
          <cell r="M2622">
            <v>0</v>
          </cell>
          <cell r="P2622">
            <v>903</v>
          </cell>
          <cell r="V2622" t="str">
            <v>Available</v>
          </cell>
        </row>
        <row r="2623">
          <cell r="E2623">
            <v>10110141</v>
          </cell>
          <cell r="H2623">
            <v>7.04</v>
          </cell>
          <cell r="I2623">
            <v>302.3</v>
          </cell>
          <cell r="J2623">
            <v>0</v>
          </cell>
          <cell r="K2623">
            <v>0</v>
          </cell>
          <cell r="M2623">
            <v>0</v>
          </cell>
          <cell r="P2623">
            <v>302</v>
          </cell>
          <cell r="V2623" t="str">
            <v>Available</v>
          </cell>
        </row>
        <row r="2624">
          <cell r="E2624">
            <v>10110141</v>
          </cell>
          <cell r="H2624">
            <v>12.330000000000002</v>
          </cell>
          <cell r="I2624">
            <v>561.43000000000006</v>
          </cell>
          <cell r="J2624">
            <v>0</v>
          </cell>
          <cell r="K2624">
            <v>0</v>
          </cell>
          <cell r="M2624">
            <v>0</v>
          </cell>
          <cell r="P2624">
            <v>561</v>
          </cell>
          <cell r="V2624" t="str">
            <v>Available</v>
          </cell>
        </row>
        <row r="2625">
          <cell r="E2625">
            <v>10110141</v>
          </cell>
          <cell r="H2625">
            <v>39.909999999999997</v>
          </cell>
          <cell r="I2625">
            <v>1794.3000000000002</v>
          </cell>
          <cell r="J2625">
            <v>0</v>
          </cell>
          <cell r="K2625">
            <v>0</v>
          </cell>
          <cell r="M2625">
            <v>0</v>
          </cell>
          <cell r="P2625">
            <v>1794</v>
          </cell>
          <cell r="V2625" t="str">
            <v>Available</v>
          </cell>
        </row>
        <row r="2626">
          <cell r="E2626">
            <v>10110141</v>
          </cell>
          <cell r="H2626">
            <v>23.17</v>
          </cell>
          <cell r="I2626">
            <v>810.65000000000009</v>
          </cell>
          <cell r="J2626">
            <v>0</v>
          </cell>
          <cell r="K2626">
            <v>0</v>
          </cell>
          <cell r="M2626">
            <v>0</v>
          </cell>
          <cell r="P2626">
            <v>811</v>
          </cell>
          <cell r="V2626" t="str">
            <v>Available</v>
          </cell>
        </row>
        <row r="2627">
          <cell r="E2627">
            <v>10110141</v>
          </cell>
          <cell r="H2627">
            <v>7.51</v>
          </cell>
          <cell r="I2627">
            <v>340.62</v>
          </cell>
          <cell r="J2627">
            <v>0</v>
          </cell>
          <cell r="K2627">
            <v>0</v>
          </cell>
          <cell r="M2627">
            <v>0</v>
          </cell>
          <cell r="P2627">
            <v>341</v>
          </cell>
          <cell r="V2627" t="str">
            <v>Available</v>
          </cell>
        </row>
        <row r="2628">
          <cell r="E2628">
            <v>10110141</v>
          </cell>
          <cell r="H2628">
            <v>83.250000000000014</v>
          </cell>
          <cell r="I2628">
            <v>3026.8599999999997</v>
          </cell>
          <cell r="J2628">
            <v>0</v>
          </cell>
          <cell r="K2628">
            <v>0</v>
          </cell>
          <cell r="M2628">
            <v>0</v>
          </cell>
          <cell r="P2628">
            <v>3027</v>
          </cell>
          <cell r="V2628" t="str">
            <v>Available</v>
          </cell>
        </row>
        <row r="2629">
          <cell r="E2629">
            <v>10110141</v>
          </cell>
          <cell r="H2629">
            <v>42.01</v>
          </cell>
          <cell r="I2629">
            <v>1521.3100000000002</v>
          </cell>
          <cell r="J2629">
            <v>0</v>
          </cell>
          <cell r="K2629">
            <v>0</v>
          </cell>
          <cell r="M2629">
            <v>0</v>
          </cell>
          <cell r="P2629">
            <v>1521</v>
          </cell>
          <cell r="V2629" t="str">
            <v>Available</v>
          </cell>
        </row>
        <row r="2630">
          <cell r="E2630">
            <v>10110141</v>
          </cell>
          <cell r="H2630">
            <v>1.95</v>
          </cell>
          <cell r="I2630">
            <v>98.07</v>
          </cell>
          <cell r="J2630">
            <v>0</v>
          </cell>
          <cell r="K2630">
            <v>0</v>
          </cell>
          <cell r="M2630">
            <v>0</v>
          </cell>
          <cell r="P2630">
            <v>98</v>
          </cell>
          <cell r="V2630" t="str">
            <v>Available</v>
          </cell>
        </row>
        <row r="2631">
          <cell r="E2631">
            <v>10110141</v>
          </cell>
          <cell r="H2631">
            <v>2.2999999999999998</v>
          </cell>
          <cell r="I2631">
            <v>112.87</v>
          </cell>
          <cell r="J2631">
            <v>0</v>
          </cell>
          <cell r="K2631">
            <v>0</v>
          </cell>
          <cell r="M2631">
            <v>0</v>
          </cell>
          <cell r="P2631">
            <v>113</v>
          </cell>
          <cell r="V2631" t="str">
            <v>Available</v>
          </cell>
        </row>
        <row r="2632">
          <cell r="E2632">
            <v>10110141</v>
          </cell>
          <cell r="H2632">
            <v>7.5799999999999992</v>
          </cell>
          <cell r="I2632">
            <v>330.53000000000003</v>
          </cell>
          <cell r="J2632">
            <v>0</v>
          </cell>
          <cell r="K2632">
            <v>0</v>
          </cell>
          <cell r="M2632">
            <v>0</v>
          </cell>
          <cell r="P2632">
            <v>331</v>
          </cell>
          <cell r="V2632" t="str">
            <v>Available</v>
          </cell>
        </row>
        <row r="2633">
          <cell r="E2633">
            <v>10110143</v>
          </cell>
          <cell r="H2633">
            <v>687.48</v>
          </cell>
          <cell r="I2633">
            <v>35487.4</v>
          </cell>
          <cell r="J2633">
            <v>0</v>
          </cell>
          <cell r="K2633">
            <v>0</v>
          </cell>
          <cell r="M2633">
            <v>0</v>
          </cell>
          <cell r="P2633">
            <v>13692</v>
          </cell>
          <cell r="V2633" t="str">
            <v>Available</v>
          </cell>
        </row>
        <row r="2634">
          <cell r="E2634">
            <v>10110143</v>
          </cell>
          <cell r="H2634">
            <v>225.08</v>
          </cell>
          <cell r="I2634">
            <v>11067.37</v>
          </cell>
          <cell r="J2634">
            <v>0</v>
          </cell>
          <cell r="K2634">
            <v>0</v>
          </cell>
          <cell r="M2634">
            <v>0</v>
          </cell>
          <cell r="P2634">
            <v>11067</v>
          </cell>
          <cell r="V2634" t="str">
            <v>Available</v>
          </cell>
        </row>
        <row r="2635">
          <cell r="E2635">
            <v>10110144</v>
          </cell>
          <cell r="H2635">
            <v>292.69</v>
          </cell>
          <cell r="I2635">
            <v>12003.99</v>
          </cell>
          <cell r="J2635">
            <v>0</v>
          </cell>
          <cell r="K2635">
            <v>0</v>
          </cell>
          <cell r="M2635">
            <v>3149</v>
          </cell>
          <cell r="P2635">
            <v>8190</v>
          </cell>
          <cell r="V2635" t="str">
            <v>Available</v>
          </cell>
        </row>
        <row r="2636">
          <cell r="E2636">
            <v>10110144</v>
          </cell>
          <cell r="H2636">
            <v>9.870000000000001</v>
          </cell>
          <cell r="I2636">
            <v>347.99</v>
          </cell>
          <cell r="J2636">
            <v>0</v>
          </cell>
          <cell r="K2636">
            <v>0</v>
          </cell>
          <cell r="M2636">
            <v>0</v>
          </cell>
          <cell r="P2636">
            <v>348</v>
          </cell>
          <cell r="V2636" t="str">
            <v>Available</v>
          </cell>
        </row>
        <row r="2637">
          <cell r="E2637">
            <v>10110144</v>
          </cell>
          <cell r="H2637">
            <v>17.790000000000003</v>
          </cell>
          <cell r="I2637">
            <v>732.19</v>
          </cell>
          <cell r="J2637">
            <v>0</v>
          </cell>
          <cell r="K2637">
            <v>0</v>
          </cell>
          <cell r="M2637">
            <v>0</v>
          </cell>
          <cell r="P2637">
            <v>732</v>
          </cell>
          <cell r="V2637" t="str">
            <v>Available</v>
          </cell>
        </row>
        <row r="2638">
          <cell r="E2638">
            <v>10110144</v>
          </cell>
          <cell r="H2638">
            <v>135.96</v>
          </cell>
          <cell r="I2638">
            <v>5295.4600000000009</v>
          </cell>
          <cell r="J2638">
            <v>0</v>
          </cell>
          <cell r="K2638">
            <v>0</v>
          </cell>
          <cell r="M2638">
            <v>0</v>
          </cell>
          <cell r="P2638">
            <v>5295</v>
          </cell>
          <cell r="V2638" t="str">
            <v>Available</v>
          </cell>
        </row>
        <row r="2639">
          <cell r="E2639">
            <v>10110144</v>
          </cell>
          <cell r="H2639">
            <v>88.210000000000008</v>
          </cell>
          <cell r="I2639">
            <v>3483.7900000000004</v>
          </cell>
          <cell r="J2639">
            <v>0</v>
          </cell>
          <cell r="K2639">
            <v>0</v>
          </cell>
          <cell r="M2639">
            <v>0</v>
          </cell>
          <cell r="P2639">
            <v>3484</v>
          </cell>
          <cell r="V2639" t="str">
            <v>Available</v>
          </cell>
        </row>
        <row r="2640">
          <cell r="E2640">
            <v>10110144</v>
          </cell>
          <cell r="H2640">
            <v>125.05999999999999</v>
          </cell>
          <cell r="I2640">
            <v>5017.38</v>
          </cell>
          <cell r="J2640">
            <v>0</v>
          </cell>
          <cell r="K2640">
            <v>0</v>
          </cell>
          <cell r="M2640">
            <v>0</v>
          </cell>
          <cell r="P2640">
            <v>5017</v>
          </cell>
          <cell r="V2640" t="str">
            <v>Available</v>
          </cell>
        </row>
        <row r="2641">
          <cell r="E2641">
            <v>10110144</v>
          </cell>
          <cell r="H2641">
            <v>65.179999999999993</v>
          </cell>
          <cell r="I2641">
            <v>2109.7200000000003</v>
          </cell>
          <cell r="J2641">
            <v>0</v>
          </cell>
          <cell r="K2641">
            <v>0</v>
          </cell>
          <cell r="M2641">
            <v>0</v>
          </cell>
          <cell r="P2641">
            <v>2110</v>
          </cell>
          <cell r="V2641" t="str">
            <v>Available</v>
          </cell>
        </row>
        <row r="2642">
          <cell r="E2642">
            <v>10110146</v>
          </cell>
          <cell r="H2642">
            <v>164.2</v>
          </cell>
          <cell r="I2642">
            <v>6469.13</v>
          </cell>
          <cell r="J2642">
            <v>0</v>
          </cell>
          <cell r="K2642">
            <v>0</v>
          </cell>
          <cell r="M2642">
            <v>0</v>
          </cell>
          <cell r="P2642">
            <v>6469</v>
          </cell>
          <cell r="V2642" t="str">
            <v>Available</v>
          </cell>
        </row>
        <row r="2643">
          <cell r="E2643">
            <v>10110146</v>
          </cell>
          <cell r="H2643">
            <v>451.6</v>
          </cell>
          <cell r="I2643">
            <v>16540.759999999998</v>
          </cell>
          <cell r="J2643">
            <v>0</v>
          </cell>
          <cell r="K2643">
            <v>0</v>
          </cell>
          <cell r="M2643">
            <v>0</v>
          </cell>
          <cell r="P2643">
            <v>16541</v>
          </cell>
          <cell r="V2643" t="str">
            <v>Available</v>
          </cell>
        </row>
        <row r="2644">
          <cell r="E2644">
            <v>10110149</v>
          </cell>
          <cell r="H2644">
            <v>129.87</v>
          </cell>
          <cell r="I2644">
            <v>5190.6600000000008</v>
          </cell>
          <cell r="J2644">
            <v>0</v>
          </cell>
          <cell r="K2644">
            <v>0</v>
          </cell>
          <cell r="M2644">
            <v>0</v>
          </cell>
          <cell r="P2644">
            <v>2249</v>
          </cell>
          <cell r="V2644" t="str">
            <v>Available</v>
          </cell>
        </row>
        <row r="2645">
          <cell r="E2645">
            <v>10110149</v>
          </cell>
          <cell r="H2645">
            <v>52.77</v>
          </cell>
          <cell r="I2645">
            <v>2421.4300000000003</v>
          </cell>
          <cell r="J2645">
            <v>0</v>
          </cell>
          <cell r="K2645">
            <v>0</v>
          </cell>
          <cell r="M2645">
            <v>0</v>
          </cell>
          <cell r="P2645">
            <v>2421</v>
          </cell>
          <cell r="V2645" t="str">
            <v>Not Available</v>
          </cell>
        </row>
        <row r="2646">
          <cell r="E2646">
            <v>10110149</v>
          </cell>
          <cell r="H2646">
            <v>91.84999999999998</v>
          </cell>
          <cell r="I2646">
            <v>4041.8200000000006</v>
          </cell>
          <cell r="J2646">
            <v>0</v>
          </cell>
          <cell r="K2646">
            <v>0</v>
          </cell>
          <cell r="M2646">
            <v>0</v>
          </cell>
          <cell r="P2646">
            <v>4042</v>
          </cell>
          <cell r="V2646" t="str">
            <v>Not Available</v>
          </cell>
        </row>
        <row r="2647">
          <cell r="E2647">
            <v>10110149</v>
          </cell>
          <cell r="H2647">
            <v>58.330000000000005</v>
          </cell>
          <cell r="I2647">
            <v>2674.11</v>
          </cell>
          <cell r="J2647">
            <v>0</v>
          </cell>
          <cell r="K2647">
            <v>0</v>
          </cell>
          <cell r="M2647">
            <v>0</v>
          </cell>
          <cell r="P2647">
            <v>2674</v>
          </cell>
          <cell r="V2647" t="str">
            <v>Not Available</v>
          </cell>
        </row>
        <row r="2648">
          <cell r="E2648">
            <v>10110149</v>
          </cell>
          <cell r="H2648">
            <v>2.88</v>
          </cell>
          <cell r="I2648">
            <v>143.71</v>
          </cell>
          <cell r="J2648">
            <v>0</v>
          </cell>
          <cell r="K2648">
            <v>0</v>
          </cell>
          <cell r="M2648">
            <v>0</v>
          </cell>
          <cell r="P2648">
            <v>144</v>
          </cell>
          <cell r="V2648" t="str">
            <v>Not Available</v>
          </cell>
        </row>
        <row r="2649">
          <cell r="E2649">
            <v>10110149</v>
          </cell>
          <cell r="H2649">
            <v>21.69</v>
          </cell>
          <cell r="I2649">
            <v>1102.3899999999999</v>
          </cell>
          <cell r="J2649">
            <v>0</v>
          </cell>
          <cell r="K2649">
            <v>0</v>
          </cell>
          <cell r="M2649">
            <v>0</v>
          </cell>
          <cell r="P2649">
            <v>1102</v>
          </cell>
          <cell r="V2649" t="str">
            <v>Not Available</v>
          </cell>
        </row>
        <row r="2650">
          <cell r="E2650">
            <v>10110149</v>
          </cell>
          <cell r="H2650">
            <v>60.19</v>
          </cell>
          <cell r="I2650">
            <v>2701.0400000000009</v>
          </cell>
          <cell r="J2650">
            <v>0</v>
          </cell>
          <cell r="K2650">
            <v>0</v>
          </cell>
          <cell r="M2650">
            <v>0</v>
          </cell>
          <cell r="P2650">
            <v>2701</v>
          </cell>
          <cell r="V2650" t="str">
            <v>Not Available</v>
          </cell>
        </row>
        <row r="2651">
          <cell r="E2651">
            <v>10110149</v>
          </cell>
          <cell r="H2651">
            <v>41.68</v>
          </cell>
          <cell r="I2651">
            <v>1724.1000000000001</v>
          </cell>
          <cell r="J2651">
            <v>0</v>
          </cell>
          <cell r="K2651">
            <v>0</v>
          </cell>
          <cell r="M2651">
            <v>0</v>
          </cell>
          <cell r="P2651">
            <v>1724</v>
          </cell>
          <cell r="V2651" t="str">
            <v>Not Available</v>
          </cell>
        </row>
        <row r="2652">
          <cell r="E2652">
            <v>10110149</v>
          </cell>
          <cell r="H2652">
            <v>46.37</v>
          </cell>
          <cell r="I2652">
            <v>1919.02</v>
          </cell>
          <cell r="J2652">
            <v>0</v>
          </cell>
          <cell r="K2652">
            <v>0</v>
          </cell>
          <cell r="M2652">
            <v>0</v>
          </cell>
          <cell r="P2652">
            <v>1919</v>
          </cell>
          <cell r="V2652" t="str">
            <v>Not Available</v>
          </cell>
        </row>
        <row r="2653">
          <cell r="E2653">
            <v>10110149</v>
          </cell>
          <cell r="H2653">
            <v>21.03</v>
          </cell>
          <cell r="I2653">
            <v>1075.04</v>
          </cell>
          <cell r="J2653">
            <v>0</v>
          </cell>
          <cell r="K2653">
            <v>0</v>
          </cell>
          <cell r="M2653">
            <v>0</v>
          </cell>
          <cell r="P2653">
            <v>1075</v>
          </cell>
          <cell r="V2653" t="str">
            <v>Not Available</v>
          </cell>
        </row>
        <row r="2654">
          <cell r="E2654">
            <v>10110149</v>
          </cell>
          <cell r="H2654">
            <v>28.54</v>
          </cell>
          <cell r="I2654">
            <v>1158.4299999999998</v>
          </cell>
          <cell r="J2654">
            <v>0</v>
          </cell>
          <cell r="K2654">
            <v>0</v>
          </cell>
          <cell r="M2654">
            <v>0</v>
          </cell>
          <cell r="P2654">
            <v>1158</v>
          </cell>
          <cell r="V2654" t="str">
            <v>Not Available</v>
          </cell>
        </row>
        <row r="2655">
          <cell r="E2655">
            <v>10110158</v>
          </cell>
          <cell r="H2655">
            <v>350.11999999999989</v>
          </cell>
          <cell r="I2655">
            <v>13838.95</v>
          </cell>
          <cell r="J2655">
            <v>0</v>
          </cell>
          <cell r="K2655">
            <v>0</v>
          </cell>
          <cell r="M2655">
            <v>0</v>
          </cell>
          <cell r="P2655">
            <v>11103</v>
          </cell>
          <cell r="V2655" t="str">
            <v>Available</v>
          </cell>
        </row>
        <row r="2656">
          <cell r="E2656">
            <v>10110158</v>
          </cell>
          <cell r="H2656">
            <v>34.960000000000008</v>
          </cell>
          <cell r="I2656">
            <v>1952.2500000000002</v>
          </cell>
          <cell r="J2656">
            <v>0</v>
          </cell>
          <cell r="K2656">
            <v>0</v>
          </cell>
          <cell r="M2656">
            <v>0</v>
          </cell>
          <cell r="P2656">
            <v>1952</v>
          </cell>
          <cell r="V2656" t="str">
            <v>Available</v>
          </cell>
        </row>
        <row r="2657">
          <cell r="E2657">
            <v>10110158</v>
          </cell>
          <cell r="H2657">
            <v>214.78</v>
          </cell>
          <cell r="I2657">
            <v>9332.41</v>
          </cell>
          <cell r="J2657">
            <v>0</v>
          </cell>
          <cell r="K2657">
            <v>0</v>
          </cell>
          <cell r="M2657">
            <v>0</v>
          </cell>
          <cell r="P2657">
            <v>9332</v>
          </cell>
          <cell r="V2657" t="str">
            <v>Available</v>
          </cell>
        </row>
        <row r="2658">
          <cell r="E2658">
            <v>10110158</v>
          </cell>
          <cell r="H2658">
            <v>952.34</v>
          </cell>
          <cell r="I2658">
            <v>36432.850000000006</v>
          </cell>
          <cell r="J2658">
            <v>0</v>
          </cell>
          <cell r="K2658">
            <v>0</v>
          </cell>
          <cell r="M2658">
            <v>0</v>
          </cell>
          <cell r="P2658">
            <v>36433</v>
          </cell>
          <cell r="V2658" t="str">
            <v>Available</v>
          </cell>
        </row>
        <row r="2659">
          <cell r="E2659">
            <v>10110158</v>
          </cell>
          <cell r="H2659">
            <v>29.82</v>
          </cell>
          <cell r="I2659">
            <v>1285.4599999999998</v>
          </cell>
          <cell r="J2659">
            <v>0</v>
          </cell>
          <cell r="K2659">
            <v>0</v>
          </cell>
          <cell r="M2659">
            <v>0</v>
          </cell>
          <cell r="P2659">
            <v>1285</v>
          </cell>
          <cell r="V2659" t="str">
            <v>Available</v>
          </cell>
        </row>
        <row r="2660">
          <cell r="E2660">
            <v>10110158</v>
          </cell>
          <cell r="H2660">
            <v>13.08</v>
          </cell>
          <cell r="I2660">
            <v>518.58000000000004</v>
          </cell>
          <cell r="J2660">
            <v>0</v>
          </cell>
          <cell r="K2660">
            <v>0</v>
          </cell>
          <cell r="M2660">
            <v>0</v>
          </cell>
          <cell r="P2660">
            <v>519</v>
          </cell>
          <cell r="V2660" t="str">
            <v>Available</v>
          </cell>
        </row>
        <row r="2661">
          <cell r="E2661">
            <v>10110158</v>
          </cell>
          <cell r="H2661">
            <v>972.7600000000001</v>
          </cell>
          <cell r="I2661">
            <v>36794.239999999998</v>
          </cell>
          <cell r="J2661">
            <v>0</v>
          </cell>
          <cell r="K2661">
            <v>0</v>
          </cell>
          <cell r="M2661">
            <v>0</v>
          </cell>
          <cell r="P2661">
            <v>36794</v>
          </cell>
          <cell r="V2661" t="str">
            <v>Available</v>
          </cell>
        </row>
        <row r="2662">
          <cell r="E2662">
            <v>10110158</v>
          </cell>
          <cell r="H2662">
            <v>466.92</v>
          </cell>
          <cell r="I2662">
            <v>17405.04</v>
          </cell>
          <cell r="J2662">
            <v>0</v>
          </cell>
          <cell r="K2662">
            <v>0</v>
          </cell>
          <cell r="M2662">
            <v>0</v>
          </cell>
          <cell r="P2662">
            <v>17405</v>
          </cell>
          <cell r="V2662" t="str">
            <v>Available</v>
          </cell>
        </row>
        <row r="2663">
          <cell r="E2663">
            <v>10110158</v>
          </cell>
          <cell r="H2663">
            <v>7</v>
          </cell>
          <cell r="I2663">
            <v>336.76</v>
          </cell>
          <cell r="J2663">
            <v>0</v>
          </cell>
          <cell r="K2663">
            <v>0</v>
          </cell>
          <cell r="M2663">
            <v>0</v>
          </cell>
          <cell r="P2663">
            <v>337</v>
          </cell>
          <cell r="V2663" t="str">
            <v>Available</v>
          </cell>
        </row>
        <row r="2664">
          <cell r="E2664">
            <v>10110158</v>
          </cell>
          <cell r="H2664">
            <v>238.82000000000002</v>
          </cell>
          <cell r="I2664">
            <v>9922.3900000000012</v>
          </cell>
          <cell r="J2664">
            <v>0</v>
          </cell>
          <cell r="K2664">
            <v>0</v>
          </cell>
          <cell r="M2664">
            <v>0</v>
          </cell>
          <cell r="P2664">
            <v>9922</v>
          </cell>
          <cell r="V2664" t="str">
            <v>Available</v>
          </cell>
        </row>
        <row r="2665">
          <cell r="E2665">
            <v>10110158</v>
          </cell>
          <cell r="H2665">
            <v>102.06000000000002</v>
          </cell>
          <cell r="I2665">
            <v>4296.5899999999992</v>
          </cell>
          <cell r="J2665">
            <v>0</v>
          </cell>
          <cell r="K2665">
            <v>0</v>
          </cell>
          <cell r="M2665">
            <v>0</v>
          </cell>
          <cell r="P2665">
            <v>4297</v>
          </cell>
          <cell r="V2665" t="str">
            <v>Available</v>
          </cell>
        </row>
        <row r="2666">
          <cell r="E2666">
            <v>10110158</v>
          </cell>
          <cell r="H2666">
            <v>304.36</v>
          </cell>
          <cell r="I2666">
            <v>12523.560000000001</v>
          </cell>
          <cell r="J2666">
            <v>0</v>
          </cell>
          <cell r="K2666">
            <v>0</v>
          </cell>
          <cell r="M2666">
            <v>0</v>
          </cell>
          <cell r="P2666">
            <v>12524</v>
          </cell>
          <cell r="V2666" t="str">
            <v>Not Available</v>
          </cell>
        </row>
        <row r="2667">
          <cell r="E2667">
            <v>10110158</v>
          </cell>
          <cell r="H2667">
            <v>98.580000000000013</v>
          </cell>
          <cell r="I2667">
            <v>4180.2199999999993</v>
          </cell>
          <cell r="J2667">
            <v>0</v>
          </cell>
          <cell r="K2667">
            <v>0</v>
          </cell>
          <cell r="M2667">
            <v>0</v>
          </cell>
          <cell r="P2667">
            <v>4180</v>
          </cell>
          <cell r="V2667" t="str">
            <v>Available</v>
          </cell>
        </row>
        <row r="2668">
          <cell r="E2668">
            <v>10110158</v>
          </cell>
          <cell r="H2668">
            <v>248.90000000000003</v>
          </cell>
          <cell r="I2668">
            <v>10021.590000000002</v>
          </cell>
          <cell r="J2668">
            <v>0</v>
          </cell>
          <cell r="K2668">
            <v>0</v>
          </cell>
          <cell r="M2668">
            <v>0</v>
          </cell>
          <cell r="P2668">
            <v>10022</v>
          </cell>
          <cell r="V2668" t="str">
            <v>Not Available</v>
          </cell>
        </row>
        <row r="2669">
          <cell r="E2669">
            <v>10110158</v>
          </cell>
          <cell r="H2669">
            <v>127.5</v>
          </cell>
          <cell r="I2669">
            <v>4905.3900000000003</v>
          </cell>
          <cell r="J2669">
            <v>0</v>
          </cell>
          <cell r="K2669">
            <v>0</v>
          </cell>
          <cell r="M2669">
            <v>0</v>
          </cell>
          <cell r="P2669">
            <v>4905</v>
          </cell>
          <cell r="V2669" t="str">
            <v>Available</v>
          </cell>
        </row>
        <row r="2670">
          <cell r="E2670">
            <v>10110158</v>
          </cell>
          <cell r="H2670">
            <v>317.38</v>
          </cell>
          <cell r="I2670">
            <v>12884.180000000002</v>
          </cell>
          <cell r="J2670">
            <v>0</v>
          </cell>
          <cell r="K2670">
            <v>0</v>
          </cell>
          <cell r="M2670">
            <v>0</v>
          </cell>
          <cell r="P2670">
            <v>12884</v>
          </cell>
          <cell r="V2670" t="str">
            <v>Not Available</v>
          </cell>
        </row>
        <row r="2671">
          <cell r="E2671">
            <v>10110158</v>
          </cell>
          <cell r="H2671">
            <v>68.539999999999992</v>
          </cell>
          <cell r="I2671">
            <v>2666.9900000000002</v>
          </cell>
          <cell r="J2671">
            <v>0</v>
          </cell>
          <cell r="K2671">
            <v>0</v>
          </cell>
          <cell r="M2671">
            <v>0</v>
          </cell>
          <cell r="P2671">
            <v>2667</v>
          </cell>
          <cell r="V2671" t="str">
            <v>Available</v>
          </cell>
        </row>
        <row r="2672">
          <cell r="E2672">
            <v>10110158</v>
          </cell>
          <cell r="H2672">
            <v>47.46</v>
          </cell>
          <cell r="I2672">
            <v>2085.54</v>
          </cell>
          <cell r="J2672">
            <v>0</v>
          </cell>
          <cell r="K2672">
            <v>0</v>
          </cell>
          <cell r="M2672">
            <v>0</v>
          </cell>
          <cell r="P2672">
            <v>2086</v>
          </cell>
          <cell r="V2672" t="str">
            <v>Available</v>
          </cell>
        </row>
        <row r="2673">
          <cell r="E2673">
            <v>10110158</v>
          </cell>
          <cell r="H2673">
            <v>116.14</v>
          </cell>
          <cell r="I2673">
            <v>3697.6399999999994</v>
          </cell>
          <cell r="J2673">
            <v>0</v>
          </cell>
          <cell r="K2673">
            <v>0</v>
          </cell>
          <cell r="M2673">
            <v>0</v>
          </cell>
          <cell r="P2673">
            <v>3698</v>
          </cell>
          <cell r="V2673" t="str">
            <v>Available</v>
          </cell>
        </row>
        <row r="2674">
          <cell r="E2674">
            <v>10110158</v>
          </cell>
          <cell r="H2674">
            <v>43.8</v>
          </cell>
          <cell r="I2674">
            <v>1775.36</v>
          </cell>
          <cell r="J2674">
            <v>0</v>
          </cell>
          <cell r="K2674">
            <v>0</v>
          </cell>
          <cell r="M2674">
            <v>0</v>
          </cell>
          <cell r="P2674">
            <v>1775</v>
          </cell>
          <cell r="V2674" t="str">
            <v>Available</v>
          </cell>
        </row>
        <row r="2675">
          <cell r="E2675">
            <v>10110158</v>
          </cell>
          <cell r="H2675">
            <v>116.92</v>
          </cell>
          <cell r="I2675">
            <v>4806.1399999999994</v>
          </cell>
          <cell r="J2675">
            <v>0</v>
          </cell>
          <cell r="K2675">
            <v>0</v>
          </cell>
          <cell r="M2675">
            <v>0</v>
          </cell>
          <cell r="P2675">
            <v>4806</v>
          </cell>
          <cell r="V2675" t="str">
            <v>Available</v>
          </cell>
        </row>
        <row r="2676">
          <cell r="E2676">
            <v>10110158</v>
          </cell>
          <cell r="H2676">
            <v>85.859999999999985</v>
          </cell>
          <cell r="I2676">
            <v>3392.1799999999994</v>
          </cell>
          <cell r="J2676">
            <v>0</v>
          </cell>
          <cell r="K2676">
            <v>0</v>
          </cell>
          <cell r="M2676">
            <v>0</v>
          </cell>
          <cell r="P2676">
            <v>3392</v>
          </cell>
          <cell r="V2676" t="str">
            <v>Available</v>
          </cell>
        </row>
        <row r="2677">
          <cell r="E2677">
            <v>10110158</v>
          </cell>
          <cell r="H2677">
            <v>24.4</v>
          </cell>
          <cell r="I2677">
            <v>1065.8700000000001</v>
          </cell>
          <cell r="J2677">
            <v>0</v>
          </cell>
          <cell r="K2677">
            <v>0</v>
          </cell>
          <cell r="M2677">
            <v>0</v>
          </cell>
          <cell r="P2677">
            <v>1066</v>
          </cell>
          <cell r="V2677" t="str">
            <v>Available</v>
          </cell>
        </row>
        <row r="2678">
          <cell r="E2678">
            <v>10110158</v>
          </cell>
          <cell r="H2678">
            <v>56.92</v>
          </cell>
          <cell r="I2678">
            <v>2495.13</v>
          </cell>
          <cell r="J2678">
            <v>0</v>
          </cell>
          <cell r="K2678">
            <v>0</v>
          </cell>
          <cell r="M2678">
            <v>0</v>
          </cell>
          <cell r="P2678">
            <v>2495</v>
          </cell>
          <cell r="V2678" t="str">
            <v>Available</v>
          </cell>
        </row>
        <row r="2679">
          <cell r="E2679">
            <v>10110158</v>
          </cell>
          <cell r="H2679">
            <v>17.619999999999997</v>
          </cell>
          <cell r="I2679">
            <v>646.26</v>
          </cell>
          <cell r="J2679">
            <v>0</v>
          </cell>
          <cell r="K2679">
            <v>0</v>
          </cell>
          <cell r="M2679">
            <v>0</v>
          </cell>
          <cell r="P2679">
            <v>646</v>
          </cell>
          <cell r="V2679" t="str">
            <v>Available</v>
          </cell>
        </row>
        <row r="2680">
          <cell r="E2680">
            <v>10110158</v>
          </cell>
          <cell r="H2680">
            <v>20.38</v>
          </cell>
          <cell r="I2680">
            <v>852.38999999999987</v>
          </cell>
          <cell r="J2680">
            <v>0</v>
          </cell>
          <cell r="K2680">
            <v>0</v>
          </cell>
          <cell r="M2680">
            <v>0</v>
          </cell>
          <cell r="P2680">
            <v>852</v>
          </cell>
          <cell r="V2680" t="str">
            <v>Available</v>
          </cell>
        </row>
        <row r="2681">
          <cell r="E2681">
            <v>10110158</v>
          </cell>
          <cell r="H2681">
            <v>24.76</v>
          </cell>
          <cell r="I2681">
            <v>1008.96</v>
          </cell>
          <cell r="J2681">
            <v>0</v>
          </cell>
          <cell r="K2681">
            <v>0</v>
          </cell>
          <cell r="M2681">
            <v>0</v>
          </cell>
          <cell r="P2681">
            <v>1009</v>
          </cell>
          <cell r="V2681" t="str">
            <v>Available</v>
          </cell>
        </row>
        <row r="2682">
          <cell r="E2682">
            <v>10110158</v>
          </cell>
          <cell r="H2682">
            <v>35.219999999999992</v>
          </cell>
          <cell r="I2682">
            <v>1700.5500000000004</v>
          </cell>
          <cell r="J2682">
            <v>0</v>
          </cell>
          <cell r="K2682">
            <v>0</v>
          </cell>
          <cell r="M2682">
            <v>0</v>
          </cell>
          <cell r="P2682">
            <v>1701</v>
          </cell>
          <cell r="V2682" t="str">
            <v>Available</v>
          </cell>
        </row>
        <row r="2683">
          <cell r="E2683">
            <v>10110158</v>
          </cell>
          <cell r="H2683">
            <v>9.5599999999999987</v>
          </cell>
          <cell r="I2683">
            <v>398.88</v>
          </cell>
          <cell r="J2683">
            <v>0</v>
          </cell>
          <cell r="K2683">
            <v>0</v>
          </cell>
          <cell r="M2683">
            <v>0</v>
          </cell>
          <cell r="P2683">
            <v>399</v>
          </cell>
          <cell r="V2683" t="str">
            <v>Available</v>
          </cell>
        </row>
        <row r="2684">
          <cell r="E2684">
            <v>10110158</v>
          </cell>
          <cell r="H2684">
            <v>23.679999999999996</v>
          </cell>
          <cell r="I2684">
            <v>1108.2799999999997</v>
          </cell>
          <cell r="J2684">
            <v>0</v>
          </cell>
          <cell r="K2684">
            <v>0</v>
          </cell>
          <cell r="M2684">
            <v>0</v>
          </cell>
          <cell r="P2684">
            <v>1108</v>
          </cell>
          <cell r="V2684" t="str">
            <v>Not Available</v>
          </cell>
        </row>
        <row r="2685">
          <cell r="E2685">
            <v>10110158</v>
          </cell>
          <cell r="H2685">
            <v>96.359999999999985</v>
          </cell>
          <cell r="I2685">
            <v>3692.75</v>
          </cell>
          <cell r="J2685">
            <v>0</v>
          </cell>
          <cell r="K2685">
            <v>0</v>
          </cell>
          <cell r="M2685">
            <v>0</v>
          </cell>
          <cell r="P2685">
            <v>3693</v>
          </cell>
          <cell r="V2685" t="str">
            <v>Available</v>
          </cell>
        </row>
        <row r="2686">
          <cell r="E2686">
            <v>10110158</v>
          </cell>
          <cell r="H2686">
            <v>25.620000000000005</v>
          </cell>
          <cell r="I2686">
            <v>1096.8899999999999</v>
          </cell>
          <cell r="J2686">
            <v>0</v>
          </cell>
          <cell r="K2686">
            <v>0</v>
          </cell>
          <cell r="M2686">
            <v>0</v>
          </cell>
          <cell r="P2686">
            <v>1097</v>
          </cell>
          <cell r="V2686" t="str">
            <v>Not Available</v>
          </cell>
        </row>
        <row r="2687">
          <cell r="E2687">
            <v>10110158</v>
          </cell>
          <cell r="H2687">
            <v>176.64</v>
          </cell>
          <cell r="I2687">
            <v>7297.63</v>
          </cell>
          <cell r="J2687">
            <v>0</v>
          </cell>
          <cell r="K2687">
            <v>0</v>
          </cell>
          <cell r="M2687">
            <v>0</v>
          </cell>
          <cell r="P2687">
            <v>7298</v>
          </cell>
          <cell r="V2687" t="str">
            <v>Not Available</v>
          </cell>
        </row>
        <row r="2688">
          <cell r="E2688">
            <v>10110158</v>
          </cell>
          <cell r="H2688">
            <v>44.940000000000005</v>
          </cell>
          <cell r="I2688">
            <v>1688.4500000000003</v>
          </cell>
          <cell r="J2688">
            <v>0</v>
          </cell>
          <cell r="K2688">
            <v>0</v>
          </cell>
          <cell r="M2688">
            <v>0</v>
          </cell>
          <cell r="P2688">
            <v>1688</v>
          </cell>
          <cell r="V2688" t="str">
            <v>Available</v>
          </cell>
        </row>
        <row r="2689">
          <cell r="E2689">
            <v>10110158</v>
          </cell>
          <cell r="H2689">
            <v>25.099999999999998</v>
          </cell>
          <cell r="I2689">
            <v>968.49</v>
          </cell>
          <cell r="J2689">
            <v>0</v>
          </cell>
          <cell r="K2689">
            <v>0</v>
          </cell>
          <cell r="M2689">
            <v>0</v>
          </cell>
          <cell r="P2689">
            <v>968</v>
          </cell>
          <cell r="V2689" t="str">
            <v>Available</v>
          </cell>
        </row>
        <row r="2690">
          <cell r="E2690">
            <v>10110158</v>
          </cell>
          <cell r="H2690">
            <v>259.58</v>
          </cell>
          <cell r="I2690">
            <v>9850.909999999998</v>
          </cell>
          <cell r="J2690">
            <v>0</v>
          </cell>
          <cell r="K2690">
            <v>0</v>
          </cell>
          <cell r="M2690">
            <v>0</v>
          </cell>
          <cell r="P2690">
            <v>9851</v>
          </cell>
          <cell r="V2690" t="str">
            <v>Available</v>
          </cell>
        </row>
        <row r="2691">
          <cell r="E2691">
            <v>10110158</v>
          </cell>
          <cell r="H2691">
            <v>30.72</v>
          </cell>
          <cell r="I2691">
            <v>1462.6800000000003</v>
          </cell>
          <cell r="J2691">
            <v>0</v>
          </cell>
          <cell r="K2691">
            <v>0</v>
          </cell>
          <cell r="M2691">
            <v>0</v>
          </cell>
          <cell r="P2691">
            <v>1463</v>
          </cell>
          <cell r="V2691" t="str">
            <v>Available</v>
          </cell>
        </row>
        <row r="2692">
          <cell r="E2692">
            <v>10110158</v>
          </cell>
          <cell r="H2692">
            <v>23.999999999999993</v>
          </cell>
          <cell r="I2692">
            <v>1161.1099999999999</v>
          </cell>
          <cell r="J2692">
            <v>0</v>
          </cell>
          <cell r="K2692">
            <v>0</v>
          </cell>
          <cell r="M2692">
            <v>0</v>
          </cell>
          <cell r="P2692">
            <v>1161</v>
          </cell>
          <cell r="V2692" t="str">
            <v>Available</v>
          </cell>
        </row>
        <row r="2693">
          <cell r="E2693">
            <v>10110158</v>
          </cell>
          <cell r="H2693">
            <v>17.34</v>
          </cell>
          <cell r="I2693">
            <v>752.04000000000008</v>
          </cell>
          <cell r="J2693">
            <v>0</v>
          </cell>
          <cell r="K2693">
            <v>0</v>
          </cell>
          <cell r="M2693">
            <v>0</v>
          </cell>
          <cell r="P2693">
            <v>752</v>
          </cell>
          <cell r="V2693" t="str">
            <v>Available</v>
          </cell>
        </row>
        <row r="2694">
          <cell r="E2694">
            <v>10110158</v>
          </cell>
          <cell r="H2694">
            <v>60.280000000000008</v>
          </cell>
          <cell r="I2694">
            <v>2284.9899999999998</v>
          </cell>
          <cell r="J2694">
            <v>0</v>
          </cell>
          <cell r="K2694">
            <v>0</v>
          </cell>
          <cell r="M2694">
            <v>0</v>
          </cell>
          <cell r="P2694">
            <v>2285</v>
          </cell>
          <cell r="V2694" t="str">
            <v>Available</v>
          </cell>
        </row>
        <row r="2695">
          <cell r="E2695">
            <v>10110158</v>
          </cell>
          <cell r="H2695">
            <v>15.839999999999998</v>
          </cell>
          <cell r="I2695">
            <v>1036.74</v>
          </cell>
          <cell r="J2695">
            <v>0</v>
          </cell>
          <cell r="K2695">
            <v>0</v>
          </cell>
          <cell r="M2695">
            <v>0</v>
          </cell>
          <cell r="P2695">
            <v>1037</v>
          </cell>
          <cell r="V2695" t="str">
            <v>Available</v>
          </cell>
        </row>
        <row r="2696">
          <cell r="E2696">
            <v>10110158</v>
          </cell>
          <cell r="H2696">
            <v>75</v>
          </cell>
          <cell r="I2696">
            <v>2931.1600000000008</v>
          </cell>
          <cell r="J2696">
            <v>0</v>
          </cell>
          <cell r="K2696">
            <v>0</v>
          </cell>
          <cell r="M2696">
            <v>0</v>
          </cell>
          <cell r="P2696">
            <v>2931</v>
          </cell>
          <cell r="V2696" t="str">
            <v>Available</v>
          </cell>
        </row>
        <row r="2697">
          <cell r="E2697">
            <v>10110158</v>
          </cell>
          <cell r="H2697">
            <v>41.14</v>
          </cell>
          <cell r="I2697">
            <v>1647.3200000000002</v>
          </cell>
          <cell r="J2697">
            <v>0</v>
          </cell>
          <cell r="K2697">
            <v>0</v>
          </cell>
          <cell r="M2697">
            <v>0</v>
          </cell>
          <cell r="P2697">
            <v>1647</v>
          </cell>
          <cell r="V2697" t="str">
            <v>Available</v>
          </cell>
        </row>
        <row r="2698">
          <cell r="E2698">
            <v>10110158</v>
          </cell>
          <cell r="H2698">
            <v>2.34</v>
          </cell>
          <cell r="I2698">
            <v>114.17</v>
          </cell>
          <cell r="J2698">
            <v>0</v>
          </cell>
          <cell r="K2698">
            <v>0</v>
          </cell>
          <cell r="M2698">
            <v>0</v>
          </cell>
          <cell r="P2698">
            <v>114</v>
          </cell>
          <cell r="V2698" t="str">
            <v>Available</v>
          </cell>
        </row>
        <row r="2699">
          <cell r="E2699">
            <v>10110158</v>
          </cell>
          <cell r="H2699">
            <v>2.9</v>
          </cell>
          <cell r="I2699">
            <v>114.09</v>
          </cell>
          <cell r="J2699">
            <v>0</v>
          </cell>
          <cell r="K2699">
            <v>0</v>
          </cell>
          <cell r="M2699">
            <v>0</v>
          </cell>
          <cell r="P2699">
            <v>114</v>
          </cell>
          <cell r="V2699" t="str">
            <v>Available</v>
          </cell>
        </row>
        <row r="2700">
          <cell r="E2700">
            <v>10110159</v>
          </cell>
          <cell r="H2700">
            <v>3.899999999999999</v>
          </cell>
          <cell r="I2700">
            <v>152.53000000000003</v>
          </cell>
          <cell r="J2700">
            <v>0</v>
          </cell>
          <cell r="K2700">
            <v>152.53000000000003</v>
          </cell>
          <cell r="M2700">
            <v>0</v>
          </cell>
          <cell r="P2700">
            <v>0</v>
          </cell>
          <cell r="V2700" t="str">
            <v>Not Available</v>
          </cell>
        </row>
        <row r="2701">
          <cell r="E2701">
            <v>10110159</v>
          </cell>
          <cell r="H2701">
            <v>113.4</v>
          </cell>
          <cell r="I2701">
            <v>4444.3500000000004</v>
          </cell>
          <cell r="J2701">
            <v>0</v>
          </cell>
          <cell r="K2701">
            <v>0</v>
          </cell>
          <cell r="M2701">
            <v>0</v>
          </cell>
          <cell r="P2701">
            <v>4444</v>
          </cell>
          <cell r="V2701" t="str">
            <v>Available</v>
          </cell>
        </row>
        <row r="2702">
          <cell r="E2702">
            <v>10110159</v>
          </cell>
          <cell r="H2702">
            <v>240.1</v>
          </cell>
          <cell r="I2702">
            <v>9407.4900000000016</v>
          </cell>
          <cell r="J2702">
            <v>0</v>
          </cell>
          <cell r="K2702">
            <v>0</v>
          </cell>
          <cell r="M2702">
            <v>0</v>
          </cell>
          <cell r="P2702">
            <v>9407</v>
          </cell>
          <cell r="V2702" t="str">
            <v>Available</v>
          </cell>
        </row>
        <row r="2703">
          <cell r="E2703">
            <v>10110159</v>
          </cell>
          <cell r="H2703">
            <v>240</v>
          </cell>
          <cell r="I2703">
            <v>9411.9000000000015</v>
          </cell>
          <cell r="J2703">
            <v>0</v>
          </cell>
          <cell r="K2703">
            <v>0</v>
          </cell>
          <cell r="M2703">
            <v>0</v>
          </cell>
          <cell r="P2703">
            <v>9412</v>
          </cell>
          <cell r="V2703" t="str">
            <v>Available</v>
          </cell>
        </row>
        <row r="2704">
          <cell r="E2704">
            <v>10110159</v>
          </cell>
          <cell r="H2704">
            <v>245</v>
          </cell>
          <cell r="I2704">
            <v>9571.0500000000011</v>
          </cell>
          <cell r="J2704">
            <v>0</v>
          </cell>
          <cell r="K2704">
            <v>0</v>
          </cell>
          <cell r="M2704">
            <v>0</v>
          </cell>
          <cell r="P2704">
            <v>9571</v>
          </cell>
          <cell r="V2704" t="str">
            <v>Not Available</v>
          </cell>
        </row>
        <row r="2705">
          <cell r="E2705">
            <v>10110159</v>
          </cell>
          <cell r="H2705">
            <v>245</v>
          </cell>
          <cell r="I2705">
            <v>9583.5500000000011</v>
          </cell>
          <cell r="J2705">
            <v>0</v>
          </cell>
          <cell r="K2705">
            <v>0</v>
          </cell>
          <cell r="M2705">
            <v>0</v>
          </cell>
          <cell r="P2705">
            <v>9584</v>
          </cell>
          <cell r="V2705" t="str">
            <v>Not Available</v>
          </cell>
        </row>
        <row r="2706">
          <cell r="E2706">
            <v>10110159</v>
          </cell>
          <cell r="H2706">
            <v>228.9</v>
          </cell>
          <cell r="I2706">
            <v>8954.68</v>
          </cell>
          <cell r="J2706">
            <v>0</v>
          </cell>
          <cell r="K2706">
            <v>0</v>
          </cell>
          <cell r="M2706">
            <v>0</v>
          </cell>
          <cell r="P2706">
            <v>8955</v>
          </cell>
          <cell r="V2706" t="str">
            <v>Not Available</v>
          </cell>
        </row>
        <row r="2707">
          <cell r="E2707">
            <v>10110159</v>
          </cell>
          <cell r="H2707">
            <v>245</v>
          </cell>
          <cell r="I2707">
            <v>9583.5500000000011</v>
          </cell>
          <cell r="J2707">
            <v>0</v>
          </cell>
          <cell r="K2707">
            <v>0</v>
          </cell>
          <cell r="M2707">
            <v>0</v>
          </cell>
          <cell r="P2707">
            <v>9584</v>
          </cell>
          <cell r="V2707" t="str">
            <v>Not Available</v>
          </cell>
        </row>
        <row r="2708">
          <cell r="E2708">
            <v>10110159</v>
          </cell>
          <cell r="H2708">
            <v>8.1</v>
          </cell>
          <cell r="I2708">
            <v>316.39</v>
          </cell>
          <cell r="J2708">
            <v>0</v>
          </cell>
          <cell r="K2708">
            <v>0</v>
          </cell>
          <cell r="M2708">
            <v>0</v>
          </cell>
          <cell r="P2708">
            <v>316</v>
          </cell>
          <cell r="V2708" t="str">
            <v>Not Available</v>
          </cell>
        </row>
        <row r="2709">
          <cell r="E2709">
            <v>10110159</v>
          </cell>
          <cell r="H2709">
            <v>8</v>
          </cell>
          <cell r="I2709">
            <v>312.48</v>
          </cell>
          <cell r="J2709">
            <v>0</v>
          </cell>
          <cell r="K2709">
            <v>0</v>
          </cell>
          <cell r="M2709">
            <v>0</v>
          </cell>
          <cell r="P2709">
            <v>312</v>
          </cell>
          <cell r="V2709" t="str">
            <v>Not Available</v>
          </cell>
        </row>
        <row r="2710">
          <cell r="E2710">
            <v>10110164</v>
          </cell>
          <cell r="H2710">
            <v>20</v>
          </cell>
          <cell r="I2710">
            <v>825.6</v>
          </cell>
          <cell r="J2710">
            <v>0</v>
          </cell>
          <cell r="K2710">
            <v>0</v>
          </cell>
          <cell r="M2710">
            <v>0</v>
          </cell>
          <cell r="P2710">
            <v>195</v>
          </cell>
          <cell r="V2710" t="str">
            <v>Available</v>
          </cell>
        </row>
        <row r="2711">
          <cell r="E2711">
            <v>10110164</v>
          </cell>
          <cell r="H2711">
            <v>103</v>
          </cell>
          <cell r="I2711">
            <v>4753.45</v>
          </cell>
          <cell r="J2711">
            <v>0</v>
          </cell>
          <cell r="K2711">
            <v>0</v>
          </cell>
          <cell r="M2711">
            <v>0</v>
          </cell>
          <cell r="P2711">
            <v>4753</v>
          </cell>
          <cell r="V2711" t="str">
            <v>Available</v>
          </cell>
        </row>
        <row r="2712">
          <cell r="E2712">
            <v>10110164</v>
          </cell>
          <cell r="H2712">
            <v>20</v>
          </cell>
          <cell r="I2712">
            <v>806.2</v>
          </cell>
          <cell r="J2712">
            <v>0</v>
          </cell>
          <cell r="K2712">
            <v>0</v>
          </cell>
          <cell r="M2712">
            <v>0</v>
          </cell>
          <cell r="P2712">
            <v>806</v>
          </cell>
          <cell r="V2712" t="str">
            <v>Available</v>
          </cell>
        </row>
        <row r="2713">
          <cell r="E2713">
            <v>10110164</v>
          </cell>
          <cell r="H2713">
            <v>30</v>
          </cell>
          <cell r="I2713">
            <v>1209.3</v>
          </cell>
          <cell r="J2713">
            <v>0</v>
          </cell>
          <cell r="K2713">
            <v>0</v>
          </cell>
          <cell r="M2713">
            <v>0</v>
          </cell>
          <cell r="P2713">
            <v>1209</v>
          </cell>
          <cell r="V2713" t="str">
            <v>Available</v>
          </cell>
        </row>
        <row r="2714">
          <cell r="E2714">
            <v>10110164</v>
          </cell>
          <cell r="H2714">
            <v>54</v>
          </cell>
          <cell r="I2714">
            <v>2649.78</v>
          </cell>
          <cell r="J2714">
            <v>0</v>
          </cell>
          <cell r="K2714">
            <v>0</v>
          </cell>
          <cell r="M2714">
            <v>0</v>
          </cell>
          <cell r="P2714">
            <v>2650</v>
          </cell>
          <cell r="V2714" t="str">
            <v>Available</v>
          </cell>
        </row>
        <row r="2715">
          <cell r="E2715">
            <v>10110168</v>
          </cell>
          <cell r="H2715">
            <v>4.4000000000000004</v>
          </cell>
          <cell r="I2715">
            <v>166.48</v>
          </cell>
          <cell r="J2715">
            <v>0</v>
          </cell>
          <cell r="K2715">
            <v>166.48</v>
          </cell>
          <cell r="M2715">
            <v>0</v>
          </cell>
          <cell r="P2715">
            <v>0</v>
          </cell>
          <cell r="V2715" t="str">
            <v>Not Available</v>
          </cell>
        </row>
        <row r="2716">
          <cell r="E2716">
            <v>10110168</v>
          </cell>
          <cell r="H2716">
            <v>973.9</v>
          </cell>
          <cell r="I2716">
            <v>36203.820000000007</v>
          </cell>
          <cell r="J2716">
            <v>0</v>
          </cell>
          <cell r="K2716">
            <v>0</v>
          </cell>
          <cell r="M2716">
            <v>10800</v>
          </cell>
          <cell r="P2716">
            <v>25089</v>
          </cell>
          <cell r="V2716" t="str">
            <v>Available</v>
          </cell>
        </row>
        <row r="2717">
          <cell r="E2717">
            <v>10110168</v>
          </cell>
          <cell r="H2717">
            <v>447.59999999999997</v>
          </cell>
          <cell r="I2717">
            <v>17118.740000000002</v>
          </cell>
          <cell r="J2717">
            <v>0</v>
          </cell>
          <cell r="K2717">
            <v>0</v>
          </cell>
          <cell r="M2717">
            <v>0</v>
          </cell>
          <cell r="P2717">
            <v>17119</v>
          </cell>
          <cell r="V2717" t="str">
            <v>Available</v>
          </cell>
        </row>
        <row r="2718">
          <cell r="E2718">
            <v>10110172</v>
          </cell>
          <cell r="H2718">
            <v>100</v>
          </cell>
          <cell r="I2718">
            <v>3920</v>
          </cell>
          <cell r="J2718">
            <v>0</v>
          </cell>
          <cell r="K2718">
            <v>0</v>
          </cell>
          <cell r="M2718">
            <v>0</v>
          </cell>
          <cell r="P2718">
            <v>3910</v>
          </cell>
          <cell r="V2718" t="str">
            <v>Available</v>
          </cell>
        </row>
        <row r="2719">
          <cell r="E2719">
            <v>10110172</v>
          </cell>
          <cell r="H2719">
            <v>210</v>
          </cell>
          <cell r="I2719">
            <v>8290.7999999999993</v>
          </cell>
          <cell r="J2719">
            <v>0</v>
          </cell>
          <cell r="K2719">
            <v>0</v>
          </cell>
          <cell r="M2719">
            <v>0</v>
          </cell>
          <cell r="P2719">
            <v>8291</v>
          </cell>
          <cell r="V2719" t="str">
            <v>Available</v>
          </cell>
        </row>
        <row r="2720">
          <cell r="E2720">
            <v>10110177</v>
          </cell>
          <cell r="H2720">
            <v>3.1</v>
          </cell>
          <cell r="I2720">
            <v>149.11000000000001</v>
          </cell>
          <cell r="J2720">
            <v>0</v>
          </cell>
          <cell r="K2720">
            <v>149.11000000000001</v>
          </cell>
          <cell r="M2720">
            <v>0</v>
          </cell>
          <cell r="P2720">
            <v>0</v>
          </cell>
          <cell r="V2720" t="str">
            <v>Not Available</v>
          </cell>
        </row>
        <row r="2721">
          <cell r="E2721">
            <v>10110177</v>
          </cell>
          <cell r="H2721">
            <v>597.80000000000007</v>
          </cell>
          <cell r="I2721">
            <v>26683.820000000003</v>
          </cell>
          <cell r="J2721">
            <v>0</v>
          </cell>
          <cell r="K2721">
            <v>0</v>
          </cell>
          <cell r="M2721">
            <v>0</v>
          </cell>
          <cell r="P2721">
            <v>26411</v>
          </cell>
          <cell r="V2721" t="str">
            <v>Available</v>
          </cell>
        </row>
        <row r="2722">
          <cell r="E2722">
            <v>10110177</v>
          </cell>
          <cell r="H2722">
            <v>257</v>
          </cell>
          <cell r="I2722">
            <v>10541.86</v>
          </cell>
          <cell r="J2722">
            <v>0</v>
          </cell>
          <cell r="K2722">
            <v>0</v>
          </cell>
          <cell r="M2722">
            <v>0</v>
          </cell>
          <cell r="P2722">
            <v>10542</v>
          </cell>
          <cell r="V2722" t="str">
            <v>Available</v>
          </cell>
        </row>
        <row r="2723">
          <cell r="E2723">
            <v>10110189</v>
          </cell>
          <cell r="H2723">
            <v>100</v>
          </cell>
          <cell r="I2723">
            <v>3798.5</v>
          </cell>
          <cell r="J2723">
            <v>0</v>
          </cell>
          <cell r="K2723">
            <v>0</v>
          </cell>
          <cell r="M2723">
            <v>0</v>
          </cell>
          <cell r="P2723">
            <v>3261</v>
          </cell>
          <cell r="V2723" t="str">
            <v>Available</v>
          </cell>
        </row>
        <row r="2724">
          <cell r="E2724">
            <v>10120005</v>
          </cell>
          <cell r="H2724">
            <v>2.4299999999999997</v>
          </cell>
          <cell r="I2724">
            <v>92.68</v>
          </cell>
          <cell r="J2724">
            <v>0</v>
          </cell>
          <cell r="K2724">
            <v>0</v>
          </cell>
          <cell r="M2724">
            <v>0</v>
          </cell>
          <cell r="P2724">
            <v>93</v>
          </cell>
          <cell r="V2724" t="str">
            <v>Available</v>
          </cell>
        </row>
        <row r="2725">
          <cell r="E2725">
            <v>10120005</v>
          </cell>
          <cell r="H2725">
            <v>216.87</v>
          </cell>
          <cell r="I2725">
            <v>8293.58</v>
          </cell>
          <cell r="J2725">
            <v>0</v>
          </cell>
          <cell r="K2725">
            <v>0</v>
          </cell>
          <cell r="M2725">
            <v>0</v>
          </cell>
          <cell r="P2725">
            <v>8294</v>
          </cell>
          <cell r="V2725" t="str">
            <v>Available</v>
          </cell>
        </row>
        <row r="2726">
          <cell r="E2726">
            <v>10120005</v>
          </cell>
          <cell r="H2726">
            <v>7.01</v>
          </cell>
          <cell r="I2726">
            <v>267.05</v>
          </cell>
          <cell r="J2726">
            <v>0</v>
          </cell>
          <cell r="K2726">
            <v>0</v>
          </cell>
          <cell r="M2726">
            <v>0</v>
          </cell>
          <cell r="P2726">
            <v>267</v>
          </cell>
          <cell r="V2726" t="str">
            <v>Available</v>
          </cell>
        </row>
        <row r="2727">
          <cell r="E2727">
            <v>10120005</v>
          </cell>
          <cell r="H2727">
            <v>122.37000000000002</v>
          </cell>
          <cell r="I2727">
            <v>4712.18</v>
          </cell>
          <cell r="J2727">
            <v>0</v>
          </cell>
          <cell r="K2727">
            <v>0</v>
          </cell>
          <cell r="M2727">
            <v>0</v>
          </cell>
          <cell r="P2727">
            <v>4712</v>
          </cell>
          <cell r="V2727" t="str">
            <v>Available</v>
          </cell>
        </row>
        <row r="2728">
          <cell r="E2728">
            <v>10120005</v>
          </cell>
          <cell r="H2728">
            <v>0.2</v>
          </cell>
          <cell r="I2728">
            <v>6.95</v>
          </cell>
          <cell r="J2728">
            <v>0</v>
          </cell>
          <cell r="K2728">
            <v>0</v>
          </cell>
          <cell r="M2728">
            <v>0</v>
          </cell>
          <cell r="P2728">
            <v>7</v>
          </cell>
          <cell r="V2728" t="str">
            <v>Not Available</v>
          </cell>
        </row>
        <row r="2729">
          <cell r="E2729">
            <v>10120005</v>
          </cell>
          <cell r="H2729">
            <v>0.1</v>
          </cell>
          <cell r="I2729">
            <v>4.0999999999999996</v>
          </cell>
          <cell r="J2729">
            <v>0</v>
          </cell>
          <cell r="K2729">
            <v>0</v>
          </cell>
          <cell r="M2729">
            <v>0</v>
          </cell>
          <cell r="P2729">
            <v>4</v>
          </cell>
          <cell r="V2729" t="str">
            <v>Not Available</v>
          </cell>
        </row>
        <row r="2730">
          <cell r="E2730">
            <v>10120005</v>
          </cell>
          <cell r="H2730">
            <v>0.2</v>
          </cell>
          <cell r="I2730">
            <v>6.95</v>
          </cell>
          <cell r="J2730">
            <v>0</v>
          </cell>
          <cell r="K2730">
            <v>0</v>
          </cell>
          <cell r="M2730">
            <v>0</v>
          </cell>
          <cell r="P2730">
            <v>7</v>
          </cell>
          <cell r="V2730" t="str">
            <v>Not Available</v>
          </cell>
        </row>
        <row r="2731">
          <cell r="E2731">
            <v>10120005</v>
          </cell>
          <cell r="H2731">
            <v>0.1</v>
          </cell>
          <cell r="I2731">
            <v>2.86</v>
          </cell>
          <cell r="J2731">
            <v>0</v>
          </cell>
          <cell r="K2731">
            <v>0</v>
          </cell>
          <cell r="M2731">
            <v>0</v>
          </cell>
          <cell r="P2731">
            <v>3</v>
          </cell>
          <cell r="V2731" t="str">
            <v>Not Available</v>
          </cell>
        </row>
        <row r="2732">
          <cell r="E2732">
            <v>10120005</v>
          </cell>
          <cell r="H2732">
            <v>0.1</v>
          </cell>
          <cell r="I2732">
            <v>3.48</v>
          </cell>
          <cell r="J2732">
            <v>0</v>
          </cell>
          <cell r="K2732">
            <v>0</v>
          </cell>
          <cell r="M2732">
            <v>0</v>
          </cell>
          <cell r="P2732">
            <v>3</v>
          </cell>
          <cell r="V2732" t="str">
            <v>Not Available</v>
          </cell>
        </row>
        <row r="2733">
          <cell r="E2733">
            <v>10120005</v>
          </cell>
          <cell r="H2733">
            <v>225.21</v>
          </cell>
          <cell r="I2733">
            <v>8849.86</v>
          </cell>
          <cell r="J2733">
            <v>0</v>
          </cell>
          <cell r="K2733">
            <v>0</v>
          </cell>
          <cell r="M2733">
            <v>0</v>
          </cell>
          <cell r="P2733">
            <v>8850</v>
          </cell>
          <cell r="V2733" t="str">
            <v>Available</v>
          </cell>
        </row>
        <row r="2734">
          <cell r="E2734">
            <v>10120006</v>
          </cell>
          <cell r="H2734">
            <v>231.96999999999997</v>
          </cell>
          <cell r="I2734">
            <v>8733.01</v>
          </cell>
          <cell r="J2734">
            <v>0</v>
          </cell>
          <cell r="K2734">
            <v>0</v>
          </cell>
          <cell r="M2734">
            <v>0</v>
          </cell>
          <cell r="P2734">
            <v>8733</v>
          </cell>
          <cell r="V2734" t="str">
            <v>Available</v>
          </cell>
        </row>
        <row r="2735">
          <cell r="E2735">
            <v>10120006</v>
          </cell>
          <cell r="H2735">
            <v>1</v>
          </cell>
          <cell r="I2735">
            <v>38.090000000000003</v>
          </cell>
          <cell r="J2735">
            <v>0</v>
          </cell>
          <cell r="K2735">
            <v>0</v>
          </cell>
          <cell r="M2735">
            <v>0</v>
          </cell>
          <cell r="P2735">
            <v>38</v>
          </cell>
          <cell r="V2735" t="str">
            <v>Available</v>
          </cell>
        </row>
        <row r="2736">
          <cell r="E2736">
            <v>10120006</v>
          </cell>
          <cell r="H2736">
            <v>1.2</v>
          </cell>
          <cell r="I2736">
            <v>45.71</v>
          </cell>
          <cell r="J2736">
            <v>0</v>
          </cell>
          <cell r="K2736">
            <v>0</v>
          </cell>
          <cell r="M2736">
            <v>0</v>
          </cell>
          <cell r="P2736">
            <v>46</v>
          </cell>
          <cell r="V2736" t="str">
            <v>Not Available</v>
          </cell>
        </row>
        <row r="2737">
          <cell r="E2737">
            <v>10120006</v>
          </cell>
          <cell r="H2737">
            <v>0.9</v>
          </cell>
          <cell r="I2737">
            <v>34.65</v>
          </cell>
          <cell r="J2737">
            <v>0</v>
          </cell>
          <cell r="K2737">
            <v>0</v>
          </cell>
          <cell r="M2737">
            <v>0</v>
          </cell>
          <cell r="P2737">
            <v>35</v>
          </cell>
          <cell r="V2737" t="str">
            <v>Not Available</v>
          </cell>
        </row>
        <row r="2738">
          <cell r="E2738">
            <v>10120006</v>
          </cell>
          <cell r="H2738">
            <v>2</v>
          </cell>
          <cell r="I2738">
            <v>74.78</v>
          </cell>
          <cell r="J2738">
            <v>0</v>
          </cell>
          <cell r="K2738">
            <v>0</v>
          </cell>
          <cell r="M2738">
            <v>0</v>
          </cell>
          <cell r="P2738">
            <v>75</v>
          </cell>
          <cell r="V2738" t="str">
            <v>Not Available</v>
          </cell>
        </row>
        <row r="2739">
          <cell r="E2739">
            <v>10120006</v>
          </cell>
          <cell r="H2739">
            <v>1</v>
          </cell>
          <cell r="I2739">
            <v>26.88</v>
          </cell>
          <cell r="J2739">
            <v>0</v>
          </cell>
          <cell r="K2739">
            <v>0</v>
          </cell>
          <cell r="M2739">
            <v>0</v>
          </cell>
          <cell r="P2739">
            <v>27</v>
          </cell>
          <cell r="V2739" t="str">
            <v>Not Available</v>
          </cell>
        </row>
        <row r="2740">
          <cell r="E2740">
            <v>10120006</v>
          </cell>
          <cell r="H2740">
            <v>1.2</v>
          </cell>
          <cell r="I2740">
            <v>42.73</v>
          </cell>
          <cell r="J2740">
            <v>0</v>
          </cell>
          <cell r="K2740">
            <v>0</v>
          </cell>
          <cell r="M2740">
            <v>0</v>
          </cell>
          <cell r="P2740">
            <v>43</v>
          </cell>
          <cell r="V2740" t="str">
            <v>Not Available</v>
          </cell>
        </row>
        <row r="2741">
          <cell r="E2741">
            <v>10120006</v>
          </cell>
          <cell r="H2741">
            <v>1.3</v>
          </cell>
          <cell r="I2741">
            <v>50.05</v>
          </cell>
          <cell r="J2741">
            <v>0</v>
          </cell>
          <cell r="K2741">
            <v>0</v>
          </cell>
          <cell r="M2741">
            <v>0</v>
          </cell>
          <cell r="P2741">
            <v>50</v>
          </cell>
          <cell r="V2741" t="str">
            <v>Not Available</v>
          </cell>
        </row>
        <row r="2742">
          <cell r="E2742">
            <v>10120006</v>
          </cell>
          <cell r="H2742">
            <v>1.4</v>
          </cell>
          <cell r="I2742">
            <v>53.9</v>
          </cell>
          <cell r="J2742">
            <v>0</v>
          </cell>
          <cell r="K2742">
            <v>0</v>
          </cell>
          <cell r="M2742">
            <v>0</v>
          </cell>
          <cell r="P2742">
            <v>54</v>
          </cell>
          <cell r="V2742" t="str">
            <v>Not Available</v>
          </cell>
        </row>
        <row r="2743">
          <cell r="E2743">
            <v>10120007</v>
          </cell>
          <cell r="H2743">
            <v>13.700000000000001</v>
          </cell>
          <cell r="I2743">
            <v>563.76</v>
          </cell>
          <cell r="J2743">
            <v>0</v>
          </cell>
          <cell r="K2743">
            <v>563.76</v>
          </cell>
          <cell r="M2743">
            <v>0</v>
          </cell>
          <cell r="P2743">
            <v>0</v>
          </cell>
          <cell r="V2743" t="str">
            <v>Not Available</v>
          </cell>
        </row>
        <row r="2744">
          <cell r="E2744">
            <v>10120007</v>
          </cell>
          <cell r="H2744">
            <v>22.45</v>
          </cell>
          <cell r="I2744">
            <v>1017.9300000000001</v>
          </cell>
          <cell r="J2744">
            <v>0</v>
          </cell>
          <cell r="K2744">
            <v>0</v>
          </cell>
          <cell r="M2744">
            <v>0</v>
          </cell>
          <cell r="P2744">
            <v>1016</v>
          </cell>
          <cell r="V2744" t="str">
            <v>Available</v>
          </cell>
        </row>
        <row r="2745">
          <cell r="E2745">
            <v>10120007</v>
          </cell>
          <cell r="H2745">
            <v>25.620000000000005</v>
          </cell>
          <cell r="I2745">
            <v>1044.21</v>
          </cell>
          <cell r="J2745">
            <v>0</v>
          </cell>
          <cell r="K2745">
            <v>0</v>
          </cell>
          <cell r="M2745">
            <v>0</v>
          </cell>
          <cell r="P2745">
            <v>1044</v>
          </cell>
          <cell r="V2745" t="str">
            <v>Available</v>
          </cell>
        </row>
        <row r="2746">
          <cell r="E2746">
            <v>10120007</v>
          </cell>
          <cell r="H2746">
            <v>51.72</v>
          </cell>
          <cell r="I2746">
            <v>2028.98</v>
          </cell>
          <cell r="J2746">
            <v>0</v>
          </cell>
          <cell r="K2746">
            <v>0</v>
          </cell>
          <cell r="M2746">
            <v>0</v>
          </cell>
          <cell r="P2746">
            <v>2029</v>
          </cell>
          <cell r="V2746" t="str">
            <v>Available</v>
          </cell>
        </row>
        <row r="2747">
          <cell r="E2747">
            <v>10120007</v>
          </cell>
          <cell r="H2747">
            <v>44.820000000000007</v>
          </cell>
          <cell r="I2747">
            <v>1813.1299999999999</v>
          </cell>
          <cell r="J2747">
            <v>0</v>
          </cell>
          <cell r="K2747">
            <v>0</v>
          </cell>
          <cell r="M2747">
            <v>0</v>
          </cell>
          <cell r="P2747">
            <v>1813</v>
          </cell>
          <cell r="V2747" t="str">
            <v>Available</v>
          </cell>
        </row>
        <row r="2748">
          <cell r="E2748">
            <v>10120007</v>
          </cell>
          <cell r="H2748">
            <v>89.77</v>
          </cell>
          <cell r="I2748">
            <v>3335.0899999999997</v>
          </cell>
          <cell r="J2748">
            <v>0</v>
          </cell>
          <cell r="K2748">
            <v>0</v>
          </cell>
          <cell r="M2748">
            <v>0</v>
          </cell>
          <cell r="P2748">
            <v>3335</v>
          </cell>
          <cell r="V2748" t="str">
            <v>Available</v>
          </cell>
        </row>
        <row r="2749">
          <cell r="E2749">
            <v>10120007</v>
          </cell>
          <cell r="H2749">
            <v>25.59</v>
          </cell>
          <cell r="I2749">
            <v>1115.56</v>
          </cell>
          <cell r="J2749">
            <v>1043</v>
          </cell>
          <cell r="K2749">
            <v>0</v>
          </cell>
          <cell r="M2749">
            <v>0</v>
          </cell>
          <cell r="P2749">
            <v>73</v>
          </cell>
          <cell r="V2749" t="str">
            <v>Available</v>
          </cell>
        </row>
        <row r="2750">
          <cell r="E2750">
            <v>10120007</v>
          </cell>
          <cell r="H2750">
            <v>13.83</v>
          </cell>
          <cell r="I2750">
            <v>667.23</v>
          </cell>
          <cell r="J2750">
            <v>0</v>
          </cell>
          <cell r="K2750">
            <v>0</v>
          </cell>
          <cell r="M2750">
            <v>588</v>
          </cell>
          <cell r="P2750">
            <v>79</v>
          </cell>
          <cell r="V2750" t="str">
            <v>Available</v>
          </cell>
        </row>
        <row r="2751">
          <cell r="E2751">
            <v>10120007</v>
          </cell>
          <cell r="H2751">
            <v>62.63</v>
          </cell>
          <cell r="I2751">
            <v>3387.92</v>
          </cell>
          <cell r="J2751">
            <v>0</v>
          </cell>
          <cell r="K2751">
            <v>0</v>
          </cell>
          <cell r="M2751">
            <v>0</v>
          </cell>
          <cell r="P2751">
            <v>3388</v>
          </cell>
          <cell r="V2751" t="str">
            <v>Available</v>
          </cell>
        </row>
        <row r="2752">
          <cell r="E2752">
            <v>10120007</v>
          </cell>
          <cell r="H2752">
            <v>33.06</v>
          </cell>
          <cell r="I2752">
            <v>1369.7599999999998</v>
          </cell>
          <cell r="J2752">
            <v>0</v>
          </cell>
          <cell r="K2752">
            <v>0</v>
          </cell>
          <cell r="M2752">
            <v>0</v>
          </cell>
          <cell r="P2752">
            <v>1370</v>
          </cell>
          <cell r="V2752" t="str">
            <v>Available</v>
          </cell>
        </row>
        <row r="2753">
          <cell r="E2753">
            <v>10120007</v>
          </cell>
          <cell r="H2753">
            <v>35.430000000000007</v>
          </cell>
          <cell r="I2753">
            <v>1625.4899999999998</v>
          </cell>
          <cell r="J2753">
            <v>0</v>
          </cell>
          <cell r="K2753">
            <v>0</v>
          </cell>
          <cell r="M2753">
            <v>1400</v>
          </cell>
          <cell r="P2753">
            <v>225</v>
          </cell>
          <cell r="V2753" t="str">
            <v>Available</v>
          </cell>
        </row>
        <row r="2754">
          <cell r="E2754">
            <v>10120007</v>
          </cell>
          <cell r="H2754">
            <v>1.06</v>
          </cell>
          <cell r="I2754">
            <v>47.59</v>
          </cell>
          <cell r="J2754">
            <v>0</v>
          </cell>
          <cell r="K2754">
            <v>0</v>
          </cell>
          <cell r="M2754">
            <v>0</v>
          </cell>
          <cell r="P2754">
            <v>48</v>
          </cell>
          <cell r="V2754" t="str">
            <v>Available</v>
          </cell>
        </row>
        <row r="2755">
          <cell r="E2755">
            <v>10120007</v>
          </cell>
          <cell r="H2755">
            <v>33.96</v>
          </cell>
          <cell r="I2755">
            <v>1218.71</v>
          </cell>
          <cell r="J2755">
            <v>0</v>
          </cell>
          <cell r="K2755">
            <v>0</v>
          </cell>
          <cell r="M2755">
            <v>0</v>
          </cell>
          <cell r="P2755">
            <v>1219</v>
          </cell>
          <cell r="V2755" t="str">
            <v>Available</v>
          </cell>
        </row>
        <row r="2756">
          <cell r="E2756">
            <v>10120007</v>
          </cell>
          <cell r="H2756">
            <v>35.86</v>
          </cell>
          <cell r="I2756">
            <v>1636.9</v>
          </cell>
          <cell r="J2756">
            <v>0</v>
          </cell>
          <cell r="K2756">
            <v>0</v>
          </cell>
          <cell r="M2756">
            <v>0</v>
          </cell>
          <cell r="P2756">
            <v>1637</v>
          </cell>
          <cell r="V2756" t="str">
            <v>Available</v>
          </cell>
        </row>
        <row r="2757">
          <cell r="E2757">
            <v>10120007</v>
          </cell>
          <cell r="H2757">
            <v>7.77</v>
          </cell>
          <cell r="I2757">
            <v>294.14999999999998</v>
          </cell>
          <cell r="J2757">
            <v>0</v>
          </cell>
          <cell r="K2757">
            <v>0</v>
          </cell>
          <cell r="M2757">
            <v>0</v>
          </cell>
          <cell r="P2757">
            <v>294</v>
          </cell>
          <cell r="V2757" t="str">
            <v>Available</v>
          </cell>
        </row>
        <row r="2758">
          <cell r="E2758">
            <v>10120007</v>
          </cell>
          <cell r="H2758">
            <v>23.73</v>
          </cell>
          <cell r="I2758">
            <v>804.33</v>
          </cell>
          <cell r="J2758">
            <v>0</v>
          </cell>
          <cell r="K2758">
            <v>0</v>
          </cell>
          <cell r="M2758">
            <v>0</v>
          </cell>
          <cell r="P2758">
            <v>804</v>
          </cell>
          <cell r="V2758" t="str">
            <v>Available</v>
          </cell>
        </row>
        <row r="2759">
          <cell r="E2759">
            <v>10120007</v>
          </cell>
          <cell r="H2759">
            <v>10.43</v>
          </cell>
          <cell r="I2759">
            <v>413.12</v>
          </cell>
          <cell r="J2759">
            <v>0</v>
          </cell>
          <cell r="K2759">
            <v>0</v>
          </cell>
          <cell r="M2759">
            <v>347</v>
          </cell>
          <cell r="P2759">
            <v>66</v>
          </cell>
          <cell r="V2759" t="str">
            <v>Available</v>
          </cell>
        </row>
        <row r="2760">
          <cell r="E2760">
            <v>10120007</v>
          </cell>
          <cell r="H2760">
            <v>16.21</v>
          </cell>
          <cell r="I2760">
            <v>618.77</v>
          </cell>
          <cell r="J2760">
            <v>0</v>
          </cell>
          <cell r="K2760">
            <v>0</v>
          </cell>
          <cell r="M2760">
            <v>0</v>
          </cell>
          <cell r="P2760">
            <v>619</v>
          </cell>
          <cell r="V2760" t="str">
            <v>Available</v>
          </cell>
        </row>
        <row r="2761">
          <cell r="E2761">
            <v>10120007</v>
          </cell>
          <cell r="H2761">
            <v>33.19</v>
          </cell>
          <cell r="I2761">
            <v>1514.6599999999999</v>
          </cell>
          <cell r="J2761">
            <v>0</v>
          </cell>
          <cell r="K2761">
            <v>0</v>
          </cell>
          <cell r="M2761">
            <v>0</v>
          </cell>
          <cell r="P2761">
            <v>1515</v>
          </cell>
          <cell r="V2761" t="str">
            <v>Available</v>
          </cell>
        </row>
        <row r="2762">
          <cell r="E2762">
            <v>10120007</v>
          </cell>
          <cell r="H2762">
            <v>45.429999999999993</v>
          </cell>
          <cell r="I2762">
            <v>1987.9499999999996</v>
          </cell>
          <cell r="J2762">
            <v>0</v>
          </cell>
          <cell r="K2762">
            <v>0</v>
          </cell>
          <cell r="M2762">
            <v>1400</v>
          </cell>
          <cell r="P2762">
            <v>588</v>
          </cell>
          <cell r="V2762" t="str">
            <v>Available</v>
          </cell>
        </row>
        <row r="2763">
          <cell r="E2763">
            <v>10120007</v>
          </cell>
          <cell r="H2763">
            <v>39.979999999999997</v>
          </cell>
          <cell r="I2763">
            <v>1573.63</v>
          </cell>
          <cell r="J2763">
            <v>0</v>
          </cell>
          <cell r="K2763">
            <v>0</v>
          </cell>
          <cell r="M2763">
            <v>1400</v>
          </cell>
          <cell r="P2763">
            <v>174</v>
          </cell>
          <cell r="V2763" t="str">
            <v>Available</v>
          </cell>
        </row>
        <row r="2764">
          <cell r="E2764">
            <v>10120007</v>
          </cell>
          <cell r="H2764">
            <v>36.61</v>
          </cell>
          <cell r="I2764">
            <v>1435.88</v>
          </cell>
          <cell r="J2764">
            <v>0</v>
          </cell>
          <cell r="K2764">
            <v>0</v>
          </cell>
          <cell r="M2764">
            <v>0</v>
          </cell>
          <cell r="P2764">
            <v>1436</v>
          </cell>
          <cell r="V2764" t="str">
            <v>Available</v>
          </cell>
        </row>
        <row r="2765">
          <cell r="E2765">
            <v>10120007</v>
          </cell>
          <cell r="H2765">
            <v>44.79</v>
          </cell>
          <cell r="I2765">
            <v>1694.5800000000004</v>
          </cell>
          <cell r="J2765">
            <v>0</v>
          </cell>
          <cell r="K2765">
            <v>0</v>
          </cell>
          <cell r="M2765">
            <v>0</v>
          </cell>
          <cell r="P2765">
            <v>1695</v>
          </cell>
          <cell r="V2765" t="str">
            <v>Available</v>
          </cell>
        </row>
        <row r="2766">
          <cell r="E2766">
            <v>10120007</v>
          </cell>
          <cell r="H2766">
            <v>25.08</v>
          </cell>
          <cell r="I2766">
            <v>1338.74</v>
          </cell>
          <cell r="J2766">
            <v>0</v>
          </cell>
          <cell r="K2766">
            <v>0</v>
          </cell>
          <cell r="M2766">
            <v>0</v>
          </cell>
          <cell r="P2766">
            <v>1339</v>
          </cell>
          <cell r="V2766" t="str">
            <v>Available</v>
          </cell>
        </row>
        <row r="2767">
          <cell r="E2767">
            <v>10120007</v>
          </cell>
          <cell r="H2767">
            <v>33.379999999999995</v>
          </cell>
          <cell r="I2767">
            <v>1367.4699999999998</v>
          </cell>
          <cell r="J2767">
            <v>0</v>
          </cell>
          <cell r="K2767">
            <v>0</v>
          </cell>
          <cell r="M2767">
            <v>0</v>
          </cell>
          <cell r="P2767">
            <v>1367</v>
          </cell>
          <cell r="V2767" t="str">
            <v>Available</v>
          </cell>
        </row>
        <row r="2768">
          <cell r="E2768">
            <v>10120007</v>
          </cell>
          <cell r="H2768">
            <v>69.540000000000006</v>
          </cell>
          <cell r="I2768">
            <v>2891.2</v>
          </cell>
          <cell r="J2768">
            <v>0</v>
          </cell>
          <cell r="K2768">
            <v>0</v>
          </cell>
          <cell r="M2768">
            <v>0</v>
          </cell>
          <cell r="P2768">
            <v>2891</v>
          </cell>
          <cell r="V2768" t="str">
            <v>Available</v>
          </cell>
        </row>
        <row r="2769">
          <cell r="E2769">
            <v>10120007</v>
          </cell>
          <cell r="H2769">
            <v>52.99</v>
          </cell>
          <cell r="I2769">
            <v>2052.9299999999998</v>
          </cell>
          <cell r="J2769">
            <v>0</v>
          </cell>
          <cell r="K2769">
            <v>0</v>
          </cell>
          <cell r="M2769">
            <v>0</v>
          </cell>
          <cell r="P2769">
            <v>2053</v>
          </cell>
          <cell r="V2769" t="str">
            <v>Available</v>
          </cell>
        </row>
        <row r="2770">
          <cell r="E2770">
            <v>10120007</v>
          </cell>
          <cell r="H2770">
            <v>28</v>
          </cell>
          <cell r="I2770">
            <v>1165.58</v>
          </cell>
          <cell r="J2770">
            <v>0</v>
          </cell>
          <cell r="K2770">
            <v>0</v>
          </cell>
          <cell r="M2770">
            <v>1166</v>
          </cell>
          <cell r="P2770">
            <v>0</v>
          </cell>
          <cell r="V2770" t="str">
            <v>Available</v>
          </cell>
        </row>
        <row r="2771">
          <cell r="E2771">
            <v>10120007</v>
          </cell>
          <cell r="H2771">
            <v>30.3</v>
          </cell>
          <cell r="I2771">
            <v>1134.5900000000001</v>
          </cell>
          <cell r="J2771">
            <v>0</v>
          </cell>
          <cell r="K2771">
            <v>0</v>
          </cell>
          <cell r="M2771">
            <v>0</v>
          </cell>
          <cell r="P2771">
            <v>1135</v>
          </cell>
          <cell r="V2771" t="str">
            <v>Available</v>
          </cell>
        </row>
        <row r="2772">
          <cell r="E2772">
            <v>10120007</v>
          </cell>
          <cell r="H2772">
            <v>32.46</v>
          </cell>
          <cell r="I2772">
            <v>1305.28</v>
          </cell>
          <cell r="J2772">
            <v>0</v>
          </cell>
          <cell r="K2772">
            <v>0</v>
          </cell>
          <cell r="M2772">
            <v>1305</v>
          </cell>
          <cell r="P2772">
            <v>0</v>
          </cell>
          <cell r="V2772" t="str">
            <v>Available</v>
          </cell>
        </row>
        <row r="2773">
          <cell r="E2773">
            <v>10120012</v>
          </cell>
          <cell r="H2773">
            <v>10.700000000000001</v>
          </cell>
          <cell r="I2773">
            <v>496.28000000000003</v>
          </cell>
          <cell r="J2773">
            <v>0</v>
          </cell>
          <cell r="K2773">
            <v>496.28000000000003</v>
          </cell>
          <cell r="M2773">
            <v>0</v>
          </cell>
          <cell r="P2773">
            <v>0</v>
          </cell>
          <cell r="V2773" t="str">
            <v>Not Available</v>
          </cell>
        </row>
        <row r="2774">
          <cell r="E2774">
            <v>10120012</v>
          </cell>
          <cell r="H2774">
            <v>82.38</v>
          </cell>
          <cell r="I2774">
            <v>4710.3700000000008</v>
          </cell>
          <cell r="J2774">
            <v>0</v>
          </cell>
          <cell r="K2774">
            <v>0</v>
          </cell>
          <cell r="M2774">
            <v>0</v>
          </cell>
          <cell r="P2774">
            <v>4710</v>
          </cell>
          <cell r="V2774" t="str">
            <v>Available</v>
          </cell>
        </row>
        <row r="2775">
          <cell r="E2775">
            <v>10120012</v>
          </cell>
          <cell r="H2775">
            <v>29.8</v>
          </cell>
          <cell r="I2775">
            <v>1169.6099999999999</v>
          </cell>
          <cell r="J2775">
            <v>0</v>
          </cell>
          <cell r="K2775">
            <v>0</v>
          </cell>
          <cell r="M2775">
            <v>0</v>
          </cell>
          <cell r="P2775">
            <v>1170</v>
          </cell>
          <cell r="V2775" t="str">
            <v>Available</v>
          </cell>
        </row>
        <row r="2776">
          <cell r="E2776">
            <v>10120012</v>
          </cell>
          <cell r="H2776">
            <v>35.4</v>
          </cell>
          <cell r="I2776">
            <v>1743.4</v>
          </cell>
          <cell r="J2776">
            <v>1743</v>
          </cell>
          <cell r="K2776">
            <v>0</v>
          </cell>
          <cell r="M2776">
            <v>0</v>
          </cell>
          <cell r="P2776">
            <v>0</v>
          </cell>
          <cell r="V2776" t="str">
            <v>Available</v>
          </cell>
        </row>
        <row r="2777">
          <cell r="E2777">
            <v>10120012</v>
          </cell>
          <cell r="H2777">
            <v>72.900000000000006</v>
          </cell>
          <cell r="I2777">
            <v>2799.8300000000004</v>
          </cell>
          <cell r="J2777">
            <v>0</v>
          </cell>
          <cell r="K2777">
            <v>0</v>
          </cell>
          <cell r="M2777">
            <v>0</v>
          </cell>
          <cell r="P2777">
            <v>2800</v>
          </cell>
          <cell r="V2777" t="str">
            <v>Available</v>
          </cell>
        </row>
        <row r="2778">
          <cell r="E2778">
            <v>10120012</v>
          </cell>
          <cell r="H2778">
            <v>26.500000000000004</v>
          </cell>
          <cell r="I2778">
            <v>1003.9699999999999</v>
          </cell>
          <cell r="J2778">
            <v>0</v>
          </cell>
          <cell r="K2778">
            <v>0</v>
          </cell>
          <cell r="M2778">
            <v>0</v>
          </cell>
          <cell r="P2778">
            <v>1004</v>
          </cell>
          <cell r="V2778" t="str">
            <v>Available</v>
          </cell>
        </row>
        <row r="2779">
          <cell r="E2779">
            <v>10120012</v>
          </cell>
          <cell r="H2779">
            <v>52.500000000000007</v>
          </cell>
          <cell r="I2779">
            <v>2689.4800000000005</v>
          </cell>
          <cell r="J2779">
            <v>0</v>
          </cell>
          <cell r="K2779">
            <v>0</v>
          </cell>
          <cell r="M2779">
            <v>0</v>
          </cell>
          <cell r="P2779">
            <v>2689</v>
          </cell>
          <cell r="V2779" t="str">
            <v>Available</v>
          </cell>
        </row>
        <row r="2780">
          <cell r="E2780">
            <v>10120012</v>
          </cell>
          <cell r="H2780">
            <v>25.099999999999998</v>
          </cell>
          <cell r="I2780">
            <v>990.7700000000001</v>
          </cell>
          <cell r="J2780">
            <v>0</v>
          </cell>
          <cell r="K2780">
            <v>0</v>
          </cell>
          <cell r="M2780">
            <v>0</v>
          </cell>
          <cell r="P2780">
            <v>991</v>
          </cell>
          <cell r="V2780" t="str">
            <v>Available</v>
          </cell>
        </row>
        <row r="2781">
          <cell r="E2781">
            <v>10120012</v>
          </cell>
          <cell r="H2781">
            <v>37</v>
          </cell>
          <cell r="I2781">
            <v>1232.1699999999998</v>
          </cell>
          <cell r="J2781">
            <v>0</v>
          </cell>
          <cell r="K2781">
            <v>0</v>
          </cell>
          <cell r="M2781">
            <v>0</v>
          </cell>
          <cell r="P2781">
            <v>1232</v>
          </cell>
          <cell r="V2781" t="str">
            <v>Available</v>
          </cell>
        </row>
        <row r="2782">
          <cell r="E2782">
            <v>10120012</v>
          </cell>
          <cell r="H2782">
            <v>19.3</v>
          </cell>
          <cell r="I2782">
            <v>1458.1200000000001</v>
          </cell>
          <cell r="J2782">
            <v>0</v>
          </cell>
          <cell r="K2782">
            <v>0</v>
          </cell>
          <cell r="M2782">
            <v>0</v>
          </cell>
          <cell r="P2782">
            <v>1458</v>
          </cell>
          <cell r="V2782" t="str">
            <v>Available</v>
          </cell>
        </row>
        <row r="2783">
          <cell r="E2783">
            <v>10120012</v>
          </cell>
          <cell r="H2783">
            <v>27</v>
          </cell>
          <cell r="I2783">
            <v>1134.08</v>
          </cell>
          <cell r="J2783">
            <v>0</v>
          </cell>
          <cell r="K2783">
            <v>0</v>
          </cell>
          <cell r="M2783">
            <v>0</v>
          </cell>
          <cell r="P2783">
            <v>1134</v>
          </cell>
          <cell r="V2783" t="str">
            <v>Available</v>
          </cell>
        </row>
        <row r="2784">
          <cell r="E2784">
            <v>10120012</v>
          </cell>
          <cell r="H2784">
            <v>17.500000000000004</v>
          </cell>
          <cell r="I2784">
            <v>1345.95</v>
          </cell>
          <cell r="J2784">
            <v>0</v>
          </cell>
          <cell r="K2784">
            <v>0</v>
          </cell>
          <cell r="M2784">
            <v>0</v>
          </cell>
          <cell r="P2784">
            <v>1346</v>
          </cell>
          <cell r="V2784" t="str">
            <v>Available</v>
          </cell>
        </row>
        <row r="2785">
          <cell r="E2785">
            <v>10120012</v>
          </cell>
          <cell r="H2785">
            <v>37.4</v>
          </cell>
          <cell r="I2785">
            <v>1987.8799999999999</v>
          </cell>
          <cell r="J2785">
            <v>0</v>
          </cell>
          <cell r="K2785">
            <v>0</v>
          </cell>
          <cell r="M2785">
            <v>0</v>
          </cell>
          <cell r="P2785">
            <v>1988</v>
          </cell>
          <cell r="V2785" t="str">
            <v>Available</v>
          </cell>
        </row>
        <row r="2786">
          <cell r="E2786">
            <v>10120012</v>
          </cell>
          <cell r="H2786">
            <v>26.9</v>
          </cell>
          <cell r="I2786">
            <v>1105.3899999999999</v>
          </cell>
          <cell r="J2786">
            <v>0</v>
          </cell>
          <cell r="K2786">
            <v>0</v>
          </cell>
          <cell r="M2786">
            <v>0</v>
          </cell>
          <cell r="P2786">
            <v>1105</v>
          </cell>
          <cell r="V2786" t="str">
            <v>Available</v>
          </cell>
        </row>
        <row r="2787">
          <cell r="E2787">
            <v>10120012</v>
          </cell>
          <cell r="H2787">
            <v>14.100000000000001</v>
          </cell>
          <cell r="I2787">
            <v>1010.4100000000002</v>
          </cell>
          <cell r="J2787">
            <v>0</v>
          </cell>
          <cell r="K2787">
            <v>0</v>
          </cell>
          <cell r="M2787">
            <v>0</v>
          </cell>
          <cell r="P2787">
            <v>1010</v>
          </cell>
          <cell r="V2787" t="str">
            <v>Available</v>
          </cell>
        </row>
        <row r="2788">
          <cell r="E2788">
            <v>10120012</v>
          </cell>
          <cell r="H2788">
            <v>2.5</v>
          </cell>
          <cell r="I2788">
            <v>167.69</v>
          </cell>
          <cell r="J2788">
            <v>0</v>
          </cell>
          <cell r="K2788">
            <v>0</v>
          </cell>
          <cell r="M2788">
            <v>0</v>
          </cell>
          <cell r="P2788">
            <v>168</v>
          </cell>
          <cell r="V2788" t="str">
            <v>Available</v>
          </cell>
        </row>
        <row r="2789">
          <cell r="E2789">
            <v>10120012</v>
          </cell>
          <cell r="H2789">
            <v>31.9</v>
          </cell>
          <cell r="I2789">
            <v>1272.3900000000001</v>
          </cell>
          <cell r="J2789">
            <v>0</v>
          </cell>
          <cell r="K2789">
            <v>0</v>
          </cell>
          <cell r="M2789">
            <v>0</v>
          </cell>
          <cell r="P2789">
            <v>1272</v>
          </cell>
          <cell r="V2789" t="str">
            <v>Available</v>
          </cell>
        </row>
        <row r="2790">
          <cell r="E2790">
            <v>10120014</v>
          </cell>
          <cell r="H2790">
            <v>299.30000000000007</v>
          </cell>
          <cell r="I2790">
            <v>12801.509999999998</v>
          </cell>
          <cell r="J2790">
            <v>0</v>
          </cell>
          <cell r="K2790">
            <v>0</v>
          </cell>
          <cell r="M2790">
            <v>0</v>
          </cell>
          <cell r="P2790">
            <v>12247</v>
          </cell>
          <cell r="V2790" t="str">
            <v>Available</v>
          </cell>
        </row>
        <row r="2791">
          <cell r="E2791">
            <v>10120014</v>
          </cell>
          <cell r="H2791">
            <v>96.100000000000009</v>
          </cell>
          <cell r="I2791">
            <v>4528.57</v>
          </cell>
          <cell r="J2791">
            <v>0</v>
          </cell>
          <cell r="K2791">
            <v>0</v>
          </cell>
          <cell r="M2791">
            <v>0</v>
          </cell>
          <cell r="P2791">
            <v>4529</v>
          </cell>
          <cell r="V2791" t="str">
            <v>Available</v>
          </cell>
        </row>
        <row r="2792">
          <cell r="E2792">
            <v>10120014</v>
          </cell>
          <cell r="H2792">
            <v>64.8</v>
          </cell>
          <cell r="I2792">
            <v>2850.03</v>
          </cell>
          <cell r="J2792">
            <v>0</v>
          </cell>
          <cell r="K2792">
            <v>0</v>
          </cell>
          <cell r="M2792">
            <v>0</v>
          </cell>
          <cell r="P2792">
            <v>2850</v>
          </cell>
          <cell r="V2792" t="str">
            <v>Not Available</v>
          </cell>
        </row>
        <row r="2793">
          <cell r="E2793">
            <v>10120014</v>
          </cell>
          <cell r="H2793">
            <v>56.3</v>
          </cell>
          <cell r="I2793">
            <v>2864.2899999999995</v>
          </cell>
          <cell r="J2793">
            <v>0</v>
          </cell>
          <cell r="K2793">
            <v>0</v>
          </cell>
          <cell r="M2793">
            <v>0</v>
          </cell>
          <cell r="P2793">
            <v>2864</v>
          </cell>
          <cell r="V2793" t="str">
            <v>Available</v>
          </cell>
        </row>
        <row r="2794">
          <cell r="E2794">
            <v>10120014</v>
          </cell>
          <cell r="H2794">
            <v>12.8</v>
          </cell>
          <cell r="I2794">
            <v>460.8</v>
          </cell>
          <cell r="J2794">
            <v>0</v>
          </cell>
          <cell r="K2794">
            <v>0</v>
          </cell>
          <cell r="M2794">
            <v>0</v>
          </cell>
          <cell r="P2794">
            <v>461</v>
          </cell>
          <cell r="V2794" t="str">
            <v>Not Available</v>
          </cell>
        </row>
        <row r="2795">
          <cell r="E2795">
            <v>10120014</v>
          </cell>
          <cell r="H2795">
            <v>41.1</v>
          </cell>
          <cell r="I2795">
            <v>1822.5</v>
          </cell>
          <cell r="J2795">
            <v>0</v>
          </cell>
          <cell r="K2795">
            <v>0</v>
          </cell>
          <cell r="M2795">
            <v>0</v>
          </cell>
          <cell r="P2795">
            <v>1823</v>
          </cell>
          <cell r="V2795" t="str">
            <v>Not Available</v>
          </cell>
        </row>
        <row r="2796">
          <cell r="E2796">
            <v>10120014</v>
          </cell>
          <cell r="H2796">
            <v>62.4</v>
          </cell>
          <cell r="I2796">
            <v>2786.5200000000004</v>
          </cell>
          <cell r="J2796">
            <v>0</v>
          </cell>
          <cell r="K2796">
            <v>0</v>
          </cell>
          <cell r="M2796">
            <v>0</v>
          </cell>
          <cell r="P2796">
            <v>2787</v>
          </cell>
          <cell r="V2796" t="str">
            <v>Not Available</v>
          </cell>
        </row>
        <row r="2797">
          <cell r="E2797">
            <v>10120014</v>
          </cell>
          <cell r="H2797">
            <v>39.4</v>
          </cell>
          <cell r="I2797">
            <v>1720.09</v>
          </cell>
          <cell r="J2797">
            <v>0</v>
          </cell>
          <cell r="K2797">
            <v>0</v>
          </cell>
          <cell r="M2797">
            <v>0</v>
          </cell>
          <cell r="P2797">
            <v>1720</v>
          </cell>
          <cell r="V2797" t="str">
            <v>Not Available</v>
          </cell>
        </row>
        <row r="2798">
          <cell r="E2798">
            <v>10120014</v>
          </cell>
          <cell r="H2798">
            <v>54.9</v>
          </cell>
          <cell r="I2798">
            <v>2404.25</v>
          </cell>
          <cell r="J2798">
            <v>0</v>
          </cell>
          <cell r="K2798">
            <v>0</v>
          </cell>
          <cell r="M2798">
            <v>0</v>
          </cell>
          <cell r="P2798">
            <v>2404</v>
          </cell>
          <cell r="V2798" t="str">
            <v>Not Available</v>
          </cell>
        </row>
        <row r="2799">
          <cell r="E2799">
            <v>10120014</v>
          </cell>
          <cell r="H2799">
            <v>45.7</v>
          </cell>
          <cell r="I2799">
            <v>2043.3</v>
          </cell>
          <cell r="J2799">
            <v>0</v>
          </cell>
          <cell r="K2799">
            <v>0</v>
          </cell>
          <cell r="M2799">
            <v>0</v>
          </cell>
          <cell r="P2799">
            <v>2043</v>
          </cell>
          <cell r="V2799" t="str">
            <v>Not Available</v>
          </cell>
        </row>
        <row r="2800">
          <cell r="E2800">
            <v>10120014</v>
          </cell>
          <cell r="H2800">
            <v>46.5</v>
          </cell>
          <cell r="I2800">
            <v>1996.54</v>
          </cell>
          <cell r="J2800">
            <v>0</v>
          </cell>
          <cell r="K2800">
            <v>0</v>
          </cell>
          <cell r="M2800">
            <v>0</v>
          </cell>
          <cell r="P2800">
            <v>1997</v>
          </cell>
          <cell r="V2800" t="str">
            <v>Not Available</v>
          </cell>
        </row>
        <row r="2801">
          <cell r="E2801">
            <v>10120014</v>
          </cell>
          <cell r="H2801">
            <v>10</v>
          </cell>
          <cell r="I2801">
            <v>436.5</v>
          </cell>
          <cell r="J2801">
            <v>0</v>
          </cell>
          <cell r="K2801">
            <v>0</v>
          </cell>
          <cell r="M2801">
            <v>0</v>
          </cell>
          <cell r="P2801">
            <v>437</v>
          </cell>
          <cell r="V2801" t="str">
            <v>Not Available</v>
          </cell>
        </row>
        <row r="2802">
          <cell r="E2802">
            <v>10120014</v>
          </cell>
          <cell r="H2802">
            <v>133.19999999999999</v>
          </cell>
          <cell r="I2802">
            <v>5345.4400000000005</v>
          </cell>
          <cell r="J2802">
            <v>0</v>
          </cell>
          <cell r="K2802">
            <v>0</v>
          </cell>
          <cell r="M2802">
            <v>0</v>
          </cell>
          <cell r="P2802">
            <v>5345</v>
          </cell>
          <cell r="V2802" t="str">
            <v>Not Available</v>
          </cell>
        </row>
        <row r="2803">
          <cell r="E2803">
            <v>10120014</v>
          </cell>
          <cell r="H2803">
            <v>14.9</v>
          </cell>
          <cell r="I2803">
            <v>650.39</v>
          </cell>
          <cell r="J2803">
            <v>0</v>
          </cell>
          <cell r="K2803">
            <v>0</v>
          </cell>
          <cell r="M2803">
            <v>0</v>
          </cell>
          <cell r="P2803">
            <v>650</v>
          </cell>
          <cell r="V2803" t="str">
            <v>Not Available</v>
          </cell>
        </row>
        <row r="2804">
          <cell r="E2804">
            <v>10120014</v>
          </cell>
          <cell r="H2804">
            <v>13.4</v>
          </cell>
          <cell r="I2804">
            <v>601.66</v>
          </cell>
          <cell r="J2804">
            <v>0</v>
          </cell>
          <cell r="K2804">
            <v>0</v>
          </cell>
          <cell r="M2804">
            <v>0</v>
          </cell>
          <cell r="P2804">
            <v>602</v>
          </cell>
          <cell r="V2804" t="str">
            <v>Not Available</v>
          </cell>
        </row>
        <row r="2805">
          <cell r="E2805">
            <v>10120014</v>
          </cell>
          <cell r="H2805">
            <v>28.5</v>
          </cell>
          <cell r="I2805">
            <v>1127.4000000000001</v>
          </cell>
          <cell r="J2805">
            <v>0</v>
          </cell>
          <cell r="K2805">
            <v>0</v>
          </cell>
          <cell r="M2805">
            <v>0</v>
          </cell>
          <cell r="P2805">
            <v>1127</v>
          </cell>
          <cell r="V2805" t="str">
            <v>Not Available</v>
          </cell>
        </row>
        <row r="2806">
          <cell r="E2806">
            <v>10120014</v>
          </cell>
          <cell r="H2806">
            <v>10</v>
          </cell>
          <cell r="I2806">
            <v>424</v>
          </cell>
          <cell r="J2806">
            <v>0</v>
          </cell>
          <cell r="K2806">
            <v>0</v>
          </cell>
          <cell r="M2806">
            <v>0</v>
          </cell>
          <cell r="P2806">
            <v>424</v>
          </cell>
          <cell r="V2806" t="str">
            <v>Not Available</v>
          </cell>
        </row>
        <row r="2807">
          <cell r="E2807">
            <v>10120015</v>
          </cell>
          <cell r="H2807">
            <v>134.92000000000002</v>
          </cell>
          <cell r="I2807">
            <v>5423.4800000000005</v>
          </cell>
          <cell r="J2807">
            <v>0</v>
          </cell>
          <cell r="K2807">
            <v>0</v>
          </cell>
          <cell r="M2807">
            <v>0</v>
          </cell>
          <cell r="P2807">
            <v>5423</v>
          </cell>
          <cell r="V2807" t="str">
            <v>Available</v>
          </cell>
        </row>
        <row r="2808">
          <cell r="E2808">
            <v>10120015</v>
          </cell>
          <cell r="H2808">
            <v>82.4</v>
          </cell>
          <cell r="I2808">
            <v>3187.23</v>
          </cell>
          <cell r="J2808">
            <v>0</v>
          </cell>
          <cell r="K2808">
            <v>0</v>
          </cell>
          <cell r="M2808">
            <v>0</v>
          </cell>
          <cell r="P2808">
            <v>3187</v>
          </cell>
          <cell r="V2808" t="str">
            <v>Available</v>
          </cell>
        </row>
        <row r="2809">
          <cell r="E2809">
            <v>10120015</v>
          </cell>
          <cell r="H2809">
            <v>200.53999999999996</v>
          </cell>
          <cell r="I2809">
            <v>8029.57</v>
          </cell>
          <cell r="J2809">
            <v>0</v>
          </cell>
          <cell r="K2809">
            <v>0</v>
          </cell>
          <cell r="M2809">
            <v>0</v>
          </cell>
          <cell r="P2809">
            <v>8030</v>
          </cell>
          <cell r="V2809" t="str">
            <v>Available</v>
          </cell>
        </row>
        <row r="2810">
          <cell r="E2810">
            <v>10120015</v>
          </cell>
          <cell r="H2810">
            <v>189.41</v>
          </cell>
          <cell r="I2810">
            <v>7504.4700000000012</v>
          </cell>
          <cell r="J2810">
            <v>0</v>
          </cell>
          <cell r="K2810">
            <v>0</v>
          </cell>
          <cell r="M2810">
            <v>0</v>
          </cell>
          <cell r="P2810">
            <v>7504</v>
          </cell>
          <cell r="V2810" t="str">
            <v>Available</v>
          </cell>
        </row>
        <row r="2811">
          <cell r="E2811">
            <v>10120015</v>
          </cell>
          <cell r="H2811">
            <v>28.540000000000003</v>
          </cell>
          <cell r="I2811">
            <v>1075.71</v>
          </cell>
          <cell r="J2811">
            <v>0</v>
          </cell>
          <cell r="K2811">
            <v>0</v>
          </cell>
          <cell r="M2811">
            <v>0</v>
          </cell>
          <cell r="P2811">
            <v>1076</v>
          </cell>
          <cell r="V2811" t="str">
            <v>Available</v>
          </cell>
        </row>
        <row r="2812">
          <cell r="E2812">
            <v>10120015</v>
          </cell>
          <cell r="H2812">
            <v>38.929999999999993</v>
          </cell>
          <cell r="I2812">
            <v>1698.1799999999998</v>
          </cell>
          <cell r="J2812">
            <v>0</v>
          </cell>
          <cell r="K2812">
            <v>0</v>
          </cell>
          <cell r="M2812">
            <v>0</v>
          </cell>
          <cell r="P2812">
            <v>1698</v>
          </cell>
          <cell r="V2812" t="str">
            <v>Available</v>
          </cell>
        </row>
        <row r="2813">
          <cell r="E2813">
            <v>10120015</v>
          </cell>
          <cell r="H2813">
            <v>54.4</v>
          </cell>
          <cell r="I2813">
            <v>1951.6799999999998</v>
          </cell>
          <cell r="J2813">
            <v>0</v>
          </cell>
          <cell r="K2813">
            <v>0</v>
          </cell>
          <cell r="M2813">
            <v>0</v>
          </cell>
          <cell r="P2813">
            <v>1952</v>
          </cell>
          <cell r="V2813" t="str">
            <v>Available</v>
          </cell>
        </row>
        <row r="2814">
          <cell r="E2814">
            <v>10120015</v>
          </cell>
          <cell r="H2814">
            <v>28.87</v>
          </cell>
          <cell r="I2814">
            <v>1139.4100000000001</v>
          </cell>
          <cell r="J2814">
            <v>0</v>
          </cell>
          <cell r="K2814">
            <v>0</v>
          </cell>
          <cell r="M2814">
            <v>0</v>
          </cell>
          <cell r="P2814">
            <v>1139</v>
          </cell>
          <cell r="V2814" t="str">
            <v>Not Available</v>
          </cell>
        </row>
        <row r="2815">
          <cell r="E2815">
            <v>10120015</v>
          </cell>
          <cell r="H2815">
            <v>9.58</v>
          </cell>
          <cell r="I2815">
            <v>493.25000000000006</v>
          </cell>
          <cell r="J2815">
            <v>0</v>
          </cell>
          <cell r="K2815">
            <v>0</v>
          </cell>
          <cell r="M2815">
            <v>0</v>
          </cell>
          <cell r="P2815">
            <v>493</v>
          </cell>
          <cell r="V2815" t="str">
            <v>Not Available</v>
          </cell>
        </row>
        <row r="2816">
          <cell r="E2816">
            <v>10120015</v>
          </cell>
          <cell r="H2816">
            <v>41.26</v>
          </cell>
          <cell r="I2816">
            <v>1631.79</v>
          </cell>
          <cell r="J2816">
            <v>0</v>
          </cell>
          <cell r="K2816">
            <v>0</v>
          </cell>
          <cell r="M2816">
            <v>0</v>
          </cell>
          <cell r="P2816">
            <v>1632</v>
          </cell>
          <cell r="V2816" t="str">
            <v>Not Available</v>
          </cell>
        </row>
        <row r="2817">
          <cell r="E2817">
            <v>10120015</v>
          </cell>
          <cell r="H2817">
            <v>130.62</v>
          </cell>
          <cell r="I2817">
            <v>4865.0999999999995</v>
          </cell>
          <cell r="J2817">
            <v>0</v>
          </cell>
          <cell r="K2817">
            <v>0</v>
          </cell>
          <cell r="M2817">
            <v>0</v>
          </cell>
          <cell r="P2817">
            <v>4865</v>
          </cell>
          <cell r="V2817" t="str">
            <v>Not Available</v>
          </cell>
        </row>
        <row r="2818">
          <cell r="E2818">
            <v>10120015</v>
          </cell>
          <cell r="H2818">
            <v>48.52</v>
          </cell>
          <cell r="I2818">
            <v>1981.99</v>
          </cell>
          <cell r="J2818">
            <v>0</v>
          </cell>
          <cell r="K2818">
            <v>0</v>
          </cell>
          <cell r="M2818">
            <v>0</v>
          </cell>
          <cell r="P2818">
            <v>1982</v>
          </cell>
          <cell r="V2818" t="str">
            <v>Not Available</v>
          </cell>
        </row>
        <row r="2819">
          <cell r="E2819">
            <v>10120015</v>
          </cell>
          <cell r="H2819">
            <v>38.500000000000007</v>
          </cell>
          <cell r="I2819">
            <v>1401.45</v>
          </cell>
          <cell r="J2819">
            <v>0</v>
          </cell>
          <cell r="K2819">
            <v>0</v>
          </cell>
          <cell r="M2819">
            <v>0</v>
          </cell>
          <cell r="P2819">
            <v>1401</v>
          </cell>
          <cell r="V2819" t="str">
            <v>Available</v>
          </cell>
        </row>
        <row r="2820">
          <cell r="E2820">
            <v>10120015</v>
          </cell>
          <cell r="H2820">
            <v>10.16</v>
          </cell>
          <cell r="I2820">
            <v>368.64</v>
          </cell>
          <cell r="J2820">
            <v>0</v>
          </cell>
          <cell r="K2820">
            <v>0</v>
          </cell>
          <cell r="M2820">
            <v>0</v>
          </cell>
          <cell r="P2820">
            <v>369</v>
          </cell>
          <cell r="V2820" t="str">
            <v>Available</v>
          </cell>
        </row>
        <row r="2821">
          <cell r="E2821">
            <v>10120015</v>
          </cell>
          <cell r="H2821">
            <v>7.43</v>
          </cell>
          <cell r="I2821">
            <v>364.34</v>
          </cell>
          <cell r="J2821">
            <v>0</v>
          </cell>
          <cell r="K2821">
            <v>0</v>
          </cell>
          <cell r="M2821">
            <v>0</v>
          </cell>
          <cell r="P2821">
            <v>364</v>
          </cell>
          <cell r="V2821" t="str">
            <v>Available</v>
          </cell>
        </row>
        <row r="2822">
          <cell r="E2822">
            <v>10120015</v>
          </cell>
          <cell r="H2822">
            <v>93.359999999999985</v>
          </cell>
          <cell r="I2822">
            <v>3787.3199999999997</v>
          </cell>
          <cell r="J2822">
            <v>0</v>
          </cell>
          <cell r="K2822">
            <v>0</v>
          </cell>
          <cell r="M2822">
            <v>0</v>
          </cell>
          <cell r="P2822">
            <v>3787</v>
          </cell>
          <cell r="V2822" t="str">
            <v>Available</v>
          </cell>
        </row>
        <row r="2823">
          <cell r="E2823">
            <v>10120016</v>
          </cell>
          <cell r="H2823">
            <v>3.2199999999999998</v>
          </cell>
          <cell r="I2823">
            <v>116.26</v>
          </cell>
          <cell r="J2823">
            <v>0</v>
          </cell>
          <cell r="K2823">
            <v>116.26</v>
          </cell>
          <cell r="M2823">
            <v>0</v>
          </cell>
          <cell r="P2823">
            <v>0</v>
          </cell>
          <cell r="V2823" t="str">
            <v>Not Available</v>
          </cell>
        </row>
        <row r="2824">
          <cell r="E2824">
            <v>10120016</v>
          </cell>
          <cell r="H2824">
            <v>62.990000000000009</v>
          </cell>
          <cell r="I2824">
            <v>2299.33</v>
          </cell>
          <cell r="J2824">
            <v>0</v>
          </cell>
          <cell r="K2824">
            <v>0</v>
          </cell>
          <cell r="M2824">
            <v>0</v>
          </cell>
          <cell r="P2824">
            <v>2299</v>
          </cell>
          <cell r="V2824" t="str">
            <v>Available</v>
          </cell>
        </row>
        <row r="2825">
          <cell r="E2825">
            <v>10120016</v>
          </cell>
          <cell r="H2825">
            <v>36.64</v>
          </cell>
          <cell r="I2825">
            <v>1327.0000000000002</v>
          </cell>
          <cell r="J2825">
            <v>0</v>
          </cell>
          <cell r="K2825">
            <v>0</v>
          </cell>
          <cell r="M2825">
            <v>0</v>
          </cell>
          <cell r="P2825">
            <v>1327</v>
          </cell>
          <cell r="V2825" t="str">
            <v>Available</v>
          </cell>
        </row>
        <row r="2826">
          <cell r="E2826">
            <v>10120016</v>
          </cell>
          <cell r="H2826">
            <v>38.729999999999997</v>
          </cell>
          <cell r="I2826">
            <v>1397.25</v>
          </cell>
          <cell r="J2826">
            <v>0</v>
          </cell>
          <cell r="K2826">
            <v>0</v>
          </cell>
          <cell r="M2826">
            <v>0</v>
          </cell>
          <cell r="P2826">
            <v>1397</v>
          </cell>
          <cell r="V2826" t="str">
            <v>Available</v>
          </cell>
        </row>
        <row r="2827">
          <cell r="E2827">
            <v>10120016</v>
          </cell>
          <cell r="H2827">
            <v>41.190000000000005</v>
          </cell>
          <cell r="I2827">
            <v>1465.2600000000002</v>
          </cell>
          <cell r="J2827">
            <v>0</v>
          </cell>
          <cell r="K2827">
            <v>0</v>
          </cell>
          <cell r="M2827">
            <v>0</v>
          </cell>
          <cell r="P2827">
            <v>1465</v>
          </cell>
          <cell r="V2827" t="str">
            <v>Available</v>
          </cell>
        </row>
        <row r="2828">
          <cell r="E2828">
            <v>10120017</v>
          </cell>
          <cell r="H2828">
            <v>299.7</v>
          </cell>
          <cell r="I2828">
            <v>12180.330000000002</v>
          </cell>
          <cell r="J2828">
            <v>0</v>
          </cell>
          <cell r="K2828">
            <v>0</v>
          </cell>
          <cell r="M2828">
            <v>9148</v>
          </cell>
          <cell r="P2828">
            <v>3032</v>
          </cell>
          <cell r="V2828" t="str">
            <v>Available</v>
          </cell>
        </row>
        <row r="2829">
          <cell r="E2829">
            <v>10120017</v>
          </cell>
          <cell r="H2829">
            <v>71.7</v>
          </cell>
          <cell r="I2829">
            <v>2889.7599999999998</v>
          </cell>
          <cell r="J2829">
            <v>0</v>
          </cell>
          <cell r="K2829">
            <v>0</v>
          </cell>
          <cell r="M2829">
            <v>0</v>
          </cell>
          <cell r="P2829">
            <v>2890</v>
          </cell>
          <cell r="V2829" t="str">
            <v>Available</v>
          </cell>
        </row>
        <row r="2830">
          <cell r="E2830">
            <v>10120017</v>
          </cell>
          <cell r="H2830">
            <v>71.8</v>
          </cell>
          <cell r="I2830">
            <v>2892.3799999999997</v>
          </cell>
          <cell r="J2830">
            <v>0</v>
          </cell>
          <cell r="K2830">
            <v>0</v>
          </cell>
          <cell r="M2830">
            <v>0</v>
          </cell>
          <cell r="P2830">
            <v>2892</v>
          </cell>
          <cell r="V2830" t="str">
            <v>Available</v>
          </cell>
        </row>
        <row r="2831">
          <cell r="E2831">
            <v>10120018</v>
          </cell>
          <cell r="H2831">
            <v>297.08999999999997</v>
          </cell>
          <cell r="I2831">
            <v>12419.789999999999</v>
          </cell>
          <cell r="J2831">
            <v>0</v>
          </cell>
          <cell r="K2831">
            <v>0</v>
          </cell>
          <cell r="M2831">
            <v>0</v>
          </cell>
          <cell r="P2831">
            <v>12420</v>
          </cell>
          <cell r="V2831" t="str">
            <v>Available</v>
          </cell>
        </row>
        <row r="2832">
          <cell r="E2832">
            <v>10120018</v>
          </cell>
          <cell r="H2832">
            <v>5</v>
          </cell>
          <cell r="I2832">
            <v>239.1</v>
          </cell>
          <cell r="J2832">
            <v>0</v>
          </cell>
          <cell r="K2832">
            <v>0</v>
          </cell>
          <cell r="M2832">
            <v>0</v>
          </cell>
          <cell r="P2832">
            <v>239</v>
          </cell>
          <cell r="V2832" t="str">
            <v>Not Available</v>
          </cell>
        </row>
        <row r="2833">
          <cell r="E2833">
            <v>10120018</v>
          </cell>
          <cell r="H2833">
            <v>5</v>
          </cell>
          <cell r="I2833">
            <v>239.1</v>
          </cell>
          <cell r="J2833">
            <v>0</v>
          </cell>
          <cell r="K2833">
            <v>0</v>
          </cell>
          <cell r="M2833">
            <v>0</v>
          </cell>
          <cell r="P2833">
            <v>239</v>
          </cell>
          <cell r="V2833" t="str">
            <v>Not Available</v>
          </cell>
        </row>
        <row r="2834">
          <cell r="E2834">
            <v>10120018</v>
          </cell>
          <cell r="H2834">
            <v>4.1500000000000004</v>
          </cell>
          <cell r="I2834">
            <v>198.45</v>
          </cell>
          <cell r="J2834">
            <v>0</v>
          </cell>
          <cell r="K2834">
            <v>0</v>
          </cell>
          <cell r="M2834">
            <v>0</v>
          </cell>
          <cell r="P2834">
            <v>198</v>
          </cell>
          <cell r="V2834" t="str">
            <v>Not Available</v>
          </cell>
        </row>
        <row r="2835">
          <cell r="E2835">
            <v>10120019</v>
          </cell>
          <cell r="H2835">
            <v>18.829999999999995</v>
          </cell>
          <cell r="I2835">
            <v>744.76999999999975</v>
          </cell>
          <cell r="J2835">
            <v>0</v>
          </cell>
          <cell r="K2835">
            <v>744.76999999999975</v>
          </cell>
          <cell r="M2835">
            <v>0</v>
          </cell>
          <cell r="P2835">
            <v>0</v>
          </cell>
          <cell r="V2835" t="str">
            <v>Not Available</v>
          </cell>
        </row>
        <row r="2836">
          <cell r="E2836">
            <v>10120019</v>
          </cell>
          <cell r="H2836">
            <v>47.760000000000005</v>
          </cell>
          <cell r="I2836">
            <v>2028.1999999999996</v>
          </cell>
          <cell r="J2836">
            <v>0</v>
          </cell>
          <cell r="K2836">
            <v>0</v>
          </cell>
          <cell r="M2836">
            <v>0</v>
          </cell>
          <cell r="P2836">
            <v>2028</v>
          </cell>
          <cell r="V2836" t="str">
            <v>Available</v>
          </cell>
        </row>
        <row r="2837">
          <cell r="E2837">
            <v>10120019</v>
          </cell>
          <cell r="H2837">
            <v>47.77</v>
          </cell>
          <cell r="I2837">
            <v>2028.6099999999997</v>
          </cell>
          <cell r="J2837">
            <v>0</v>
          </cell>
          <cell r="K2837">
            <v>0</v>
          </cell>
          <cell r="M2837">
            <v>0</v>
          </cell>
          <cell r="P2837">
            <v>2029</v>
          </cell>
          <cell r="V2837" t="str">
            <v>Available</v>
          </cell>
        </row>
        <row r="2838">
          <cell r="E2838">
            <v>10120019</v>
          </cell>
          <cell r="H2838">
            <v>31.640000000000004</v>
          </cell>
          <cell r="I2838">
            <v>1367.65</v>
          </cell>
          <cell r="J2838">
            <v>0</v>
          </cell>
          <cell r="K2838">
            <v>0</v>
          </cell>
          <cell r="M2838">
            <v>0</v>
          </cell>
          <cell r="P2838">
            <v>1368</v>
          </cell>
          <cell r="V2838" t="str">
            <v>Available</v>
          </cell>
        </row>
        <row r="2839">
          <cell r="E2839">
            <v>10120019</v>
          </cell>
          <cell r="H2839">
            <v>41.949999999999996</v>
          </cell>
          <cell r="I2839">
            <v>1757.6899999999996</v>
          </cell>
          <cell r="J2839">
            <v>0</v>
          </cell>
          <cell r="K2839">
            <v>0</v>
          </cell>
          <cell r="M2839">
            <v>0</v>
          </cell>
          <cell r="P2839">
            <v>1758</v>
          </cell>
          <cell r="V2839" t="str">
            <v>Not Available</v>
          </cell>
        </row>
        <row r="2840">
          <cell r="E2840">
            <v>10120019</v>
          </cell>
          <cell r="H2840">
            <v>46.68</v>
          </cell>
          <cell r="I2840">
            <v>1983.6399999999999</v>
          </cell>
          <cell r="J2840">
            <v>0</v>
          </cell>
          <cell r="K2840">
            <v>0</v>
          </cell>
          <cell r="M2840">
            <v>0</v>
          </cell>
          <cell r="P2840">
            <v>1984</v>
          </cell>
          <cell r="V2840" t="str">
            <v>Not Available</v>
          </cell>
        </row>
        <row r="2841">
          <cell r="E2841">
            <v>10120025</v>
          </cell>
          <cell r="H2841">
            <v>15.95</v>
          </cell>
          <cell r="I2841">
            <v>671.92000000000007</v>
          </cell>
          <cell r="J2841">
            <v>0</v>
          </cell>
          <cell r="K2841">
            <v>671.92000000000007</v>
          </cell>
          <cell r="M2841">
            <v>0</v>
          </cell>
          <cell r="P2841">
            <v>0</v>
          </cell>
          <cell r="V2841" t="str">
            <v>Not Available</v>
          </cell>
        </row>
        <row r="2842">
          <cell r="E2842">
            <v>10120025</v>
          </cell>
          <cell r="H2842">
            <v>372.27000000000004</v>
          </cell>
          <cell r="I2842">
            <v>15663.15</v>
          </cell>
          <cell r="J2842">
            <v>0</v>
          </cell>
          <cell r="K2842">
            <v>0</v>
          </cell>
          <cell r="M2842">
            <v>0</v>
          </cell>
          <cell r="P2842">
            <v>15663</v>
          </cell>
          <cell r="V2842" t="str">
            <v>Available</v>
          </cell>
        </row>
        <row r="2843">
          <cell r="E2843">
            <v>10120025</v>
          </cell>
          <cell r="H2843">
            <v>355.96999999999997</v>
          </cell>
          <cell r="I2843">
            <v>14864.1</v>
          </cell>
          <cell r="J2843">
            <v>0</v>
          </cell>
          <cell r="K2843">
            <v>0</v>
          </cell>
          <cell r="M2843">
            <v>0</v>
          </cell>
          <cell r="P2843">
            <v>14864</v>
          </cell>
          <cell r="V2843" t="str">
            <v>Available</v>
          </cell>
        </row>
        <row r="2844">
          <cell r="E2844">
            <v>10120025</v>
          </cell>
          <cell r="H2844">
            <v>204.09</v>
          </cell>
          <cell r="I2844">
            <v>12188.320000000002</v>
          </cell>
          <cell r="J2844">
            <v>0</v>
          </cell>
          <cell r="K2844">
            <v>0</v>
          </cell>
          <cell r="M2844">
            <v>0</v>
          </cell>
          <cell r="P2844">
            <v>12188</v>
          </cell>
          <cell r="V2844" t="str">
            <v>Available</v>
          </cell>
        </row>
        <row r="2845">
          <cell r="E2845">
            <v>10120025</v>
          </cell>
          <cell r="H2845">
            <v>121.10000000000002</v>
          </cell>
          <cell r="I2845">
            <v>6041.4800000000005</v>
          </cell>
          <cell r="J2845">
            <v>0</v>
          </cell>
          <cell r="K2845">
            <v>0</v>
          </cell>
          <cell r="M2845">
            <v>0</v>
          </cell>
          <cell r="P2845">
            <v>6041</v>
          </cell>
          <cell r="V2845" t="str">
            <v>Available</v>
          </cell>
        </row>
        <row r="2846">
          <cell r="E2846">
            <v>10120025</v>
          </cell>
          <cell r="H2846">
            <v>101.25000000000001</v>
          </cell>
          <cell r="I2846">
            <v>4050.64</v>
          </cell>
          <cell r="J2846">
            <v>0</v>
          </cell>
          <cell r="K2846">
            <v>0</v>
          </cell>
          <cell r="M2846">
            <v>0</v>
          </cell>
          <cell r="P2846">
            <v>4051</v>
          </cell>
          <cell r="V2846" t="str">
            <v>Available</v>
          </cell>
        </row>
        <row r="2847">
          <cell r="E2847">
            <v>10120025</v>
          </cell>
          <cell r="H2847">
            <v>59.25</v>
          </cell>
          <cell r="I2847">
            <v>2381.1400000000003</v>
          </cell>
          <cell r="J2847">
            <v>0</v>
          </cell>
          <cell r="K2847">
            <v>0</v>
          </cell>
          <cell r="M2847">
            <v>0</v>
          </cell>
          <cell r="P2847">
            <v>2381</v>
          </cell>
          <cell r="V2847" t="str">
            <v>Not Available</v>
          </cell>
        </row>
        <row r="2848">
          <cell r="E2848">
            <v>10120025</v>
          </cell>
          <cell r="H2848">
            <v>68.939999999999984</v>
          </cell>
          <cell r="I2848">
            <v>2713.4</v>
          </cell>
          <cell r="J2848">
            <v>0</v>
          </cell>
          <cell r="K2848">
            <v>0</v>
          </cell>
          <cell r="M2848">
            <v>0</v>
          </cell>
          <cell r="P2848">
            <v>2713</v>
          </cell>
          <cell r="V2848" t="str">
            <v>Not Available</v>
          </cell>
        </row>
        <row r="2849">
          <cell r="E2849">
            <v>10120025</v>
          </cell>
          <cell r="H2849">
            <v>50.110000000000007</v>
          </cell>
          <cell r="I2849">
            <v>2053.89</v>
          </cell>
          <cell r="J2849">
            <v>0</v>
          </cell>
          <cell r="K2849">
            <v>0</v>
          </cell>
          <cell r="M2849">
            <v>0</v>
          </cell>
          <cell r="P2849">
            <v>2054</v>
          </cell>
          <cell r="V2849" t="str">
            <v>Not Available</v>
          </cell>
        </row>
        <row r="2850">
          <cell r="E2850">
            <v>10120025</v>
          </cell>
          <cell r="H2850">
            <v>40.79999999999999</v>
          </cell>
          <cell r="I2850">
            <v>1709.9699999999998</v>
          </cell>
          <cell r="J2850">
            <v>0</v>
          </cell>
          <cell r="K2850">
            <v>0</v>
          </cell>
          <cell r="M2850">
            <v>0</v>
          </cell>
          <cell r="P2850">
            <v>1710</v>
          </cell>
          <cell r="V2850" t="str">
            <v>Not Available</v>
          </cell>
        </row>
        <row r="2851">
          <cell r="E2851">
            <v>10120025</v>
          </cell>
          <cell r="H2851">
            <v>125.64999999999996</v>
          </cell>
          <cell r="I2851">
            <v>5426.2</v>
          </cell>
          <cell r="J2851">
            <v>0</v>
          </cell>
          <cell r="K2851">
            <v>0</v>
          </cell>
          <cell r="M2851">
            <v>0</v>
          </cell>
          <cell r="P2851">
            <v>5426</v>
          </cell>
          <cell r="V2851" t="str">
            <v>Not Available</v>
          </cell>
        </row>
        <row r="2852">
          <cell r="E2852">
            <v>10120025</v>
          </cell>
          <cell r="H2852">
            <v>21.44</v>
          </cell>
          <cell r="I2852">
            <v>891.41</v>
          </cell>
          <cell r="J2852">
            <v>0</v>
          </cell>
          <cell r="K2852">
            <v>0</v>
          </cell>
          <cell r="M2852">
            <v>0</v>
          </cell>
          <cell r="P2852">
            <v>891</v>
          </cell>
          <cell r="V2852" t="str">
            <v>Not Available</v>
          </cell>
        </row>
        <row r="2853">
          <cell r="E2853">
            <v>10120025</v>
          </cell>
          <cell r="H2853">
            <v>74.149999999999991</v>
          </cell>
          <cell r="I2853">
            <v>3033.3900000000003</v>
          </cell>
          <cell r="J2853">
            <v>0</v>
          </cell>
          <cell r="K2853">
            <v>0</v>
          </cell>
          <cell r="M2853">
            <v>0</v>
          </cell>
          <cell r="P2853">
            <v>3033</v>
          </cell>
          <cell r="V2853" t="str">
            <v>Not Available</v>
          </cell>
        </row>
        <row r="2854">
          <cell r="E2854">
            <v>10120025</v>
          </cell>
          <cell r="H2854">
            <v>59.289999999999992</v>
          </cell>
          <cell r="I2854">
            <v>2420.25</v>
          </cell>
          <cell r="J2854">
            <v>0</v>
          </cell>
          <cell r="K2854">
            <v>0</v>
          </cell>
          <cell r="M2854">
            <v>0</v>
          </cell>
          <cell r="P2854">
            <v>2420</v>
          </cell>
          <cell r="V2854" t="str">
            <v>Not Available</v>
          </cell>
        </row>
        <row r="2855">
          <cell r="E2855">
            <v>10120025</v>
          </cell>
          <cell r="H2855">
            <v>69.81</v>
          </cell>
          <cell r="I2855">
            <v>2833.9200000000005</v>
          </cell>
          <cell r="J2855">
            <v>0</v>
          </cell>
          <cell r="K2855">
            <v>0</v>
          </cell>
          <cell r="M2855">
            <v>0</v>
          </cell>
          <cell r="P2855">
            <v>2834</v>
          </cell>
          <cell r="V2855" t="str">
            <v>Not Available</v>
          </cell>
        </row>
        <row r="2856">
          <cell r="E2856">
            <v>10120025</v>
          </cell>
          <cell r="H2856">
            <v>43.820000000000007</v>
          </cell>
          <cell r="I2856">
            <v>1864.4199999999998</v>
          </cell>
          <cell r="J2856">
            <v>0</v>
          </cell>
          <cell r="K2856">
            <v>0</v>
          </cell>
          <cell r="M2856">
            <v>0</v>
          </cell>
          <cell r="P2856">
            <v>1864</v>
          </cell>
          <cell r="V2856" t="str">
            <v>Not Available</v>
          </cell>
        </row>
        <row r="2857">
          <cell r="E2857">
            <v>10120025</v>
          </cell>
          <cell r="H2857">
            <v>28.09</v>
          </cell>
          <cell r="I2857">
            <v>1149.5200000000002</v>
          </cell>
          <cell r="J2857">
            <v>0</v>
          </cell>
          <cell r="K2857">
            <v>0</v>
          </cell>
          <cell r="M2857">
            <v>0</v>
          </cell>
          <cell r="P2857">
            <v>1150</v>
          </cell>
          <cell r="V2857" t="str">
            <v>Not Available</v>
          </cell>
        </row>
        <row r="2858">
          <cell r="E2858">
            <v>10120025</v>
          </cell>
          <cell r="H2858">
            <v>22.34</v>
          </cell>
          <cell r="I2858">
            <v>959.48</v>
          </cell>
          <cell r="J2858">
            <v>0</v>
          </cell>
          <cell r="K2858">
            <v>0</v>
          </cell>
          <cell r="M2858">
            <v>0</v>
          </cell>
          <cell r="P2858">
            <v>959</v>
          </cell>
          <cell r="V2858" t="str">
            <v>Not Available</v>
          </cell>
        </row>
        <row r="2859">
          <cell r="E2859">
            <v>10120025</v>
          </cell>
          <cell r="H2859">
            <v>14.43</v>
          </cell>
          <cell r="I2859">
            <v>596.97</v>
          </cell>
          <cell r="J2859">
            <v>0</v>
          </cell>
          <cell r="K2859">
            <v>0</v>
          </cell>
          <cell r="M2859">
            <v>0</v>
          </cell>
          <cell r="P2859">
            <v>597</v>
          </cell>
          <cell r="V2859" t="str">
            <v>Not Available</v>
          </cell>
        </row>
        <row r="2860">
          <cell r="E2860">
            <v>10120025</v>
          </cell>
          <cell r="H2860">
            <v>54.65</v>
          </cell>
          <cell r="I2860">
            <v>2430.7400000000002</v>
          </cell>
          <cell r="J2860">
            <v>0</v>
          </cell>
          <cell r="K2860">
            <v>0</v>
          </cell>
          <cell r="M2860">
            <v>0</v>
          </cell>
          <cell r="P2860">
            <v>2431</v>
          </cell>
          <cell r="V2860" t="str">
            <v>Not Available</v>
          </cell>
        </row>
        <row r="2861">
          <cell r="E2861">
            <v>10120025</v>
          </cell>
          <cell r="H2861">
            <v>67.31</v>
          </cell>
          <cell r="I2861">
            <v>2781.06</v>
          </cell>
          <cell r="J2861">
            <v>0</v>
          </cell>
          <cell r="K2861">
            <v>0</v>
          </cell>
          <cell r="M2861">
            <v>0</v>
          </cell>
          <cell r="P2861">
            <v>2781</v>
          </cell>
          <cell r="V2861" t="str">
            <v>Not Available</v>
          </cell>
        </row>
        <row r="2862">
          <cell r="E2862">
            <v>10120025</v>
          </cell>
          <cell r="H2862">
            <v>2.8000000000000003</v>
          </cell>
          <cell r="I2862">
            <v>110.05999999999999</v>
          </cell>
          <cell r="J2862">
            <v>0</v>
          </cell>
          <cell r="K2862">
            <v>0</v>
          </cell>
          <cell r="M2862">
            <v>0</v>
          </cell>
          <cell r="P2862">
            <v>110</v>
          </cell>
          <cell r="V2862" t="str">
            <v>Not Available</v>
          </cell>
        </row>
        <row r="2863">
          <cell r="E2863">
            <v>10120025</v>
          </cell>
          <cell r="H2863">
            <v>42.110000000000007</v>
          </cell>
          <cell r="I2863">
            <v>1887.6000000000001</v>
          </cell>
          <cell r="J2863">
            <v>0</v>
          </cell>
          <cell r="K2863">
            <v>0</v>
          </cell>
          <cell r="M2863">
            <v>0</v>
          </cell>
          <cell r="P2863">
            <v>1888</v>
          </cell>
          <cell r="V2863" t="str">
            <v>Not Available</v>
          </cell>
        </row>
        <row r="2864">
          <cell r="E2864">
            <v>10120025</v>
          </cell>
          <cell r="H2864">
            <v>22.520000000000003</v>
          </cell>
          <cell r="I2864">
            <v>949.47</v>
          </cell>
          <cell r="J2864">
            <v>0</v>
          </cell>
          <cell r="K2864">
            <v>0</v>
          </cell>
          <cell r="M2864">
            <v>0</v>
          </cell>
          <cell r="P2864">
            <v>949</v>
          </cell>
          <cell r="V2864" t="str">
            <v>Not Available</v>
          </cell>
        </row>
        <row r="2865">
          <cell r="E2865">
            <v>10120025</v>
          </cell>
          <cell r="H2865">
            <v>19.509999999999998</v>
          </cell>
          <cell r="I2865">
            <v>798.35</v>
          </cell>
          <cell r="J2865">
            <v>0</v>
          </cell>
          <cell r="K2865">
            <v>0</v>
          </cell>
          <cell r="M2865">
            <v>0</v>
          </cell>
          <cell r="P2865">
            <v>798</v>
          </cell>
          <cell r="V2865" t="str">
            <v>Not Available</v>
          </cell>
        </row>
        <row r="2866">
          <cell r="E2866">
            <v>10120025</v>
          </cell>
          <cell r="H2866">
            <v>43.39</v>
          </cell>
          <cell r="I2866">
            <v>2199.1600000000003</v>
          </cell>
          <cell r="J2866">
            <v>0</v>
          </cell>
          <cell r="K2866">
            <v>0</v>
          </cell>
          <cell r="M2866">
            <v>0</v>
          </cell>
          <cell r="P2866">
            <v>2199</v>
          </cell>
          <cell r="V2866" t="str">
            <v>Not Available</v>
          </cell>
        </row>
        <row r="2867">
          <cell r="E2867">
            <v>10120025</v>
          </cell>
          <cell r="H2867">
            <v>70.25</v>
          </cell>
          <cell r="I2867">
            <v>3601.36</v>
          </cell>
          <cell r="J2867">
            <v>0</v>
          </cell>
          <cell r="K2867">
            <v>0</v>
          </cell>
          <cell r="M2867">
            <v>0</v>
          </cell>
          <cell r="P2867">
            <v>3601</v>
          </cell>
          <cell r="V2867" t="str">
            <v>Not Available</v>
          </cell>
        </row>
        <row r="2868">
          <cell r="E2868">
            <v>10120025</v>
          </cell>
          <cell r="H2868">
            <v>298.25000000000006</v>
          </cell>
          <cell r="I2868">
            <v>14763.869999999999</v>
          </cell>
          <cell r="J2868">
            <v>0</v>
          </cell>
          <cell r="K2868">
            <v>0</v>
          </cell>
          <cell r="M2868">
            <v>0</v>
          </cell>
          <cell r="P2868">
            <v>14764</v>
          </cell>
          <cell r="V2868" t="str">
            <v>Available</v>
          </cell>
        </row>
        <row r="2869">
          <cell r="E2869">
            <v>10120029</v>
          </cell>
          <cell r="H2869">
            <v>5.04</v>
          </cell>
          <cell r="I2869">
            <v>189.55999999999997</v>
          </cell>
          <cell r="J2869">
            <v>0</v>
          </cell>
          <cell r="K2869">
            <v>189.55999999999997</v>
          </cell>
          <cell r="M2869">
            <v>0</v>
          </cell>
          <cell r="P2869">
            <v>0</v>
          </cell>
          <cell r="V2869" t="str">
            <v>Not Available</v>
          </cell>
        </row>
        <row r="2870">
          <cell r="E2870">
            <v>10120029</v>
          </cell>
          <cell r="H2870">
            <v>65.92</v>
          </cell>
          <cell r="I2870">
            <v>2501.9200000000005</v>
          </cell>
          <cell r="J2870">
            <v>0</v>
          </cell>
          <cell r="K2870">
            <v>0</v>
          </cell>
          <cell r="M2870">
            <v>0</v>
          </cell>
          <cell r="P2870">
            <v>2502</v>
          </cell>
          <cell r="V2870" t="str">
            <v>Available</v>
          </cell>
        </row>
        <row r="2871">
          <cell r="E2871">
            <v>10120029</v>
          </cell>
          <cell r="H2871">
            <v>94.58</v>
          </cell>
          <cell r="I2871">
            <v>3577.85</v>
          </cell>
          <cell r="J2871">
            <v>0</v>
          </cell>
          <cell r="K2871">
            <v>0</v>
          </cell>
          <cell r="M2871">
            <v>0</v>
          </cell>
          <cell r="P2871">
            <v>3578</v>
          </cell>
          <cell r="V2871" t="str">
            <v>Available</v>
          </cell>
        </row>
        <row r="2872">
          <cell r="E2872">
            <v>10120029</v>
          </cell>
          <cell r="H2872">
            <v>45.900000000000006</v>
          </cell>
          <cell r="I2872">
            <v>1722.17</v>
          </cell>
          <cell r="J2872">
            <v>0</v>
          </cell>
          <cell r="K2872">
            <v>0</v>
          </cell>
          <cell r="M2872">
            <v>0</v>
          </cell>
          <cell r="P2872">
            <v>1722</v>
          </cell>
          <cell r="V2872" t="str">
            <v>Available</v>
          </cell>
        </row>
        <row r="2873">
          <cell r="E2873">
            <v>10120029</v>
          </cell>
          <cell r="H2873">
            <v>73.319999999999993</v>
          </cell>
          <cell r="I2873">
            <v>2684.3</v>
          </cell>
          <cell r="J2873">
            <v>0</v>
          </cell>
          <cell r="K2873">
            <v>0</v>
          </cell>
          <cell r="M2873">
            <v>0</v>
          </cell>
          <cell r="P2873">
            <v>2684</v>
          </cell>
          <cell r="V2873" t="str">
            <v>Available</v>
          </cell>
        </row>
        <row r="2874">
          <cell r="E2874">
            <v>10120029</v>
          </cell>
          <cell r="H2874">
            <v>19.2</v>
          </cell>
          <cell r="I2874">
            <v>891.61</v>
          </cell>
          <cell r="J2874">
            <v>0</v>
          </cell>
          <cell r="K2874">
            <v>0</v>
          </cell>
          <cell r="M2874">
            <v>0</v>
          </cell>
          <cell r="P2874">
            <v>892</v>
          </cell>
          <cell r="V2874" t="str">
            <v>Available</v>
          </cell>
        </row>
        <row r="2875">
          <cell r="E2875">
            <v>10120029</v>
          </cell>
          <cell r="H2875">
            <v>14.08</v>
          </cell>
          <cell r="I2875">
            <v>536.16</v>
          </cell>
          <cell r="J2875">
            <v>0</v>
          </cell>
          <cell r="K2875">
            <v>0</v>
          </cell>
          <cell r="M2875">
            <v>0</v>
          </cell>
          <cell r="P2875">
            <v>536</v>
          </cell>
          <cell r="V2875" t="str">
            <v>Not Available</v>
          </cell>
        </row>
        <row r="2876">
          <cell r="E2876">
            <v>10120029</v>
          </cell>
          <cell r="H2876">
            <v>14.5</v>
          </cell>
          <cell r="I2876">
            <v>552.33000000000004</v>
          </cell>
          <cell r="J2876">
            <v>0</v>
          </cell>
          <cell r="K2876">
            <v>0</v>
          </cell>
          <cell r="M2876">
            <v>0</v>
          </cell>
          <cell r="P2876">
            <v>552</v>
          </cell>
          <cell r="V2876" t="str">
            <v>Not Available</v>
          </cell>
        </row>
        <row r="2877">
          <cell r="E2877">
            <v>10120029</v>
          </cell>
          <cell r="H2877">
            <v>14.5</v>
          </cell>
          <cell r="I2877">
            <v>552.33000000000004</v>
          </cell>
          <cell r="J2877">
            <v>0</v>
          </cell>
          <cell r="K2877">
            <v>0</v>
          </cell>
          <cell r="M2877">
            <v>0</v>
          </cell>
          <cell r="P2877">
            <v>552</v>
          </cell>
          <cell r="V2877" t="str">
            <v>Not Available</v>
          </cell>
        </row>
        <row r="2878">
          <cell r="E2878">
            <v>10120029</v>
          </cell>
          <cell r="H2878">
            <v>33.479999999999997</v>
          </cell>
          <cell r="I2878">
            <v>1304.6300000000001</v>
          </cell>
          <cell r="J2878">
            <v>0</v>
          </cell>
          <cell r="K2878">
            <v>0</v>
          </cell>
          <cell r="M2878">
            <v>0</v>
          </cell>
          <cell r="P2878">
            <v>1305</v>
          </cell>
          <cell r="V2878" t="str">
            <v>Not Available</v>
          </cell>
        </row>
        <row r="2879">
          <cell r="E2879">
            <v>10120029</v>
          </cell>
          <cell r="H2879">
            <v>15.68</v>
          </cell>
          <cell r="I2879">
            <v>597.76</v>
          </cell>
          <cell r="J2879">
            <v>0</v>
          </cell>
          <cell r="K2879">
            <v>0</v>
          </cell>
          <cell r="M2879">
            <v>0</v>
          </cell>
          <cell r="P2879">
            <v>598</v>
          </cell>
          <cell r="V2879" t="str">
            <v>Not Available</v>
          </cell>
        </row>
        <row r="2880">
          <cell r="E2880">
            <v>10120029</v>
          </cell>
          <cell r="H2880">
            <v>15.68</v>
          </cell>
          <cell r="I2880">
            <v>597.76</v>
          </cell>
          <cell r="J2880">
            <v>0</v>
          </cell>
          <cell r="K2880">
            <v>0</v>
          </cell>
          <cell r="M2880">
            <v>0</v>
          </cell>
          <cell r="P2880">
            <v>598</v>
          </cell>
          <cell r="V2880" t="str">
            <v>Not Available</v>
          </cell>
        </row>
        <row r="2881">
          <cell r="E2881">
            <v>10120029</v>
          </cell>
          <cell r="H2881">
            <v>11.36</v>
          </cell>
          <cell r="I2881">
            <v>437.36</v>
          </cell>
          <cell r="J2881">
            <v>0</v>
          </cell>
          <cell r="K2881">
            <v>0</v>
          </cell>
          <cell r="M2881">
            <v>0</v>
          </cell>
          <cell r="P2881">
            <v>437</v>
          </cell>
          <cell r="V2881" t="str">
            <v>Not Available</v>
          </cell>
        </row>
        <row r="2882">
          <cell r="E2882">
            <v>10120029</v>
          </cell>
          <cell r="H2882">
            <v>55.360000000000007</v>
          </cell>
          <cell r="I2882">
            <v>2297.6999999999998</v>
          </cell>
          <cell r="J2882">
            <v>0</v>
          </cell>
          <cell r="K2882">
            <v>0</v>
          </cell>
          <cell r="M2882">
            <v>0</v>
          </cell>
          <cell r="P2882">
            <v>2298</v>
          </cell>
          <cell r="V2882" t="str">
            <v>Available</v>
          </cell>
        </row>
        <row r="2883">
          <cell r="E2883">
            <v>10120031</v>
          </cell>
          <cell r="H2883">
            <v>15.5</v>
          </cell>
          <cell r="I2883">
            <v>691.80000000000007</v>
          </cell>
          <cell r="J2883">
            <v>0</v>
          </cell>
          <cell r="K2883">
            <v>691.80000000000007</v>
          </cell>
          <cell r="M2883">
            <v>0</v>
          </cell>
          <cell r="P2883">
            <v>0</v>
          </cell>
          <cell r="V2883" t="str">
            <v>Not Available</v>
          </cell>
        </row>
        <row r="2884">
          <cell r="E2884">
            <v>10120031</v>
          </cell>
          <cell r="H2884">
            <v>79.000000000000014</v>
          </cell>
          <cell r="I2884">
            <v>3991.2299999999996</v>
          </cell>
          <cell r="J2884">
            <v>0</v>
          </cell>
          <cell r="K2884">
            <v>0</v>
          </cell>
          <cell r="M2884">
            <v>2800</v>
          </cell>
          <cell r="P2884">
            <v>1191</v>
          </cell>
          <cell r="V2884" t="str">
            <v>Available</v>
          </cell>
        </row>
        <row r="2885">
          <cell r="E2885">
            <v>10120031</v>
          </cell>
          <cell r="H2885">
            <v>10.4</v>
          </cell>
          <cell r="I2885">
            <v>420.24</v>
          </cell>
          <cell r="J2885">
            <v>0</v>
          </cell>
          <cell r="K2885">
            <v>0</v>
          </cell>
          <cell r="M2885">
            <v>0</v>
          </cell>
          <cell r="P2885">
            <v>420</v>
          </cell>
          <cell r="V2885" t="str">
            <v>Available</v>
          </cell>
        </row>
        <row r="2886">
          <cell r="E2886">
            <v>10120031</v>
          </cell>
          <cell r="H2886">
            <v>61.099999999999994</v>
          </cell>
          <cell r="I2886">
            <v>2900.3499999999995</v>
          </cell>
          <cell r="J2886">
            <v>0</v>
          </cell>
          <cell r="K2886">
            <v>0</v>
          </cell>
          <cell r="M2886">
            <v>0</v>
          </cell>
          <cell r="P2886">
            <v>2900</v>
          </cell>
          <cell r="V2886" t="str">
            <v>Available</v>
          </cell>
        </row>
        <row r="2887">
          <cell r="E2887">
            <v>10120031</v>
          </cell>
          <cell r="H2887">
            <v>68.7</v>
          </cell>
          <cell r="I2887">
            <v>2948.69</v>
          </cell>
          <cell r="J2887">
            <v>0</v>
          </cell>
          <cell r="K2887">
            <v>0</v>
          </cell>
          <cell r="M2887">
            <v>0</v>
          </cell>
          <cell r="P2887">
            <v>2949</v>
          </cell>
          <cell r="V2887" t="str">
            <v>Not Available</v>
          </cell>
        </row>
        <row r="2888">
          <cell r="E2888">
            <v>10120031</v>
          </cell>
          <cell r="H2888">
            <v>41.3</v>
          </cell>
          <cell r="I2888">
            <v>1746.64</v>
          </cell>
          <cell r="J2888">
            <v>0</v>
          </cell>
          <cell r="K2888">
            <v>0</v>
          </cell>
          <cell r="M2888">
            <v>0</v>
          </cell>
          <cell r="P2888">
            <v>1747</v>
          </cell>
          <cell r="V2888" t="str">
            <v>Not Available</v>
          </cell>
        </row>
        <row r="2889">
          <cell r="E2889">
            <v>10120031</v>
          </cell>
          <cell r="H2889">
            <v>31.3</v>
          </cell>
          <cell r="I2889">
            <v>1360.4099999999999</v>
          </cell>
          <cell r="J2889">
            <v>0</v>
          </cell>
          <cell r="K2889">
            <v>0</v>
          </cell>
          <cell r="M2889">
            <v>0</v>
          </cell>
          <cell r="P2889">
            <v>1360</v>
          </cell>
          <cell r="V2889" t="str">
            <v>Not Available</v>
          </cell>
        </row>
        <row r="2890">
          <cell r="E2890">
            <v>10120031</v>
          </cell>
          <cell r="H2890">
            <v>28.7</v>
          </cell>
          <cell r="I2890">
            <v>1249.28</v>
          </cell>
          <cell r="J2890">
            <v>0</v>
          </cell>
          <cell r="K2890">
            <v>0</v>
          </cell>
          <cell r="M2890">
            <v>0</v>
          </cell>
          <cell r="P2890">
            <v>1249</v>
          </cell>
          <cell r="V2890" t="str">
            <v>Not Available</v>
          </cell>
        </row>
        <row r="2891">
          <cell r="E2891">
            <v>10120031</v>
          </cell>
          <cell r="H2891">
            <v>30.4</v>
          </cell>
          <cell r="I2891">
            <v>1291.4100000000001</v>
          </cell>
          <cell r="J2891">
            <v>0</v>
          </cell>
          <cell r="K2891">
            <v>0</v>
          </cell>
          <cell r="M2891">
            <v>0</v>
          </cell>
          <cell r="P2891">
            <v>1291</v>
          </cell>
          <cell r="V2891" t="str">
            <v>Not Available</v>
          </cell>
        </row>
        <row r="2892">
          <cell r="E2892">
            <v>10120031</v>
          </cell>
          <cell r="H2892">
            <v>28.5</v>
          </cell>
          <cell r="I2892">
            <v>1159.4000000000001</v>
          </cell>
          <cell r="J2892">
            <v>0</v>
          </cell>
          <cell r="K2892">
            <v>0</v>
          </cell>
          <cell r="M2892">
            <v>0</v>
          </cell>
          <cell r="P2892">
            <v>1159</v>
          </cell>
          <cell r="V2892" t="str">
            <v>Not Available</v>
          </cell>
        </row>
        <row r="2893">
          <cell r="E2893">
            <v>10120031</v>
          </cell>
          <cell r="H2893">
            <v>10.6</v>
          </cell>
          <cell r="I2893">
            <v>394.04999999999995</v>
          </cell>
          <cell r="J2893">
            <v>0</v>
          </cell>
          <cell r="K2893">
            <v>0</v>
          </cell>
          <cell r="M2893">
            <v>0</v>
          </cell>
          <cell r="P2893">
            <v>394</v>
          </cell>
          <cell r="V2893" t="str">
            <v>Not Available</v>
          </cell>
        </row>
        <row r="2894">
          <cell r="E2894">
            <v>10120031</v>
          </cell>
          <cell r="H2894">
            <v>2.7</v>
          </cell>
          <cell r="I2894">
            <v>117.48</v>
          </cell>
          <cell r="J2894">
            <v>0</v>
          </cell>
          <cell r="K2894">
            <v>0</v>
          </cell>
          <cell r="M2894">
            <v>0</v>
          </cell>
          <cell r="P2894">
            <v>117</v>
          </cell>
          <cell r="V2894" t="str">
            <v>Not Available</v>
          </cell>
        </row>
        <row r="2895">
          <cell r="E2895">
            <v>10120031</v>
          </cell>
          <cell r="H2895">
            <v>20</v>
          </cell>
          <cell r="I2895">
            <v>1296.02</v>
          </cell>
          <cell r="J2895">
            <v>0</v>
          </cell>
          <cell r="K2895">
            <v>0</v>
          </cell>
          <cell r="M2895">
            <v>0</v>
          </cell>
          <cell r="P2895">
            <v>1296</v>
          </cell>
          <cell r="V2895" t="str">
            <v>Available</v>
          </cell>
        </row>
        <row r="2896">
          <cell r="E2896">
            <v>10120034</v>
          </cell>
          <cell r="H2896">
            <v>35.989999999999995</v>
          </cell>
          <cell r="I2896">
            <v>1494.2100000000003</v>
          </cell>
          <cell r="J2896">
            <v>0</v>
          </cell>
          <cell r="K2896">
            <v>0</v>
          </cell>
          <cell r="M2896">
            <v>1483</v>
          </cell>
          <cell r="P2896">
            <v>0</v>
          </cell>
          <cell r="V2896" t="str">
            <v>Available</v>
          </cell>
        </row>
        <row r="2897">
          <cell r="E2897">
            <v>10120034</v>
          </cell>
          <cell r="H2897">
            <v>24.930000000000003</v>
          </cell>
          <cell r="I2897">
            <v>988.37</v>
          </cell>
          <cell r="J2897">
            <v>0</v>
          </cell>
          <cell r="K2897">
            <v>0</v>
          </cell>
          <cell r="M2897">
            <v>0</v>
          </cell>
          <cell r="P2897">
            <v>988</v>
          </cell>
          <cell r="V2897" t="str">
            <v>Available</v>
          </cell>
        </row>
        <row r="2898">
          <cell r="E2898">
            <v>10120034</v>
          </cell>
          <cell r="H2898">
            <v>2.59</v>
          </cell>
          <cell r="I2898">
            <v>94.33</v>
          </cell>
          <cell r="J2898">
            <v>0</v>
          </cell>
          <cell r="K2898">
            <v>0</v>
          </cell>
          <cell r="M2898">
            <v>0</v>
          </cell>
          <cell r="P2898">
            <v>94</v>
          </cell>
          <cell r="V2898" t="str">
            <v>Not Available</v>
          </cell>
        </row>
        <row r="2899">
          <cell r="E2899">
            <v>10120034</v>
          </cell>
          <cell r="H2899">
            <v>3.59</v>
          </cell>
          <cell r="I2899">
            <v>140.72999999999999</v>
          </cell>
          <cell r="J2899">
            <v>0</v>
          </cell>
          <cell r="K2899">
            <v>0</v>
          </cell>
          <cell r="M2899">
            <v>0</v>
          </cell>
          <cell r="P2899">
            <v>141</v>
          </cell>
          <cell r="V2899" t="str">
            <v>Not Available</v>
          </cell>
        </row>
        <row r="2900">
          <cell r="E2900">
            <v>10120034</v>
          </cell>
          <cell r="H2900">
            <v>100.71000000000001</v>
          </cell>
          <cell r="I2900">
            <v>3740.0399999999991</v>
          </cell>
          <cell r="J2900">
            <v>0</v>
          </cell>
          <cell r="K2900">
            <v>0</v>
          </cell>
          <cell r="M2900">
            <v>2717</v>
          </cell>
          <cell r="P2900">
            <v>1023</v>
          </cell>
          <cell r="V2900" t="str">
            <v>Not Available</v>
          </cell>
        </row>
        <row r="2901">
          <cell r="E2901">
            <v>10120043</v>
          </cell>
          <cell r="H2901">
            <v>144.55000000000001</v>
          </cell>
          <cell r="I2901">
            <v>8009.7999999999993</v>
          </cell>
          <cell r="J2901">
            <v>0</v>
          </cell>
          <cell r="K2901">
            <v>0</v>
          </cell>
          <cell r="M2901">
            <v>0</v>
          </cell>
          <cell r="P2901">
            <v>7510</v>
          </cell>
          <cell r="V2901" t="str">
            <v>Available</v>
          </cell>
        </row>
        <row r="2902">
          <cell r="E2902">
            <v>10120043</v>
          </cell>
          <cell r="H2902">
            <v>1</v>
          </cell>
          <cell r="I2902">
            <v>44.06</v>
          </cell>
          <cell r="J2902">
            <v>0</v>
          </cell>
          <cell r="K2902">
            <v>0</v>
          </cell>
          <cell r="M2902">
            <v>0</v>
          </cell>
          <cell r="P2902">
            <v>44</v>
          </cell>
          <cell r="V2902" t="str">
            <v>Not Available</v>
          </cell>
        </row>
        <row r="2903">
          <cell r="E2903">
            <v>10120043</v>
          </cell>
          <cell r="H2903">
            <v>1</v>
          </cell>
          <cell r="I2903">
            <v>44.2</v>
          </cell>
          <cell r="J2903">
            <v>0</v>
          </cell>
          <cell r="K2903">
            <v>0</v>
          </cell>
          <cell r="M2903">
            <v>0</v>
          </cell>
          <cell r="P2903">
            <v>44</v>
          </cell>
          <cell r="V2903" t="str">
            <v>Not Available</v>
          </cell>
        </row>
        <row r="2904">
          <cell r="E2904">
            <v>10120043</v>
          </cell>
          <cell r="H2904">
            <v>1.2</v>
          </cell>
          <cell r="I2904">
            <v>58.9</v>
          </cell>
          <cell r="J2904">
            <v>0</v>
          </cell>
          <cell r="K2904">
            <v>0</v>
          </cell>
          <cell r="M2904">
            <v>0</v>
          </cell>
          <cell r="P2904">
            <v>59</v>
          </cell>
          <cell r="V2904" t="str">
            <v>Not Available</v>
          </cell>
        </row>
        <row r="2905">
          <cell r="E2905">
            <v>10120043</v>
          </cell>
          <cell r="H2905">
            <v>2.2999999999999998</v>
          </cell>
          <cell r="I2905">
            <v>92.07</v>
          </cell>
          <cell r="J2905">
            <v>0</v>
          </cell>
          <cell r="K2905">
            <v>0</v>
          </cell>
          <cell r="M2905">
            <v>0</v>
          </cell>
          <cell r="P2905">
            <v>92</v>
          </cell>
          <cell r="V2905" t="str">
            <v>Not Available</v>
          </cell>
        </row>
        <row r="2906">
          <cell r="E2906">
            <v>10120043</v>
          </cell>
          <cell r="H2906">
            <v>1.5</v>
          </cell>
          <cell r="I2906">
            <v>73.62</v>
          </cell>
          <cell r="J2906">
            <v>0</v>
          </cell>
          <cell r="K2906">
            <v>0</v>
          </cell>
          <cell r="M2906">
            <v>0</v>
          </cell>
          <cell r="P2906">
            <v>74</v>
          </cell>
          <cell r="V2906" t="str">
            <v>Not Available</v>
          </cell>
        </row>
        <row r="2907">
          <cell r="E2907">
            <v>10120043</v>
          </cell>
          <cell r="H2907">
            <v>0.2</v>
          </cell>
          <cell r="I2907">
            <v>9.65</v>
          </cell>
          <cell r="J2907">
            <v>0</v>
          </cell>
          <cell r="K2907">
            <v>0</v>
          </cell>
          <cell r="M2907">
            <v>0</v>
          </cell>
          <cell r="P2907">
            <v>10</v>
          </cell>
          <cell r="V2907" t="str">
            <v>Not Available</v>
          </cell>
        </row>
        <row r="2908">
          <cell r="E2908">
            <v>10120046</v>
          </cell>
          <cell r="H2908">
            <v>19.819999999999997</v>
          </cell>
          <cell r="I2908">
            <v>787.74</v>
          </cell>
          <cell r="J2908">
            <v>0</v>
          </cell>
          <cell r="K2908">
            <v>787.74</v>
          </cell>
          <cell r="M2908">
            <v>0</v>
          </cell>
          <cell r="P2908">
            <v>0</v>
          </cell>
          <cell r="V2908" t="str">
            <v>Not Available</v>
          </cell>
        </row>
        <row r="2909">
          <cell r="E2909">
            <v>10120046</v>
          </cell>
          <cell r="H2909">
            <v>68.81</v>
          </cell>
          <cell r="I2909">
            <v>2688.59</v>
          </cell>
          <cell r="J2909">
            <v>0</v>
          </cell>
          <cell r="K2909">
            <v>0</v>
          </cell>
          <cell r="M2909">
            <v>0</v>
          </cell>
          <cell r="P2909">
            <v>2689</v>
          </cell>
          <cell r="V2909" t="str">
            <v>Available</v>
          </cell>
        </row>
        <row r="2910">
          <cell r="E2910">
            <v>10120046</v>
          </cell>
          <cell r="H2910">
            <v>399.20999999999992</v>
          </cell>
          <cell r="I2910">
            <v>16007.949999999999</v>
          </cell>
          <cell r="J2910">
            <v>0</v>
          </cell>
          <cell r="K2910">
            <v>0</v>
          </cell>
          <cell r="M2910">
            <v>0</v>
          </cell>
          <cell r="P2910">
            <v>16008</v>
          </cell>
          <cell r="V2910" t="str">
            <v>Available</v>
          </cell>
        </row>
        <row r="2911">
          <cell r="E2911">
            <v>10120046</v>
          </cell>
          <cell r="H2911">
            <v>79.45</v>
          </cell>
          <cell r="I2911">
            <v>3289.2099999999996</v>
          </cell>
          <cell r="J2911">
            <v>0</v>
          </cell>
          <cell r="K2911">
            <v>0</v>
          </cell>
          <cell r="M2911">
            <v>0</v>
          </cell>
          <cell r="P2911">
            <v>3289</v>
          </cell>
          <cell r="V2911" t="str">
            <v>Available</v>
          </cell>
        </row>
        <row r="2912">
          <cell r="E2912">
            <v>10120046</v>
          </cell>
          <cell r="H2912">
            <v>13.43</v>
          </cell>
          <cell r="I2912">
            <v>547.66000000000008</v>
          </cell>
          <cell r="J2912">
            <v>0</v>
          </cell>
          <cell r="K2912">
            <v>0</v>
          </cell>
          <cell r="M2912">
            <v>0</v>
          </cell>
          <cell r="P2912">
            <v>548</v>
          </cell>
          <cell r="V2912" t="str">
            <v>Available</v>
          </cell>
        </row>
        <row r="2913">
          <cell r="E2913">
            <v>10120046</v>
          </cell>
          <cell r="H2913">
            <v>33.82</v>
          </cell>
          <cell r="I2913">
            <v>1626.22</v>
          </cell>
          <cell r="J2913">
            <v>0</v>
          </cell>
          <cell r="K2913">
            <v>0</v>
          </cell>
          <cell r="M2913">
            <v>0</v>
          </cell>
          <cell r="P2913">
            <v>1626</v>
          </cell>
          <cell r="V2913" t="str">
            <v>Available</v>
          </cell>
        </row>
        <row r="2914">
          <cell r="E2914">
            <v>10120046</v>
          </cell>
          <cell r="H2914">
            <v>610.63</v>
          </cell>
          <cell r="I2914">
            <v>24370.93</v>
          </cell>
          <cell r="J2914">
            <v>0</v>
          </cell>
          <cell r="K2914">
            <v>0</v>
          </cell>
          <cell r="M2914">
            <v>0</v>
          </cell>
          <cell r="P2914">
            <v>24371</v>
          </cell>
          <cell r="V2914" t="str">
            <v>Available</v>
          </cell>
        </row>
        <row r="2915">
          <cell r="E2915">
            <v>10120046</v>
          </cell>
          <cell r="H2915">
            <v>14.75</v>
          </cell>
          <cell r="I2915">
            <v>647.16999999999996</v>
          </cell>
          <cell r="J2915">
            <v>0</v>
          </cell>
          <cell r="K2915">
            <v>0</v>
          </cell>
          <cell r="M2915">
            <v>0</v>
          </cell>
          <cell r="P2915">
            <v>647</v>
          </cell>
          <cell r="V2915" t="str">
            <v>Not Available</v>
          </cell>
        </row>
        <row r="2916">
          <cell r="E2916">
            <v>10120046</v>
          </cell>
          <cell r="H2916">
            <v>48.53</v>
          </cell>
          <cell r="I2916">
            <v>2098.2200000000003</v>
          </cell>
          <cell r="J2916">
            <v>0</v>
          </cell>
          <cell r="K2916">
            <v>0</v>
          </cell>
          <cell r="M2916">
            <v>0</v>
          </cell>
          <cell r="P2916">
            <v>2098</v>
          </cell>
          <cell r="V2916" t="str">
            <v>Not Available</v>
          </cell>
        </row>
        <row r="2917">
          <cell r="E2917">
            <v>10120046</v>
          </cell>
          <cell r="H2917">
            <v>45.8</v>
          </cell>
          <cell r="I2917">
            <v>1965.5500000000002</v>
          </cell>
          <cell r="J2917">
            <v>0</v>
          </cell>
          <cell r="K2917">
            <v>0</v>
          </cell>
          <cell r="M2917">
            <v>0</v>
          </cell>
          <cell r="P2917">
            <v>1966</v>
          </cell>
          <cell r="V2917" t="str">
            <v>Not Available</v>
          </cell>
        </row>
        <row r="2918">
          <cell r="E2918">
            <v>10120046</v>
          </cell>
          <cell r="H2918">
            <v>67.339999999999989</v>
          </cell>
          <cell r="I2918">
            <v>2793.83</v>
          </cell>
          <cell r="J2918">
            <v>0</v>
          </cell>
          <cell r="K2918">
            <v>0</v>
          </cell>
          <cell r="M2918">
            <v>0</v>
          </cell>
          <cell r="P2918">
            <v>2794</v>
          </cell>
          <cell r="V2918" t="str">
            <v>Not Available</v>
          </cell>
        </row>
        <row r="2919">
          <cell r="E2919">
            <v>10120046</v>
          </cell>
          <cell r="H2919">
            <v>53.059999999999995</v>
          </cell>
          <cell r="I2919">
            <v>2240.9899999999998</v>
          </cell>
          <cell r="J2919">
            <v>0</v>
          </cell>
          <cell r="K2919">
            <v>0</v>
          </cell>
          <cell r="M2919">
            <v>0</v>
          </cell>
          <cell r="P2919">
            <v>2241</v>
          </cell>
          <cell r="V2919" t="str">
            <v>Not Available</v>
          </cell>
        </row>
        <row r="2920">
          <cell r="E2920">
            <v>10120046</v>
          </cell>
          <cell r="H2920">
            <v>64.12</v>
          </cell>
          <cell r="I2920">
            <v>2712.77</v>
          </cell>
          <cell r="J2920">
            <v>0</v>
          </cell>
          <cell r="K2920">
            <v>0</v>
          </cell>
          <cell r="M2920">
            <v>0</v>
          </cell>
          <cell r="P2920">
            <v>2713</v>
          </cell>
          <cell r="V2920" t="str">
            <v>Not Available</v>
          </cell>
        </row>
        <row r="2921">
          <cell r="E2921">
            <v>10120046</v>
          </cell>
          <cell r="H2921">
            <v>58.019999999999996</v>
          </cell>
          <cell r="I2921">
            <v>2440.6000000000004</v>
          </cell>
          <cell r="J2921">
            <v>0</v>
          </cell>
          <cell r="K2921">
            <v>0</v>
          </cell>
          <cell r="M2921">
            <v>0</v>
          </cell>
          <cell r="P2921">
            <v>2441</v>
          </cell>
          <cell r="V2921" t="str">
            <v>Not Available</v>
          </cell>
        </row>
        <row r="2922">
          <cell r="E2922">
            <v>10120046</v>
          </cell>
          <cell r="H2922">
            <v>46.739999999999995</v>
          </cell>
          <cell r="I2922">
            <v>1924.1799999999998</v>
          </cell>
          <cell r="J2922">
            <v>0</v>
          </cell>
          <cell r="K2922">
            <v>0</v>
          </cell>
          <cell r="M2922">
            <v>0</v>
          </cell>
          <cell r="P2922">
            <v>1924</v>
          </cell>
          <cell r="V2922" t="str">
            <v>Not Available</v>
          </cell>
        </row>
        <row r="2923">
          <cell r="E2923">
            <v>10120046</v>
          </cell>
          <cell r="H2923">
            <v>40.39</v>
          </cell>
          <cell r="I2923">
            <v>1678.5</v>
          </cell>
          <cell r="J2923">
            <v>0</v>
          </cell>
          <cell r="K2923">
            <v>0</v>
          </cell>
          <cell r="M2923">
            <v>0</v>
          </cell>
          <cell r="P2923">
            <v>1679</v>
          </cell>
          <cell r="V2923" t="str">
            <v>Not Available</v>
          </cell>
        </row>
        <row r="2924">
          <cell r="E2924">
            <v>10120046</v>
          </cell>
          <cell r="H2924">
            <v>42.669999999999995</v>
          </cell>
          <cell r="I2924">
            <v>1733.9399999999998</v>
          </cell>
          <cell r="J2924">
            <v>0</v>
          </cell>
          <cell r="K2924">
            <v>0</v>
          </cell>
          <cell r="M2924">
            <v>0</v>
          </cell>
          <cell r="P2924">
            <v>1734</v>
          </cell>
          <cell r="V2924" t="str">
            <v>Not Available</v>
          </cell>
        </row>
        <row r="2925">
          <cell r="E2925">
            <v>10120046</v>
          </cell>
          <cell r="H2925">
            <v>53.86</v>
          </cell>
          <cell r="I2925">
            <v>2183.5200000000004</v>
          </cell>
          <cell r="J2925">
            <v>0</v>
          </cell>
          <cell r="K2925">
            <v>0</v>
          </cell>
          <cell r="M2925">
            <v>0</v>
          </cell>
          <cell r="P2925">
            <v>2184</v>
          </cell>
          <cell r="V2925" t="str">
            <v>Not Available</v>
          </cell>
        </row>
        <row r="2926">
          <cell r="E2926">
            <v>10120046</v>
          </cell>
          <cell r="H2926">
            <v>37.67</v>
          </cell>
          <cell r="I2926">
            <v>1507.29</v>
          </cell>
          <cell r="J2926">
            <v>0</v>
          </cell>
          <cell r="K2926">
            <v>0</v>
          </cell>
          <cell r="M2926">
            <v>0</v>
          </cell>
          <cell r="P2926">
            <v>1507</v>
          </cell>
          <cell r="V2926" t="str">
            <v>Not Available</v>
          </cell>
        </row>
        <row r="2927">
          <cell r="E2927">
            <v>10120046</v>
          </cell>
          <cell r="H2927">
            <v>40.72</v>
          </cell>
          <cell r="I2927">
            <v>1669.0299999999997</v>
          </cell>
          <cell r="J2927">
            <v>0</v>
          </cell>
          <cell r="K2927">
            <v>0</v>
          </cell>
          <cell r="M2927">
            <v>0</v>
          </cell>
          <cell r="P2927">
            <v>1669</v>
          </cell>
          <cell r="V2927" t="str">
            <v>Not Available</v>
          </cell>
        </row>
        <row r="2928">
          <cell r="E2928">
            <v>10120046</v>
          </cell>
          <cell r="H2928">
            <v>30.25</v>
          </cell>
          <cell r="I2928">
            <v>1220.5200000000002</v>
          </cell>
          <cell r="J2928">
            <v>0</v>
          </cell>
          <cell r="K2928">
            <v>0</v>
          </cell>
          <cell r="M2928">
            <v>0</v>
          </cell>
          <cell r="P2928">
            <v>1221</v>
          </cell>
          <cell r="V2928" t="str">
            <v>Not Available</v>
          </cell>
        </row>
        <row r="2929">
          <cell r="E2929">
            <v>10120046</v>
          </cell>
          <cell r="H2929">
            <v>10.57</v>
          </cell>
          <cell r="I2929">
            <v>458.17</v>
          </cell>
          <cell r="J2929">
            <v>0</v>
          </cell>
          <cell r="K2929">
            <v>0</v>
          </cell>
          <cell r="M2929">
            <v>0</v>
          </cell>
          <cell r="P2929">
            <v>458</v>
          </cell>
          <cell r="V2929" t="str">
            <v>Not Available</v>
          </cell>
        </row>
        <row r="2930">
          <cell r="E2930">
            <v>10120046</v>
          </cell>
          <cell r="H2930">
            <v>1.95</v>
          </cell>
          <cell r="I2930">
            <v>61.43</v>
          </cell>
          <cell r="J2930">
            <v>0</v>
          </cell>
          <cell r="K2930">
            <v>0</v>
          </cell>
          <cell r="M2930">
            <v>0</v>
          </cell>
          <cell r="P2930">
            <v>61</v>
          </cell>
          <cell r="V2930" t="str">
            <v>Not Available</v>
          </cell>
        </row>
        <row r="2931">
          <cell r="E2931">
            <v>10120046</v>
          </cell>
          <cell r="H2931">
            <v>1.67</v>
          </cell>
          <cell r="I2931">
            <v>75.680000000000007</v>
          </cell>
          <cell r="J2931">
            <v>0</v>
          </cell>
          <cell r="K2931">
            <v>0</v>
          </cell>
          <cell r="M2931">
            <v>0</v>
          </cell>
          <cell r="P2931">
            <v>76</v>
          </cell>
          <cell r="V2931" t="str">
            <v>Available</v>
          </cell>
        </row>
        <row r="2932">
          <cell r="E2932">
            <v>10120046</v>
          </cell>
          <cell r="H2932">
            <v>17.82</v>
          </cell>
          <cell r="I2932">
            <v>703.15000000000009</v>
          </cell>
          <cell r="J2932">
            <v>0</v>
          </cell>
          <cell r="K2932">
            <v>0</v>
          </cell>
          <cell r="M2932">
            <v>0</v>
          </cell>
          <cell r="P2932">
            <v>703</v>
          </cell>
          <cell r="V2932" t="str">
            <v>Available</v>
          </cell>
        </row>
        <row r="2933">
          <cell r="E2933">
            <v>10120046</v>
          </cell>
          <cell r="H2933">
            <v>22.43</v>
          </cell>
          <cell r="I2933">
            <v>1008.8100000000001</v>
          </cell>
          <cell r="J2933">
            <v>0</v>
          </cell>
          <cell r="K2933">
            <v>0</v>
          </cell>
          <cell r="M2933">
            <v>0</v>
          </cell>
          <cell r="P2933">
            <v>1009</v>
          </cell>
          <cell r="V2933" t="str">
            <v>Available</v>
          </cell>
        </row>
        <row r="2934">
          <cell r="E2934">
            <v>10120046</v>
          </cell>
          <cell r="H2934">
            <v>57.53</v>
          </cell>
          <cell r="I2934">
            <v>2370.4</v>
          </cell>
          <cell r="J2934">
            <v>0</v>
          </cell>
          <cell r="K2934">
            <v>0</v>
          </cell>
          <cell r="M2934">
            <v>0</v>
          </cell>
          <cell r="P2934">
            <v>2370</v>
          </cell>
          <cell r="V2934" t="str">
            <v>Available</v>
          </cell>
        </row>
        <row r="2935">
          <cell r="E2935">
            <v>10120046</v>
          </cell>
          <cell r="H2935">
            <v>22.94</v>
          </cell>
          <cell r="I2935">
            <v>994.17</v>
          </cell>
          <cell r="J2935">
            <v>0</v>
          </cell>
          <cell r="K2935">
            <v>0</v>
          </cell>
          <cell r="M2935">
            <v>0</v>
          </cell>
          <cell r="P2935">
            <v>994</v>
          </cell>
          <cell r="V2935" t="str">
            <v>Available</v>
          </cell>
        </row>
        <row r="2936">
          <cell r="E2936">
            <v>10120046</v>
          </cell>
          <cell r="H2936">
            <v>53.44</v>
          </cell>
          <cell r="I2936">
            <v>1909.6800000000003</v>
          </cell>
          <cell r="J2936">
            <v>0</v>
          </cell>
          <cell r="K2936">
            <v>0</v>
          </cell>
          <cell r="M2936">
            <v>0</v>
          </cell>
          <cell r="P2936">
            <v>1910</v>
          </cell>
          <cell r="V2936" t="str">
            <v>Available</v>
          </cell>
        </row>
        <row r="2937">
          <cell r="E2937">
            <v>10120046</v>
          </cell>
          <cell r="H2937">
            <v>100.17999999999999</v>
          </cell>
          <cell r="I2937">
            <v>3736.2899999999995</v>
          </cell>
          <cell r="J2937">
            <v>0</v>
          </cell>
          <cell r="K2937">
            <v>0</v>
          </cell>
          <cell r="M2937">
            <v>0</v>
          </cell>
          <cell r="P2937">
            <v>3736</v>
          </cell>
          <cell r="V2937" t="str">
            <v>Available</v>
          </cell>
        </row>
        <row r="2938">
          <cell r="E2938">
            <v>10120046</v>
          </cell>
          <cell r="H2938">
            <v>90.52</v>
          </cell>
          <cell r="I2938">
            <v>3340.42</v>
          </cell>
          <cell r="J2938">
            <v>0</v>
          </cell>
          <cell r="K2938">
            <v>0</v>
          </cell>
          <cell r="M2938">
            <v>0</v>
          </cell>
          <cell r="P2938">
            <v>3340</v>
          </cell>
          <cell r="V2938" t="str">
            <v>Available</v>
          </cell>
        </row>
        <row r="2939">
          <cell r="E2939">
            <v>10120046</v>
          </cell>
          <cell r="H2939">
            <v>10.26</v>
          </cell>
          <cell r="I2939">
            <v>418.23</v>
          </cell>
          <cell r="J2939">
            <v>0</v>
          </cell>
          <cell r="K2939">
            <v>0</v>
          </cell>
          <cell r="M2939">
            <v>0</v>
          </cell>
          <cell r="P2939">
            <v>418</v>
          </cell>
          <cell r="V2939" t="str">
            <v>Available</v>
          </cell>
        </row>
        <row r="2940">
          <cell r="E2940">
            <v>10120046</v>
          </cell>
          <cell r="H2940">
            <v>22.959999999999997</v>
          </cell>
          <cell r="I2940">
            <v>989.2399999999999</v>
          </cell>
          <cell r="J2940">
            <v>0</v>
          </cell>
          <cell r="K2940">
            <v>0</v>
          </cell>
          <cell r="M2940">
            <v>0</v>
          </cell>
          <cell r="P2940">
            <v>989</v>
          </cell>
          <cell r="V2940" t="str">
            <v>Available</v>
          </cell>
        </row>
        <row r="2941">
          <cell r="E2941">
            <v>10120046</v>
          </cell>
          <cell r="H2941">
            <v>37.56</v>
          </cell>
          <cell r="I2941">
            <v>1496.7200000000003</v>
          </cell>
          <cell r="J2941">
            <v>0</v>
          </cell>
          <cell r="K2941">
            <v>0</v>
          </cell>
          <cell r="M2941">
            <v>0</v>
          </cell>
          <cell r="P2941">
            <v>1497</v>
          </cell>
          <cell r="V2941" t="str">
            <v>Available</v>
          </cell>
        </row>
        <row r="2942">
          <cell r="E2942">
            <v>10120046</v>
          </cell>
          <cell r="H2942">
            <v>12.47</v>
          </cell>
          <cell r="I2942">
            <v>562.2299999999999</v>
          </cell>
          <cell r="J2942">
            <v>0</v>
          </cell>
          <cell r="K2942">
            <v>0</v>
          </cell>
          <cell r="M2942">
            <v>0</v>
          </cell>
          <cell r="P2942">
            <v>562</v>
          </cell>
          <cell r="V2942" t="str">
            <v>Available</v>
          </cell>
        </row>
        <row r="2943">
          <cell r="E2943">
            <v>10120051</v>
          </cell>
          <cell r="H2943">
            <v>53.63</v>
          </cell>
          <cell r="I2943">
            <v>2419.7299999999996</v>
          </cell>
          <cell r="J2943">
            <v>0</v>
          </cell>
          <cell r="K2943">
            <v>0</v>
          </cell>
          <cell r="M2943">
            <v>0</v>
          </cell>
          <cell r="P2943">
            <v>2420</v>
          </cell>
          <cell r="V2943" t="str">
            <v>Available</v>
          </cell>
        </row>
        <row r="2944">
          <cell r="E2944">
            <v>10120051</v>
          </cell>
          <cell r="H2944">
            <v>26.499999999999996</v>
          </cell>
          <cell r="I2944">
            <v>1084.06</v>
          </cell>
          <cell r="J2944">
            <v>0</v>
          </cell>
          <cell r="K2944">
            <v>0</v>
          </cell>
          <cell r="M2944">
            <v>0</v>
          </cell>
          <cell r="P2944">
            <v>1084</v>
          </cell>
          <cell r="V2944" t="str">
            <v>Available</v>
          </cell>
        </row>
        <row r="2945">
          <cell r="E2945">
            <v>10120051</v>
          </cell>
          <cell r="H2945">
            <v>28.29</v>
          </cell>
          <cell r="I2945">
            <v>1138.3599999999999</v>
          </cell>
          <cell r="J2945">
            <v>0</v>
          </cell>
          <cell r="K2945">
            <v>0</v>
          </cell>
          <cell r="M2945">
            <v>0</v>
          </cell>
          <cell r="P2945">
            <v>1138</v>
          </cell>
          <cell r="V2945" t="str">
            <v>Not Available</v>
          </cell>
        </row>
        <row r="2946">
          <cell r="E2946">
            <v>10120051</v>
          </cell>
          <cell r="H2946">
            <v>24.810000000000002</v>
          </cell>
          <cell r="I2946">
            <v>1009.0799999999999</v>
          </cell>
          <cell r="J2946">
            <v>0</v>
          </cell>
          <cell r="K2946">
            <v>0</v>
          </cell>
          <cell r="M2946">
            <v>0</v>
          </cell>
          <cell r="P2946">
            <v>1009</v>
          </cell>
          <cell r="V2946" t="str">
            <v>Not Available</v>
          </cell>
        </row>
        <row r="2947">
          <cell r="E2947">
            <v>10120051</v>
          </cell>
          <cell r="H2947">
            <v>27.939999999999998</v>
          </cell>
          <cell r="I2947">
            <v>1627.35</v>
          </cell>
          <cell r="J2947">
            <v>0</v>
          </cell>
          <cell r="K2947">
            <v>0</v>
          </cell>
          <cell r="M2947">
            <v>0</v>
          </cell>
          <cell r="P2947">
            <v>1627</v>
          </cell>
          <cell r="V2947" t="str">
            <v>Not Available</v>
          </cell>
        </row>
        <row r="2948">
          <cell r="E2948">
            <v>10120051</v>
          </cell>
          <cell r="H2948">
            <v>34.729999999999997</v>
          </cell>
          <cell r="I2948">
            <v>1661.8400000000001</v>
          </cell>
          <cell r="J2948">
            <v>0</v>
          </cell>
          <cell r="K2948">
            <v>0</v>
          </cell>
          <cell r="M2948">
            <v>0</v>
          </cell>
          <cell r="P2948">
            <v>1662</v>
          </cell>
          <cell r="V2948" t="str">
            <v>Not Available</v>
          </cell>
        </row>
        <row r="2949">
          <cell r="E2949">
            <v>10120051</v>
          </cell>
          <cell r="H2949">
            <v>38.629999999999995</v>
          </cell>
          <cell r="I2949">
            <v>1571.6000000000001</v>
          </cell>
          <cell r="J2949">
            <v>0</v>
          </cell>
          <cell r="K2949">
            <v>0</v>
          </cell>
          <cell r="M2949">
            <v>0</v>
          </cell>
          <cell r="P2949">
            <v>1572</v>
          </cell>
          <cell r="V2949" t="str">
            <v>Not Available</v>
          </cell>
        </row>
        <row r="2950">
          <cell r="E2950">
            <v>10120051</v>
          </cell>
          <cell r="H2950">
            <v>17.670000000000002</v>
          </cell>
          <cell r="I2950">
            <v>742.26999999999987</v>
          </cell>
          <cell r="J2950">
            <v>0</v>
          </cell>
          <cell r="K2950">
            <v>0</v>
          </cell>
          <cell r="M2950">
            <v>0</v>
          </cell>
          <cell r="P2950">
            <v>742</v>
          </cell>
          <cell r="V2950" t="str">
            <v>Not Available</v>
          </cell>
        </row>
        <row r="2951">
          <cell r="E2951">
            <v>10120051</v>
          </cell>
          <cell r="H2951">
            <v>23.520000000000003</v>
          </cell>
          <cell r="I2951">
            <v>1156.52</v>
          </cell>
          <cell r="J2951">
            <v>0</v>
          </cell>
          <cell r="K2951">
            <v>0</v>
          </cell>
          <cell r="M2951">
            <v>0</v>
          </cell>
          <cell r="P2951">
            <v>1157</v>
          </cell>
          <cell r="V2951" t="str">
            <v>Not Available</v>
          </cell>
        </row>
        <row r="2952">
          <cell r="E2952">
            <v>10120051</v>
          </cell>
          <cell r="H2952">
            <v>5.41</v>
          </cell>
          <cell r="I2952">
            <v>253.31</v>
          </cell>
          <cell r="J2952">
            <v>0</v>
          </cell>
          <cell r="K2952">
            <v>0</v>
          </cell>
          <cell r="M2952">
            <v>0</v>
          </cell>
          <cell r="P2952">
            <v>253</v>
          </cell>
          <cell r="V2952" t="str">
            <v>Not Available</v>
          </cell>
        </row>
        <row r="2953">
          <cell r="E2953">
            <v>10120051</v>
          </cell>
          <cell r="H2953">
            <v>12.54</v>
          </cell>
          <cell r="I2953">
            <v>470.75</v>
          </cell>
          <cell r="J2953">
            <v>0</v>
          </cell>
          <cell r="K2953">
            <v>0</v>
          </cell>
          <cell r="M2953">
            <v>0</v>
          </cell>
          <cell r="P2953">
            <v>471</v>
          </cell>
          <cell r="V2953" t="str">
            <v>Not Available</v>
          </cell>
        </row>
        <row r="2954">
          <cell r="E2954">
            <v>10120052</v>
          </cell>
          <cell r="H2954">
            <v>494.71999999999991</v>
          </cell>
          <cell r="I2954">
            <v>20132.629999999997</v>
          </cell>
          <cell r="J2954">
            <v>0</v>
          </cell>
          <cell r="K2954">
            <v>0</v>
          </cell>
          <cell r="M2954">
            <v>2800</v>
          </cell>
          <cell r="P2954">
            <v>17333</v>
          </cell>
          <cell r="V2954" t="str">
            <v>Available</v>
          </cell>
        </row>
        <row r="2955">
          <cell r="E2955">
            <v>10120052</v>
          </cell>
          <cell r="H2955">
            <v>390.66999999999996</v>
          </cell>
          <cell r="I2955">
            <v>16231.939999999999</v>
          </cell>
          <cell r="J2955">
            <v>0</v>
          </cell>
          <cell r="K2955">
            <v>0</v>
          </cell>
          <cell r="M2955">
            <v>0</v>
          </cell>
          <cell r="P2955">
            <v>16232</v>
          </cell>
          <cell r="V2955" t="str">
            <v>Available</v>
          </cell>
        </row>
        <row r="2956">
          <cell r="E2956">
            <v>10120052</v>
          </cell>
          <cell r="H2956">
            <v>7.32</v>
          </cell>
          <cell r="I2956">
            <v>442.06</v>
          </cell>
          <cell r="J2956">
            <v>0</v>
          </cell>
          <cell r="K2956">
            <v>0</v>
          </cell>
          <cell r="M2956">
            <v>0</v>
          </cell>
          <cell r="P2956">
            <v>442</v>
          </cell>
          <cell r="V2956" t="str">
            <v>Available</v>
          </cell>
        </row>
        <row r="2957">
          <cell r="E2957">
            <v>10120052</v>
          </cell>
          <cell r="H2957">
            <v>282.78999999999996</v>
          </cell>
          <cell r="I2957">
            <v>11337.199999999999</v>
          </cell>
          <cell r="J2957">
            <v>0</v>
          </cell>
          <cell r="K2957">
            <v>0</v>
          </cell>
          <cell r="M2957">
            <v>0</v>
          </cell>
          <cell r="P2957">
            <v>11337</v>
          </cell>
          <cell r="V2957" t="str">
            <v>Not Available</v>
          </cell>
        </row>
        <row r="2958">
          <cell r="E2958">
            <v>10120052</v>
          </cell>
          <cell r="H2958">
            <v>81.929999999999993</v>
          </cell>
          <cell r="I2958">
            <v>3395.28</v>
          </cell>
          <cell r="J2958">
            <v>0</v>
          </cell>
          <cell r="K2958">
            <v>0</v>
          </cell>
          <cell r="M2958">
            <v>0</v>
          </cell>
          <cell r="P2958">
            <v>3395</v>
          </cell>
          <cell r="V2958" t="str">
            <v>Not Available</v>
          </cell>
        </row>
        <row r="2959">
          <cell r="E2959">
            <v>10120052</v>
          </cell>
          <cell r="H2959">
            <v>0.1</v>
          </cell>
          <cell r="I2959">
            <v>2.69</v>
          </cell>
          <cell r="J2959">
            <v>0</v>
          </cell>
          <cell r="K2959">
            <v>0</v>
          </cell>
          <cell r="M2959">
            <v>0</v>
          </cell>
          <cell r="P2959">
            <v>3</v>
          </cell>
          <cell r="V2959" t="str">
            <v>Not Available</v>
          </cell>
        </row>
        <row r="2960">
          <cell r="E2960">
            <v>10120052</v>
          </cell>
          <cell r="H2960">
            <v>0.1</v>
          </cell>
          <cell r="I2960">
            <v>2.69</v>
          </cell>
          <cell r="J2960">
            <v>0</v>
          </cell>
          <cell r="K2960">
            <v>0</v>
          </cell>
          <cell r="M2960">
            <v>0</v>
          </cell>
          <cell r="P2960">
            <v>3</v>
          </cell>
          <cell r="V2960" t="str">
            <v>Not Available</v>
          </cell>
        </row>
        <row r="2961">
          <cell r="E2961">
            <v>10120052</v>
          </cell>
          <cell r="H2961">
            <v>0.1</v>
          </cell>
          <cell r="I2961">
            <v>2.69</v>
          </cell>
          <cell r="J2961">
            <v>0</v>
          </cell>
          <cell r="K2961">
            <v>0</v>
          </cell>
          <cell r="M2961">
            <v>0</v>
          </cell>
          <cell r="P2961">
            <v>3</v>
          </cell>
          <cell r="V2961" t="str">
            <v>Not Available</v>
          </cell>
        </row>
        <row r="2962">
          <cell r="E2962">
            <v>10120052</v>
          </cell>
          <cell r="H2962">
            <v>0.1</v>
          </cell>
          <cell r="I2962">
            <v>2.69</v>
          </cell>
          <cell r="J2962">
            <v>0</v>
          </cell>
          <cell r="K2962">
            <v>0</v>
          </cell>
          <cell r="M2962">
            <v>0</v>
          </cell>
          <cell r="P2962">
            <v>3</v>
          </cell>
          <cell r="V2962" t="str">
            <v>Not Available</v>
          </cell>
        </row>
        <row r="2963">
          <cell r="E2963">
            <v>10120052</v>
          </cell>
          <cell r="H2963">
            <v>0.1</v>
          </cell>
          <cell r="I2963">
            <v>2.69</v>
          </cell>
          <cell r="J2963">
            <v>0</v>
          </cell>
          <cell r="K2963">
            <v>0</v>
          </cell>
          <cell r="M2963">
            <v>0</v>
          </cell>
          <cell r="P2963">
            <v>3</v>
          </cell>
          <cell r="V2963" t="str">
            <v>Not Available</v>
          </cell>
        </row>
        <row r="2964">
          <cell r="E2964">
            <v>10120052</v>
          </cell>
          <cell r="H2964">
            <v>0.1</v>
          </cell>
          <cell r="I2964">
            <v>2.69</v>
          </cell>
          <cell r="J2964">
            <v>0</v>
          </cell>
          <cell r="K2964">
            <v>0</v>
          </cell>
          <cell r="M2964">
            <v>0</v>
          </cell>
          <cell r="P2964">
            <v>3</v>
          </cell>
          <cell r="V2964" t="str">
            <v>Not Available</v>
          </cell>
        </row>
        <row r="2965">
          <cell r="E2965">
            <v>10120052</v>
          </cell>
          <cell r="H2965">
            <v>0.1</v>
          </cell>
          <cell r="I2965">
            <v>2.69</v>
          </cell>
          <cell r="J2965">
            <v>0</v>
          </cell>
          <cell r="K2965">
            <v>0</v>
          </cell>
          <cell r="M2965">
            <v>0</v>
          </cell>
          <cell r="P2965">
            <v>3</v>
          </cell>
          <cell r="V2965" t="str">
            <v>Not Available</v>
          </cell>
        </row>
        <row r="2966">
          <cell r="E2966">
            <v>10120052</v>
          </cell>
          <cell r="H2966">
            <v>0.1</v>
          </cell>
          <cell r="I2966">
            <v>2.69</v>
          </cell>
          <cell r="J2966">
            <v>0</v>
          </cell>
          <cell r="K2966">
            <v>0</v>
          </cell>
          <cell r="M2966">
            <v>0</v>
          </cell>
          <cell r="P2966">
            <v>3</v>
          </cell>
          <cell r="V2966" t="str">
            <v>Not Available</v>
          </cell>
        </row>
        <row r="2967">
          <cell r="E2967">
            <v>10120052</v>
          </cell>
          <cell r="H2967">
            <v>0.1</v>
          </cell>
          <cell r="I2967">
            <v>2.69</v>
          </cell>
          <cell r="J2967">
            <v>0</v>
          </cell>
          <cell r="K2967">
            <v>0</v>
          </cell>
          <cell r="M2967">
            <v>0</v>
          </cell>
          <cell r="P2967">
            <v>3</v>
          </cell>
          <cell r="V2967" t="str">
            <v>Not Available</v>
          </cell>
        </row>
        <row r="2968">
          <cell r="E2968">
            <v>10120052</v>
          </cell>
          <cell r="H2968">
            <v>0.1</v>
          </cell>
          <cell r="I2968">
            <v>2.71</v>
          </cell>
          <cell r="J2968">
            <v>0</v>
          </cell>
          <cell r="K2968">
            <v>0</v>
          </cell>
          <cell r="M2968">
            <v>0</v>
          </cell>
          <cell r="P2968">
            <v>3</v>
          </cell>
          <cell r="V2968" t="str">
            <v>Not Available</v>
          </cell>
        </row>
        <row r="2969">
          <cell r="E2969">
            <v>10120052</v>
          </cell>
          <cell r="H2969">
            <v>0.1</v>
          </cell>
          <cell r="I2969">
            <v>2.71</v>
          </cell>
          <cell r="J2969">
            <v>0</v>
          </cell>
          <cell r="K2969">
            <v>0</v>
          </cell>
          <cell r="M2969">
            <v>0</v>
          </cell>
          <cell r="P2969">
            <v>3</v>
          </cell>
          <cell r="V2969" t="str">
            <v>Not Available</v>
          </cell>
        </row>
        <row r="2970">
          <cell r="E2970">
            <v>10120052</v>
          </cell>
          <cell r="H2970">
            <v>0.2</v>
          </cell>
          <cell r="I2970">
            <v>6.21</v>
          </cell>
          <cell r="J2970">
            <v>0</v>
          </cell>
          <cell r="K2970">
            <v>0</v>
          </cell>
          <cell r="M2970">
            <v>0</v>
          </cell>
          <cell r="P2970">
            <v>6</v>
          </cell>
          <cell r="V2970" t="str">
            <v>Not Available</v>
          </cell>
        </row>
        <row r="2971">
          <cell r="E2971">
            <v>10120052</v>
          </cell>
          <cell r="H2971">
            <v>0.2</v>
          </cell>
          <cell r="I2971">
            <v>6.95</v>
          </cell>
          <cell r="J2971">
            <v>0</v>
          </cell>
          <cell r="K2971">
            <v>0</v>
          </cell>
          <cell r="M2971">
            <v>0</v>
          </cell>
          <cell r="P2971">
            <v>7</v>
          </cell>
          <cell r="V2971" t="str">
            <v>Not Available</v>
          </cell>
        </row>
        <row r="2972">
          <cell r="E2972">
            <v>10120052</v>
          </cell>
          <cell r="H2972">
            <v>0.2</v>
          </cell>
          <cell r="I2972">
            <v>6.95</v>
          </cell>
          <cell r="J2972">
            <v>0</v>
          </cell>
          <cell r="K2972">
            <v>0</v>
          </cell>
          <cell r="M2972">
            <v>0</v>
          </cell>
          <cell r="P2972">
            <v>7</v>
          </cell>
          <cell r="V2972" t="str">
            <v>Not Available</v>
          </cell>
        </row>
        <row r="2973">
          <cell r="E2973">
            <v>10120052</v>
          </cell>
          <cell r="H2973">
            <v>0.2</v>
          </cell>
          <cell r="I2973">
            <v>6.95</v>
          </cell>
          <cell r="J2973">
            <v>0</v>
          </cell>
          <cell r="K2973">
            <v>0</v>
          </cell>
          <cell r="M2973">
            <v>0</v>
          </cell>
          <cell r="P2973">
            <v>7</v>
          </cell>
          <cell r="V2973" t="str">
            <v>Not Available</v>
          </cell>
        </row>
        <row r="2974">
          <cell r="E2974">
            <v>10120052</v>
          </cell>
          <cell r="H2974">
            <v>0.1</v>
          </cell>
          <cell r="I2974">
            <v>3.1</v>
          </cell>
          <cell r="J2974">
            <v>0</v>
          </cell>
          <cell r="K2974">
            <v>0</v>
          </cell>
          <cell r="M2974">
            <v>0</v>
          </cell>
          <cell r="P2974">
            <v>3</v>
          </cell>
          <cell r="V2974" t="str">
            <v>Not Available</v>
          </cell>
        </row>
        <row r="2975">
          <cell r="E2975">
            <v>10120052</v>
          </cell>
          <cell r="H2975">
            <v>0.1</v>
          </cell>
          <cell r="I2975">
            <v>3.1</v>
          </cell>
          <cell r="J2975">
            <v>0</v>
          </cell>
          <cell r="K2975">
            <v>0</v>
          </cell>
          <cell r="M2975">
            <v>0</v>
          </cell>
          <cell r="P2975">
            <v>3</v>
          </cell>
          <cell r="V2975" t="str">
            <v>Not Available</v>
          </cell>
        </row>
        <row r="2976">
          <cell r="E2976">
            <v>10120052</v>
          </cell>
          <cell r="H2976">
            <v>0.1</v>
          </cell>
          <cell r="I2976">
            <v>3.27</v>
          </cell>
          <cell r="J2976">
            <v>0</v>
          </cell>
          <cell r="K2976">
            <v>0</v>
          </cell>
          <cell r="M2976">
            <v>0</v>
          </cell>
          <cell r="P2976">
            <v>3</v>
          </cell>
          <cell r="V2976" t="str">
            <v>Not Available</v>
          </cell>
        </row>
        <row r="2977">
          <cell r="E2977">
            <v>10120052</v>
          </cell>
          <cell r="H2977">
            <v>0.1</v>
          </cell>
          <cell r="I2977">
            <v>2.69</v>
          </cell>
          <cell r="J2977">
            <v>0</v>
          </cell>
          <cell r="K2977">
            <v>0</v>
          </cell>
          <cell r="M2977">
            <v>0</v>
          </cell>
          <cell r="P2977">
            <v>3</v>
          </cell>
          <cell r="V2977" t="str">
            <v>Not Available</v>
          </cell>
        </row>
        <row r="2978">
          <cell r="E2978">
            <v>10120052</v>
          </cell>
          <cell r="H2978">
            <v>0.1</v>
          </cell>
          <cell r="I2978">
            <v>3.27</v>
          </cell>
          <cell r="J2978">
            <v>0</v>
          </cell>
          <cell r="K2978">
            <v>0</v>
          </cell>
          <cell r="M2978">
            <v>0</v>
          </cell>
          <cell r="P2978">
            <v>3</v>
          </cell>
          <cell r="V2978" t="str">
            <v>Not Available</v>
          </cell>
        </row>
        <row r="2979">
          <cell r="E2979">
            <v>10120052</v>
          </cell>
          <cell r="H2979">
            <v>0.1</v>
          </cell>
          <cell r="I2979">
            <v>3.31</v>
          </cell>
          <cell r="J2979">
            <v>0</v>
          </cell>
          <cell r="K2979">
            <v>0</v>
          </cell>
          <cell r="M2979">
            <v>0</v>
          </cell>
          <cell r="P2979">
            <v>3</v>
          </cell>
          <cell r="V2979" t="str">
            <v>Not Available</v>
          </cell>
        </row>
        <row r="2980">
          <cell r="E2980">
            <v>10120052</v>
          </cell>
          <cell r="H2980">
            <v>0.1</v>
          </cell>
          <cell r="I2980">
            <v>3.1</v>
          </cell>
          <cell r="J2980">
            <v>0</v>
          </cell>
          <cell r="K2980">
            <v>0</v>
          </cell>
          <cell r="M2980">
            <v>0</v>
          </cell>
          <cell r="P2980">
            <v>3</v>
          </cell>
          <cell r="V2980" t="str">
            <v>Not Available</v>
          </cell>
        </row>
        <row r="2981">
          <cell r="E2981">
            <v>10120052</v>
          </cell>
          <cell r="H2981">
            <v>0.1</v>
          </cell>
          <cell r="I2981">
            <v>3.48</v>
          </cell>
          <cell r="J2981">
            <v>0</v>
          </cell>
          <cell r="K2981">
            <v>0</v>
          </cell>
          <cell r="M2981">
            <v>0</v>
          </cell>
          <cell r="P2981">
            <v>3</v>
          </cell>
          <cell r="V2981" t="str">
            <v>Not Available</v>
          </cell>
        </row>
        <row r="2982">
          <cell r="E2982">
            <v>10120052</v>
          </cell>
          <cell r="H2982">
            <v>0.1</v>
          </cell>
          <cell r="I2982">
            <v>3.31</v>
          </cell>
          <cell r="J2982">
            <v>0</v>
          </cell>
          <cell r="K2982">
            <v>0</v>
          </cell>
          <cell r="M2982">
            <v>0</v>
          </cell>
          <cell r="P2982">
            <v>3</v>
          </cell>
          <cell r="V2982" t="str">
            <v>Not Available</v>
          </cell>
        </row>
        <row r="2983">
          <cell r="E2983">
            <v>10120052</v>
          </cell>
          <cell r="H2983">
            <v>0.1</v>
          </cell>
          <cell r="I2983">
            <v>3.1</v>
          </cell>
          <cell r="J2983">
            <v>0</v>
          </cell>
          <cell r="K2983">
            <v>0</v>
          </cell>
          <cell r="M2983">
            <v>0</v>
          </cell>
          <cell r="P2983">
            <v>3</v>
          </cell>
          <cell r="V2983" t="str">
            <v>Not Available</v>
          </cell>
        </row>
        <row r="2984">
          <cell r="E2984">
            <v>10120052</v>
          </cell>
          <cell r="H2984">
            <v>0.1</v>
          </cell>
          <cell r="I2984">
            <v>3.1</v>
          </cell>
          <cell r="J2984">
            <v>0</v>
          </cell>
          <cell r="K2984">
            <v>0</v>
          </cell>
          <cell r="M2984">
            <v>0</v>
          </cell>
          <cell r="P2984">
            <v>3</v>
          </cell>
          <cell r="V2984" t="str">
            <v>Not Available</v>
          </cell>
        </row>
        <row r="2985">
          <cell r="E2985">
            <v>10120052</v>
          </cell>
          <cell r="H2985">
            <v>0.1</v>
          </cell>
          <cell r="I2985">
            <v>2.69</v>
          </cell>
          <cell r="J2985">
            <v>0</v>
          </cell>
          <cell r="K2985">
            <v>0</v>
          </cell>
          <cell r="M2985">
            <v>0</v>
          </cell>
          <cell r="P2985">
            <v>3</v>
          </cell>
          <cell r="V2985" t="str">
            <v>Not Available</v>
          </cell>
        </row>
        <row r="2986">
          <cell r="E2986">
            <v>10120052</v>
          </cell>
          <cell r="H2986">
            <v>0.1</v>
          </cell>
          <cell r="I2986">
            <v>3.14</v>
          </cell>
          <cell r="J2986">
            <v>0</v>
          </cell>
          <cell r="K2986">
            <v>0</v>
          </cell>
          <cell r="M2986">
            <v>0</v>
          </cell>
          <cell r="P2986">
            <v>3</v>
          </cell>
          <cell r="V2986" t="str">
            <v>Not Available</v>
          </cell>
        </row>
        <row r="2987">
          <cell r="E2987">
            <v>10120052</v>
          </cell>
          <cell r="H2987">
            <v>0.1</v>
          </cell>
          <cell r="I2987">
            <v>3.31</v>
          </cell>
          <cell r="J2987">
            <v>0</v>
          </cell>
          <cell r="K2987">
            <v>0</v>
          </cell>
          <cell r="M2987">
            <v>0</v>
          </cell>
          <cell r="P2987">
            <v>3</v>
          </cell>
          <cell r="V2987" t="str">
            <v>Not Available</v>
          </cell>
        </row>
        <row r="2988">
          <cell r="E2988">
            <v>10120052</v>
          </cell>
          <cell r="H2988">
            <v>0.1</v>
          </cell>
          <cell r="I2988">
            <v>2.71</v>
          </cell>
          <cell r="J2988">
            <v>0</v>
          </cell>
          <cell r="K2988">
            <v>0</v>
          </cell>
          <cell r="M2988">
            <v>0</v>
          </cell>
          <cell r="P2988">
            <v>3</v>
          </cell>
          <cell r="V2988" t="str">
            <v>Not Available</v>
          </cell>
        </row>
        <row r="2989">
          <cell r="E2989">
            <v>10120053</v>
          </cell>
          <cell r="H2989">
            <v>38.009999999999991</v>
          </cell>
          <cell r="I2989">
            <v>1348.79</v>
          </cell>
          <cell r="J2989">
            <v>0</v>
          </cell>
          <cell r="K2989">
            <v>0</v>
          </cell>
          <cell r="M2989">
            <v>0</v>
          </cell>
          <cell r="P2989">
            <v>1349</v>
          </cell>
          <cell r="V2989" t="str">
            <v>Available</v>
          </cell>
        </row>
        <row r="2990">
          <cell r="E2990">
            <v>10120053</v>
          </cell>
          <cell r="H2990">
            <v>55.420000000000016</v>
          </cell>
          <cell r="I2990">
            <v>2145.29</v>
          </cell>
          <cell r="J2990">
            <v>0</v>
          </cell>
          <cell r="K2990">
            <v>0</v>
          </cell>
          <cell r="M2990">
            <v>0</v>
          </cell>
          <cell r="P2990">
            <v>2145</v>
          </cell>
          <cell r="V2990" t="str">
            <v>Available</v>
          </cell>
        </row>
        <row r="2991">
          <cell r="E2991">
            <v>10120053</v>
          </cell>
          <cell r="H2991">
            <v>23.42</v>
          </cell>
          <cell r="I2991">
            <v>821.92</v>
          </cell>
          <cell r="J2991">
            <v>0</v>
          </cell>
          <cell r="K2991">
            <v>0</v>
          </cell>
          <cell r="M2991">
            <v>0</v>
          </cell>
          <cell r="P2991">
            <v>822</v>
          </cell>
          <cell r="V2991" t="str">
            <v>Available</v>
          </cell>
        </row>
        <row r="2992">
          <cell r="E2992">
            <v>10120053</v>
          </cell>
          <cell r="H2992">
            <v>2.0099999999999998</v>
          </cell>
          <cell r="I2992">
            <v>91.09</v>
          </cell>
          <cell r="J2992">
            <v>0</v>
          </cell>
          <cell r="K2992">
            <v>0</v>
          </cell>
          <cell r="M2992">
            <v>0</v>
          </cell>
          <cell r="P2992">
            <v>91</v>
          </cell>
          <cell r="V2992" t="str">
            <v>Available</v>
          </cell>
        </row>
        <row r="2993">
          <cell r="E2993">
            <v>10120053</v>
          </cell>
          <cell r="H2993">
            <v>16.279999999999998</v>
          </cell>
          <cell r="I2993">
            <v>925.14</v>
          </cell>
          <cell r="J2993">
            <v>0</v>
          </cell>
          <cell r="K2993">
            <v>0</v>
          </cell>
          <cell r="M2993">
            <v>0</v>
          </cell>
          <cell r="P2993">
            <v>925</v>
          </cell>
          <cell r="V2993" t="str">
            <v>Available</v>
          </cell>
        </row>
        <row r="2994">
          <cell r="E2994">
            <v>10120053</v>
          </cell>
          <cell r="H2994">
            <v>8.8400000000000016</v>
          </cell>
          <cell r="I2994">
            <v>288.47000000000003</v>
          </cell>
          <cell r="J2994">
            <v>0</v>
          </cell>
          <cell r="K2994">
            <v>0</v>
          </cell>
          <cell r="M2994">
            <v>0</v>
          </cell>
          <cell r="P2994">
            <v>288</v>
          </cell>
          <cell r="V2994" t="str">
            <v>Available</v>
          </cell>
        </row>
        <row r="2995">
          <cell r="E2995">
            <v>10120071</v>
          </cell>
          <cell r="H2995">
            <v>56.75</v>
          </cell>
          <cell r="I2995">
            <v>2180.9899999999998</v>
          </cell>
          <cell r="J2995">
            <v>0</v>
          </cell>
          <cell r="K2995">
            <v>0</v>
          </cell>
          <cell r="M2995">
            <v>0</v>
          </cell>
          <cell r="P2995">
            <v>2181</v>
          </cell>
          <cell r="V2995" t="str">
            <v>Available</v>
          </cell>
        </row>
        <row r="2996">
          <cell r="E2996">
            <v>10120071</v>
          </cell>
          <cell r="H2996">
            <v>88.4</v>
          </cell>
          <cell r="I2996">
            <v>3523.0099999999993</v>
          </cell>
          <cell r="J2996">
            <v>0</v>
          </cell>
          <cell r="K2996">
            <v>0</v>
          </cell>
          <cell r="M2996">
            <v>0</v>
          </cell>
          <cell r="P2996">
            <v>3523</v>
          </cell>
          <cell r="V2996" t="str">
            <v>Not Available</v>
          </cell>
        </row>
        <row r="2997">
          <cell r="E2997">
            <v>10120071</v>
          </cell>
          <cell r="H2997">
            <v>69.16</v>
          </cell>
          <cell r="I2997">
            <v>2807.5</v>
          </cell>
          <cell r="J2997">
            <v>0</v>
          </cell>
          <cell r="K2997">
            <v>0</v>
          </cell>
          <cell r="M2997">
            <v>0</v>
          </cell>
          <cell r="P2997">
            <v>2808</v>
          </cell>
          <cell r="V2997" t="str">
            <v>Not Available</v>
          </cell>
        </row>
        <row r="2998">
          <cell r="E2998">
            <v>10120071</v>
          </cell>
          <cell r="H2998">
            <v>64.349999999999994</v>
          </cell>
          <cell r="I2998">
            <v>2466.4300000000003</v>
          </cell>
          <cell r="J2998">
            <v>0</v>
          </cell>
          <cell r="K2998">
            <v>0</v>
          </cell>
          <cell r="M2998">
            <v>0</v>
          </cell>
          <cell r="P2998">
            <v>2466</v>
          </cell>
          <cell r="V2998" t="str">
            <v>Not Available</v>
          </cell>
        </row>
        <row r="2999">
          <cell r="E2999">
            <v>10120071</v>
          </cell>
          <cell r="H2999">
            <v>72.349999999999994</v>
          </cell>
          <cell r="I2999">
            <v>2759.1799999999994</v>
          </cell>
          <cell r="J2999">
            <v>0</v>
          </cell>
          <cell r="K2999">
            <v>0</v>
          </cell>
          <cell r="M2999">
            <v>0</v>
          </cell>
          <cell r="P2999">
            <v>2759</v>
          </cell>
          <cell r="V2999" t="str">
            <v>Not Available</v>
          </cell>
        </row>
        <row r="3000">
          <cell r="E3000">
            <v>10120071</v>
          </cell>
          <cell r="H3000">
            <v>105.14</v>
          </cell>
          <cell r="I3000">
            <v>4084.7099999999996</v>
          </cell>
          <cell r="J3000">
            <v>0</v>
          </cell>
          <cell r="K3000">
            <v>0</v>
          </cell>
          <cell r="M3000">
            <v>0</v>
          </cell>
          <cell r="P3000">
            <v>4085</v>
          </cell>
          <cell r="V3000" t="str">
            <v>Not Available</v>
          </cell>
        </row>
        <row r="3001">
          <cell r="E3001">
            <v>10120071</v>
          </cell>
          <cell r="H3001">
            <v>63.580000000000005</v>
          </cell>
          <cell r="I3001">
            <v>2471.3000000000002</v>
          </cell>
          <cell r="J3001">
            <v>0</v>
          </cell>
          <cell r="K3001">
            <v>0</v>
          </cell>
          <cell r="M3001">
            <v>0</v>
          </cell>
          <cell r="P3001">
            <v>2471</v>
          </cell>
          <cell r="V3001" t="str">
            <v>Not Available</v>
          </cell>
        </row>
        <row r="3002">
          <cell r="E3002">
            <v>10120071</v>
          </cell>
          <cell r="H3002">
            <v>97.539999999999992</v>
          </cell>
          <cell r="I3002">
            <v>3589.96</v>
          </cell>
          <cell r="J3002">
            <v>0</v>
          </cell>
          <cell r="K3002">
            <v>0</v>
          </cell>
          <cell r="M3002">
            <v>0</v>
          </cell>
          <cell r="P3002">
            <v>3590</v>
          </cell>
          <cell r="V3002" t="str">
            <v>Not Available</v>
          </cell>
        </row>
        <row r="3003">
          <cell r="E3003">
            <v>10120071</v>
          </cell>
          <cell r="H3003">
            <v>65.19</v>
          </cell>
          <cell r="I3003">
            <v>2520.65</v>
          </cell>
          <cell r="J3003">
            <v>0</v>
          </cell>
          <cell r="K3003">
            <v>0</v>
          </cell>
          <cell r="M3003">
            <v>0</v>
          </cell>
          <cell r="P3003">
            <v>2521</v>
          </cell>
          <cell r="V3003" t="str">
            <v>Not Available</v>
          </cell>
        </row>
        <row r="3004">
          <cell r="E3004">
            <v>10120071</v>
          </cell>
          <cell r="H3004">
            <v>124.77</v>
          </cell>
          <cell r="I3004">
            <v>4779.4799999999996</v>
          </cell>
          <cell r="J3004">
            <v>0</v>
          </cell>
          <cell r="K3004">
            <v>0</v>
          </cell>
          <cell r="M3004">
            <v>0</v>
          </cell>
          <cell r="P3004">
            <v>4779</v>
          </cell>
          <cell r="V3004" t="str">
            <v>Not Available</v>
          </cell>
        </row>
        <row r="3005">
          <cell r="E3005">
            <v>10120071</v>
          </cell>
          <cell r="H3005">
            <v>91.460000000000008</v>
          </cell>
          <cell r="I3005">
            <v>3448.6400000000003</v>
          </cell>
          <cell r="J3005">
            <v>0</v>
          </cell>
          <cell r="K3005">
            <v>0</v>
          </cell>
          <cell r="M3005">
            <v>0</v>
          </cell>
          <cell r="P3005">
            <v>3449</v>
          </cell>
          <cell r="V3005" t="str">
            <v>Not Available</v>
          </cell>
        </row>
        <row r="3006">
          <cell r="E3006">
            <v>10120071</v>
          </cell>
          <cell r="H3006">
            <v>17.079999999999998</v>
          </cell>
          <cell r="I3006">
            <v>612.89</v>
          </cell>
          <cell r="J3006">
            <v>0</v>
          </cell>
          <cell r="K3006">
            <v>0</v>
          </cell>
          <cell r="M3006">
            <v>0</v>
          </cell>
          <cell r="P3006">
            <v>613</v>
          </cell>
          <cell r="V3006" t="str">
            <v>Not Available</v>
          </cell>
        </row>
        <row r="3007">
          <cell r="E3007">
            <v>10120084</v>
          </cell>
          <cell r="H3007">
            <v>63.07</v>
          </cell>
          <cell r="I3007">
            <v>2779.99</v>
          </cell>
          <cell r="J3007">
            <v>0</v>
          </cell>
          <cell r="K3007">
            <v>0</v>
          </cell>
          <cell r="M3007">
            <v>0</v>
          </cell>
          <cell r="P3007">
            <v>2780</v>
          </cell>
          <cell r="V3007" t="str">
            <v>Available</v>
          </cell>
        </row>
        <row r="3008">
          <cell r="E3008">
            <v>10120084</v>
          </cell>
          <cell r="H3008">
            <v>351.57</v>
          </cell>
          <cell r="I3008">
            <v>20361.61</v>
          </cell>
          <cell r="J3008">
            <v>0</v>
          </cell>
          <cell r="K3008">
            <v>0</v>
          </cell>
          <cell r="M3008">
            <v>0</v>
          </cell>
          <cell r="P3008">
            <v>20362</v>
          </cell>
          <cell r="V3008" t="str">
            <v>Available</v>
          </cell>
        </row>
        <row r="3009">
          <cell r="E3009">
            <v>10120084</v>
          </cell>
          <cell r="H3009">
            <v>28.08</v>
          </cell>
          <cell r="I3009">
            <v>1387.8</v>
          </cell>
          <cell r="J3009">
            <v>0</v>
          </cell>
          <cell r="K3009">
            <v>0</v>
          </cell>
          <cell r="M3009">
            <v>0</v>
          </cell>
          <cell r="P3009">
            <v>1388</v>
          </cell>
          <cell r="V3009" t="str">
            <v>Not Available</v>
          </cell>
        </row>
        <row r="3010">
          <cell r="E3010">
            <v>10120084</v>
          </cell>
          <cell r="H3010">
            <v>59.909999999999989</v>
          </cell>
          <cell r="I3010">
            <v>2931.38</v>
          </cell>
          <cell r="J3010">
            <v>0</v>
          </cell>
          <cell r="K3010">
            <v>0</v>
          </cell>
          <cell r="M3010">
            <v>0</v>
          </cell>
          <cell r="P3010">
            <v>2931</v>
          </cell>
          <cell r="V3010" t="str">
            <v>Not Available</v>
          </cell>
        </row>
        <row r="3011">
          <cell r="E3011">
            <v>10120084</v>
          </cell>
          <cell r="H3011">
            <v>26.400000000000002</v>
          </cell>
          <cell r="I3011">
            <v>1198.0899999999999</v>
          </cell>
          <cell r="J3011">
            <v>0</v>
          </cell>
          <cell r="K3011">
            <v>0</v>
          </cell>
          <cell r="M3011">
            <v>0</v>
          </cell>
          <cell r="P3011">
            <v>1198</v>
          </cell>
          <cell r="V3011" t="str">
            <v>Not Available</v>
          </cell>
        </row>
        <row r="3012">
          <cell r="E3012">
            <v>10120084</v>
          </cell>
          <cell r="H3012">
            <v>56.600000000000009</v>
          </cell>
          <cell r="I3012">
            <v>2650.46</v>
          </cell>
          <cell r="J3012">
            <v>0</v>
          </cell>
          <cell r="K3012">
            <v>0</v>
          </cell>
          <cell r="M3012">
            <v>0</v>
          </cell>
          <cell r="P3012">
            <v>2650</v>
          </cell>
          <cell r="V3012" t="str">
            <v>Not Available</v>
          </cell>
        </row>
        <row r="3013">
          <cell r="E3013">
            <v>10120084</v>
          </cell>
          <cell r="H3013">
            <v>47.02</v>
          </cell>
          <cell r="I3013">
            <v>2115.73</v>
          </cell>
          <cell r="J3013">
            <v>0</v>
          </cell>
          <cell r="K3013">
            <v>0</v>
          </cell>
          <cell r="M3013">
            <v>0</v>
          </cell>
          <cell r="P3013">
            <v>2116</v>
          </cell>
          <cell r="V3013" t="str">
            <v>Not Available</v>
          </cell>
        </row>
        <row r="3014">
          <cell r="E3014">
            <v>10120084</v>
          </cell>
          <cell r="H3014">
            <v>36.33</v>
          </cell>
          <cell r="I3014">
            <v>1698.47</v>
          </cell>
          <cell r="J3014">
            <v>0</v>
          </cell>
          <cell r="K3014">
            <v>0</v>
          </cell>
          <cell r="M3014">
            <v>0</v>
          </cell>
          <cell r="P3014">
            <v>1698</v>
          </cell>
          <cell r="V3014" t="str">
            <v>Not Available</v>
          </cell>
        </row>
        <row r="3015">
          <cell r="E3015">
            <v>10120084</v>
          </cell>
          <cell r="H3015">
            <v>33.35</v>
          </cell>
          <cell r="I3015">
            <v>1784.8799999999999</v>
          </cell>
          <cell r="J3015">
            <v>0</v>
          </cell>
          <cell r="K3015">
            <v>0</v>
          </cell>
          <cell r="M3015">
            <v>0</v>
          </cell>
          <cell r="P3015">
            <v>1785</v>
          </cell>
          <cell r="V3015" t="str">
            <v>Not Available</v>
          </cell>
        </row>
        <row r="3016">
          <cell r="E3016">
            <v>10120084</v>
          </cell>
          <cell r="H3016">
            <v>24.499999999999996</v>
          </cell>
          <cell r="I3016">
            <v>1053.79</v>
          </cell>
          <cell r="J3016">
            <v>0</v>
          </cell>
          <cell r="K3016">
            <v>0</v>
          </cell>
          <cell r="M3016">
            <v>0</v>
          </cell>
          <cell r="P3016">
            <v>1054</v>
          </cell>
          <cell r="V3016" t="str">
            <v>Not Available</v>
          </cell>
        </row>
        <row r="3017">
          <cell r="E3017">
            <v>10120084</v>
          </cell>
          <cell r="H3017">
            <v>107.23999999999998</v>
          </cell>
          <cell r="I3017">
            <v>6416.0099999999993</v>
          </cell>
          <cell r="J3017">
            <v>0</v>
          </cell>
          <cell r="K3017">
            <v>0</v>
          </cell>
          <cell r="M3017">
            <v>0</v>
          </cell>
          <cell r="P3017">
            <v>6416</v>
          </cell>
          <cell r="V3017" t="str">
            <v>Not Available</v>
          </cell>
        </row>
        <row r="3018">
          <cell r="E3018">
            <v>10120084</v>
          </cell>
          <cell r="H3018">
            <v>13.4</v>
          </cell>
          <cell r="I3018">
            <v>798.76</v>
          </cell>
          <cell r="J3018">
            <v>0</v>
          </cell>
          <cell r="K3018">
            <v>0</v>
          </cell>
          <cell r="M3018">
            <v>0</v>
          </cell>
          <cell r="P3018">
            <v>799</v>
          </cell>
          <cell r="V3018" t="str">
            <v>Not Available</v>
          </cell>
        </row>
        <row r="3019">
          <cell r="E3019">
            <v>10120084</v>
          </cell>
          <cell r="H3019">
            <v>46.209999999999994</v>
          </cell>
          <cell r="I3019">
            <v>2099.8000000000002</v>
          </cell>
          <cell r="J3019">
            <v>0</v>
          </cell>
          <cell r="K3019">
            <v>0</v>
          </cell>
          <cell r="M3019">
            <v>0</v>
          </cell>
          <cell r="P3019">
            <v>2100</v>
          </cell>
          <cell r="V3019" t="str">
            <v>Not Available</v>
          </cell>
        </row>
        <row r="3020">
          <cell r="E3020">
            <v>10120084</v>
          </cell>
          <cell r="H3020">
            <v>12.52</v>
          </cell>
          <cell r="I3020">
            <v>550.95000000000005</v>
          </cell>
          <cell r="J3020">
            <v>0</v>
          </cell>
          <cell r="K3020">
            <v>0</v>
          </cell>
          <cell r="M3020">
            <v>0</v>
          </cell>
          <cell r="P3020">
            <v>551</v>
          </cell>
          <cell r="V3020" t="str">
            <v>Not Available</v>
          </cell>
        </row>
        <row r="3021">
          <cell r="E3021">
            <v>10120084</v>
          </cell>
          <cell r="H3021">
            <v>22.150000000000002</v>
          </cell>
          <cell r="I3021">
            <v>946.75</v>
          </cell>
          <cell r="J3021">
            <v>0</v>
          </cell>
          <cell r="K3021">
            <v>0</v>
          </cell>
          <cell r="M3021">
            <v>0</v>
          </cell>
          <cell r="P3021">
            <v>947</v>
          </cell>
          <cell r="V3021" t="str">
            <v>Not Available</v>
          </cell>
        </row>
        <row r="3022">
          <cell r="E3022">
            <v>10120084</v>
          </cell>
          <cell r="H3022">
            <v>8.06</v>
          </cell>
          <cell r="I3022">
            <v>453.25</v>
          </cell>
          <cell r="J3022">
            <v>0</v>
          </cell>
          <cell r="K3022">
            <v>0</v>
          </cell>
          <cell r="M3022">
            <v>0</v>
          </cell>
          <cell r="P3022">
            <v>453</v>
          </cell>
          <cell r="V3022" t="str">
            <v>Not Available</v>
          </cell>
        </row>
        <row r="3023">
          <cell r="E3023">
            <v>10120084</v>
          </cell>
          <cell r="H3023">
            <v>15.850000000000001</v>
          </cell>
          <cell r="I3023">
            <v>719.25</v>
          </cell>
          <cell r="J3023">
            <v>0</v>
          </cell>
          <cell r="K3023">
            <v>0</v>
          </cell>
          <cell r="M3023">
            <v>0</v>
          </cell>
          <cell r="P3023">
            <v>719</v>
          </cell>
          <cell r="V3023" t="str">
            <v>Not Available</v>
          </cell>
        </row>
        <row r="3024">
          <cell r="E3024">
            <v>10120084</v>
          </cell>
          <cell r="H3024">
            <v>272.59000000000003</v>
          </cell>
          <cell r="I3024">
            <v>13311.33</v>
          </cell>
          <cell r="J3024">
            <v>0</v>
          </cell>
          <cell r="K3024">
            <v>0</v>
          </cell>
          <cell r="M3024">
            <v>0</v>
          </cell>
          <cell r="P3024">
            <v>13311</v>
          </cell>
          <cell r="V3024" t="str">
            <v>Available</v>
          </cell>
        </row>
        <row r="3025">
          <cell r="E3025">
            <v>10120084</v>
          </cell>
          <cell r="H3025">
            <v>95.8</v>
          </cell>
          <cell r="I3025">
            <v>4245.47</v>
          </cell>
          <cell r="J3025">
            <v>0</v>
          </cell>
          <cell r="K3025">
            <v>0</v>
          </cell>
          <cell r="M3025">
            <v>0</v>
          </cell>
          <cell r="P3025">
            <v>4245</v>
          </cell>
          <cell r="V3025" t="str">
            <v>Not Available</v>
          </cell>
        </row>
        <row r="3026">
          <cell r="E3026">
            <v>10120084</v>
          </cell>
          <cell r="H3026">
            <v>73.02000000000001</v>
          </cell>
          <cell r="I3026">
            <v>4317.1200000000008</v>
          </cell>
          <cell r="J3026">
            <v>0</v>
          </cell>
          <cell r="K3026">
            <v>0</v>
          </cell>
          <cell r="M3026">
            <v>0</v>
          </cell>
          <cell r="P3026">
            <v>4317</v>
          </cell>
          <cell r="V3026" t="str">
            <v>Not Available</v>
          </cell>
        </row>
        <row r="3027">
          <cell r="E3027">
            <v>10120084</v>
          </cell>
          <cell r="H3027">
            <v>28.990000000000002</v>
          </cell>
          <cell r="I3027">
            <v>2142.15</v>
          </cell>
          <cell r="J3027">
            <v>0</v>
          </cell>
          <cell r="K3027">
            <v>0</v>
          </cell>
          <cell r="M3027">
            <v>0</v>
          </cell>
          <cell r="P3027">
            <v>2142</v>
          </cell>
          <cell r="V3027" t="str">
            <v>Not Available</v>
          </cell>
        </row>
        <row r="3028">
          <cell r="E3028">
            <v>10120084</v>
          </cell>
          <cell r="H3028">
            <v>82</v>
          </cell>
          <cell r="I3028">
            <v>3954.0499999999997</v>
          </cell>
          <cell r="J3028">
            <v>0</v>
          </cell>
          <cell r="K3028">
            <v>0</v>
          </cell>
          <cell r="M3028">
            <v>0</v>
          </cell>
          <cell r="P3028">
            <v>3954</v>
          </cell>
          <cell r="V3028" t="str">
            <v>Not Available</v>
          </cell>
        </row>
        <row r="3029">
          <cell r="E3029">
            <v>10120084</v>
          </cell>
          <cell r="H3029">
            <v>1.94</v>
          </cell>
          <cell r="I3029">
            <v>122.2</v>
          </cell>
          <cell r="J3029">
            <v>0</v>
          </cell>
          <cell r="K3029">
            <v>0</v>
          </cell>
          <cell r="M3029">
            <v>0</v>
          </cell>
          <cell r="P3029">
            <v>122</v>
          </cell>
          <cell r="V3029" t="str">
            <v>Not Available</v>
          </cell>
        </row>
        <row r="3030">
          <cell r="E3030">
            <v>10120084</v>
          </cell>
          <cell r="H3030">
            <v>16.63</v>
          </cell>
          <cell r="I3030">
            <v>1142.23</v>
          </cell>
          <cell r="J3030">
            <v>0</v>
          </cell>
          <cell r="K3030">
            <v>0</v>
          </cell>
          <cell r="M3030">
            <v>0</v>
          </cell>
          <cell r="P3030">
            <v>1142</v>
          </cell>
          <cell r="V3030" t="str">
            <v>Not Available</v>
          </cell>
        </row>
        <row r="3031">
          <cell r="E3031">
            <v>10120084</v>
          </cell>
          <cell r="H3031">
            <v>47.72</v>
          </cell>
          <cell r="I3031">
            <v>2345.7399999999998</v>
          </cell>
          <cell r="J3031">
            <v>0</v>
          </cell>
          <cell r="K3031">
            <v>0</v>
          </cell>
          <cell r="M3031">
            <v>0</v>
          </cell>
          <cell r="P3031">
            <v>2346</v>
          </cell>
          <cell r="V3031" t="str">
            <v>Not Available</v>
          </cell>
        </row>
        <row r="3032">
          <cell r="E3032">
            <v>10120084</v>
          </cell>
          <cell r="H3032">
            <v>51.17</v>
          </cell>
          <cell r="I3032">
            <v>3229.82</v>
          </cell>
          <cell r="J3032">
            <v>0</v>
          </cell>
          <cell r="K3032">
            <v>0</v>
          </cell>
          <cell r="M3032">
            <v>0</v>
          </cell>
          <cell r="P3032">
            <v>3230</v>
          </cell>
          <cell r="V3032" t="str">
            <v>Not Available</v>
          </cell>
        </row>
        <row r="3033">
          <cell r="E3033">
            <v>10120084</v>
          </cell>
          <cell r="H3033">
            <v>92.519999999999982</v>
          </cell>
          <cell r="I3033">
            <v>6921.78</v>
          </cell>
          <cell r="J3033">
            <v>0</v>
          </cell>
          <cell r="K3033">
            <v>0</v>
          </cell>
          <cell r="M3033">
            <v>0</v>
          </cell>
          <cell r="P3033">
            <v>6922</v>
          </cell>
          <cell r="V3033" t="str">
            <v>Not Available</v>
          </cell>
        </row>
        <row r="3034">
          <cell r="E3034">
            <v>10120084</v>
          </cell>
          <cell r="H3034">
            <v>33.119999999999997</v>
          </cell>
          <cell r="I3034">
            <v>1970.0100000000002</v>
          </cell>
          <cell r="J3034">
            <v>0</v>
          </cell>
          <cell r="K3034">
            <v>0</v>
          </cell>
          <cell r="M3034">
            <v>0</v>
          </cell>
          <cell r="P3034">
            <v>1970</v>
          </cell>
          <cell r="V3034" t="str">
            <v>Not Available</v>
          </cell>
        </row>
        <row r="3035">
          <cell r="E3035">
            <v>10120084</v>
          </cell>
          <cell r="H3035">
            <v>44.52</v>
          </cell>
          <cell r="I3035">
            <v>2078.58</v>
          </cell>
          <cell r="J3035">
            <v>0</v>
          </cell>
          <cell r="K3035">
            <v>0</v>
          </cell>
          <cell r="M3035">
            <v>0</v>
          </cell>
          <cell r="P3035">
            <v>2079</v>
          </cell>
          <cell r="V3035" t="str">
            <v>Not Available</v>
          </cell>
        </row>
        <row r="3036">
          <cell r="E3036">
            <v>10120084</v>
          </cell>
          <cell r="H3036">
            <v>10.7</v>
          </cell>
          <cell r="I3036">
            <v>449.8</v>
          </cell>
          <cell r="J3036">
            <v>0</v>
          </cell>
          <cell r="K3036">
            <v>0</v>
          </cell>
          <cell r="M3036">
            <v>0</v>
          </cell>
          <cell r="P3036">
            <v>450</v>
          </cell>
          <cell r="V3036" t="str">
            <v>Not Available</v>
          </cell>
        </row>
        <row r="3037">
          <cell r="E3037">
            <v>10120084</v>
          </cell>
          <cell r="H3037">
            <v>39.44</v>
          </cell>
          <cell r="I3037">
            <v>2077.17</v>
          </cell>
          <cell r="J3037">
            <v>0</v>
          </cell>
          <cell r="K3037">
            <v>0</v>
          </cell>
          <cell r="M3037">
            <v>0</v>
          </cell>
          <cell r="P3037">
            <v>2077</v>
          </cell>
          <cell r="V3037" t="str">
            <v>Not Available</v>
          </cell>
        </row>
        <row r="3038">
          <cell r="E3038">
            <v>10120084</v>
          </cell>
          <cell r="H3038">
            <v>29.089999999999996</v>
          </cell>
          <cell r="I3038">
            <v>1317.2</v>
          </cell>
          <cell r="J3038">
            <v>0</v>
          </cell>
          <cell r="K3038">
            <v>0</v>
          </cell>
          <cell r="M3038">
            <v>0</v>
          </cell>
          <cell r="P3038">
            <v>1317</v>
          </cell>
          <cell r="V3038" t="str">
            <v>Not Available</v>
          </cell>
        </row>
        <row r="3039">
          <cell r="E3039">
            <v>10120084</v>
          </cell>
          <cell r="H3039">
            <v>7.0500000000000007</v>
          </cell>
          <cell r="I3039">
            <v>304.08000000000004</v>
          </cell>
          <cell r="J3039">
            <v>0</v>
          </cell>
          <cell r="K3039">
            <v>0</v>
          </cell>
          <cell r="M3039">
            <v>0</v>
          </cell>
          <cell r="P3039">
            <v>304</v>
          </cell>
          <cell r="V3039" t="str">
            <v>Not Available</v>
          </cell>
        </row>
        <row r="3040">
          <cell r="E3040">
            <v>10120084</v>
          </cell>
          <cell r="H3040">
            <v>29.14</v>
          </cell>
          <cell r="I3040">
            <v>1383.8799999999999</v>
          </cell>
          <cell r="J3040">
            <v>0</v>
          </cell>
          <cell r="K3040">
            <v>0</v>
          </cell>
          <cell r="M3040">
            <v>0</v>
          </cell>
          <cell r="P3040">
            <v>1384</v>
          </cell>
          <cell r="V3040" t="str">
            <v>Not Available</v>
          </cell>
        </row>
        <row r="3041">
          <cell r="E3041">
            <v>10120084</v>
          </cell>
          <cell r="H3041">
            <v>41.22</v>
          </cell>
          <cell r="I3041">
            <v>2094.8000000000002</v>
          </cell>
          <cell r="J3041">
            <v>0</v>
          </cell>
          <cell r="K3041">
            <v>0</v>
          </cell>
          <cell r="M3041">
            <v>0</v>
          </cell>
          <cell r="P3041">
            <v>2095</v>
          </cell>
          <cell r="V3041" t="str">
            <v>Not Available</v>
          </cell>
        </row>
        <row r="3042">
          <cell r="E3042">
            <v>10120084</v>
          </cell>
          <cell r="H3042">
            <v>17.71</v>
          </cell>
          <cell r="I3042">
            <v>1124.56</v>
          </cell>
          <cell r="J3042">
            <v>0</v>
          </cell>
          <cell r="K3042">
            <v>0</v>
          </cell>
          <cell r="M3042">
            <v>0</v>
          </cell>
          <cell r="P3042">
            <v>1125</v>
          </cell>
          <cell r="V3042" t="str">
            <v>Not Available</v>
          </cell>
        </row>
        <row r="3043">
          <cell r="E3043">
            <v>10120084</v>
          </cell>
          <cell r="H3043">
            <v>29.479999999999997</v>
          </cell>
          <cell r="I3043">
            <v>1907.4200000000003</v>
          </cell>
          <cell r="J3043">
            <v>0</v>
          </cell>
          <cell r="K3043">
            <v>0</v>
          </cell>
          <cell r="M3043">
            <v>0</v>
          </cell>
          <cell r="P3043">
            <v>1907</v>
          </cell>
          <cell r="V3043" t="str">
            <v>Not Available</v>
          </cell>
        </row>
        <row r="3044">
          <cell r="E3044">
            <v>10120084</v>
          </cell>
          <cell r="H3044">
            <v>61.48</v>
          </cell>
          <cell r="I3044">
            <v>3092.08</v>
          </cell>
          <cell r="J3044">
            <v>0</v>
          </cell>
          <cell r="K3044">
            <v>0</v>
          </cell>
          <cell r="M3044">
            <v>0</v>
          </cell>
          <cell r="P3044">
            <v>3092</v>
          </cell>
          <cell r="V3044" t="str">
            <v>Not Available</v>
          </cell>
        </row>
        <row r="3045">
          <cell r="E3045">
            <v>10120084</v>
          </cell>
          <cell r="H3045">
            <v>23.439999999999998</v>
          </cell>
          <cell r="I3045">
            <v>1200.0900000000001</v>
          </cell>
          <cell r="J3045">
            <v>0</v>
          </cell>
          <cell r="K3045">
            <v>0</v>
          </cell>
          <cell r="M3045">
            <v>0</v>
          </cell>
          <cell r="P3045">
            <v>1200</v>
          </cell>
          <cell r="V3045" t="str">
            <v>Not Available</v>
          </cell>
        </row>
        <row r="3046">
          <cell r="E3046">
            <v>10120084</v>
          </cell>
          <cell r="H3046">
            <v>39.700000000000003</v>
          </cell>
          <cell r="I3046">
            <v>2395.46</v>
          </cell>
          <cell r="J3046">
            <v>0</v>
          </cell>
          <cell r="K3046">
            <v>0</v>
          </cell>
          <cell r="M3046">
            <v>0</v>
          </cell>
          <cell r="P3046">
            <v>2395</v>
          </cell>
          <cell r="V3046" t="str">
            <v>Not Available</v>
          </cell>
        </row>
        <row r="3047">
          <cell r="E3047">
            <v>10120084</v>
          </cell>
          <cell r="H3047">
            <v>8.4600000000000009</v>
          </cell>
          <cell r="I3047">
            <v>546.07999999999993</v>
          </cell>
          <cell r="J3047">
            <v>0</v>
          </cell>
          <cell r="K3047">
            <v>0</v>
          </cell>
          <cell r="M3047">
            <v>0</v>
          </cell>
          <cell r="P3047">
            <v>546</v>
          </cell>
          <cell r="V3047" t="str">
            <v>Not Available</v>
          </cell>
        </row>
        <row r="3048">
          <cell r="E3048">
            <v>10120084</v>
          </cell>
          <cell r="H3048">
            <v>107.91999999999999</v>
          </cell>
          <cell r="I3048">
            <v>6648.880000000001</v>
          </cell>
          <cell r="J3048">
            <v>0</v>
          </cell>
          <cell r="K3048">
            <v>0</v>
          </cell>
          <cell r="M3048">
            <v>0</v>
          </cell>
          <cell r="P3048">
            <v>6649</v>
          </cell>
          <cell r="V3048" t="str">
            <v>Not Available</v>
          </cell>
        </row>
        <row r="3049">
          <cell r="E3049">
            <v>10120084</v>
          </cell>
          <cell r="H3049">
            <v>107.6</v>
          </cell>
          <cell r="I3049">
            <v>6426.84</v>
          </cell>
          <cell r="J3049">
            <v>0</v>
          </cell>
          <cell r="K3049">
            <v>0</v>
          </cell>
          <cell r="M3049">
            <v>0</v>
          </cell>
          <cell r="P3049">
            <v>6427</v>
          </cell>
          <cell r="V3049" t="str">
            <v>Not Available</v>
          </cell>
        </row>
        <row r="3050">
          <cell r="E3050">
            <v>10120089</v>
          </cell>
          <cell r="H3050">
            <v>0.6</v>
          </cell>
          <cell r="I3050">
            <v>24.169999999999998</v>
          </cell>
          <cell r="J3050">
            <v>0</v>
          </cell>
          <cell r="K3050">
            <v>24.169999999999998</v>
          </cell>
          <cell r="M3050">
            <v>0</v>
          </cell>
          <cell r="P3050">
            <v>0</v>
          </cell>
          <cell r="V3050" t="str">
            <v>Not Available</v>
          </cell>
        </row>
        <row r="3051">
          <cell r="E3051">
            <v>10120089</v>
          </cell>
          <cell r="H3051">
            <v>470.40999999999997</v>
          </cell>
          <cell r="I3051">
            <v>18815.580000000002</v>
          </cell>
          <cell r="J3051">
            <v>0</v>
          </cell>
          <cell r="K3051">
            <v>0</v>
          </cell>
          <cell r="M3051">
            <v>1400</v>
          </cell>
          <cell r="P3051">
            <v>17416</v>
          </cell>
          <cell r="V3051" t="str">
            <v>Available</v>
          </cell>
        </row>
        <row r="3052">
          <cell r="E3052">
            <v>10120089</v>
          </cell>
          <cell r="H3052">
            <v>2.1</v>
          </cell>
          <cell r="I3052">
            <v>83</v>
          </cell>
          <cell r="J3052">
            <v>0</v>
          </cell>
          <cell r="K3052">
            <v>0</v>
          </cell>
          <cell r="M3052">
            <v>0</v>
          </cell>
          <cell r="P3052">
            <v>83</v>
          </cell>
          <cell r="V3052" t="str">
            <v>Not Available</v>
          </cell>
        </row>
        <row r="3053">
          <cell r="E3053">
            <v>10120089</v>
          </cell>
          <cell r="H3053">
            <v>0.1</v>
          </cell>
          <cell r="I3053">
            <v>4.32</v>
          </cell>
          <cell r="J3053">
            <v>0</v>
          </cell>
          <cell r="K3053">
            <v>0</v>
          </cell>
          <cell r="M3053">
            <v>0</v>
          </cell>
          <cell r="P3053">
            <v>4</v>
          </cell>
          <cell r="V3053" t="str">
            <v>Not Available</v>
          </cell>
        </row>
        <row r="3054">
          <cell r="E3054">
            <v>10120089</v>
          </cell>
          <cell r="H3054">
            <v>0.1</v>
          </cell>
          <cell r="I3054">
            <v>4.32</v>
          </cell>
          <cell r="J3054">
            <v>0</v>
          </cell>
          <cell r="K3054">
            <v>0</v>
          </cell>
          <cell r="M3054">
            <v>0</v>
          </cell>
          <cell r="P3054">
            <v>4</v>
          </cell>
          <cell r="V3054" t="str">
            <v>Not Available</v>
          </cell>
        </row>
        <row r="3055">
          <cell r="E3055">
            <v>10120089</v>
          </cell>
          <cell r="H3055">
            <v>0.1</v>
          </cell>
          <cell r="I3055">
            <v>4.32</v>
          </cell>
          <cell r="J3055">
            <v>0</v>
          </cell>
          <cell r="K3055">
            <v>0</v>
          </cell>
          <cell r="M3055">
            <v>0</v>
          </cell>
          <cell r="P3055">
            <v>4</v>
          </cell>
          <cell r="V3055" t="str">
            <v>Not Available</v>
          </cell>
        </row>
        <row r="3056">
          <cell r="E3056">
            <v>10120089</v>
          </cell>
          <cell r="H3056">
            <v>0.1</v>
          </cell>
          <cell r="I3056">
            <v>4.32</v>
          </cell>
          <cell r="J3056">
            <v>0</v>
          </cell>
          <cell r="K3056">
            <v>0</v>
          </cell>
          <cell r="M3056">
            <v>0</v>
          </cell>
          <cell r="P3056">
            <v>4</v>
          </cell>
          <cell r="V3056" t="str">
            <v>Not Available</v>
          </cell>
        </row>
        <row r="3057">
          <cell r="E3057">
            <v>10120089</v>
          </cell>
          <cell r="H3057">
            <v>0.1</v>
          </cell>
          <cell r="I3057">
            <v>4.32</v>
          </cell>
          <cell r="J3057">
            <v>0</v>
          </cell>
          <cell r="K3057">
            <v>0</v>
          </cell>
          <cell r="M3057">
            <v>0</v>
          </cell>
          <cell r="P3057">
            <v>4</v>
          </cell>
          <cell r="V3057" t="str">
            <v>Not Available</v>
          </cell>
        </row>
        <row r="3058">
          <cell r="E3058">
            <v>10120089</v>
          </cell>
          <cell r="H3058">
            <v>0.1</v>
          </cell>
          <cell r="I3058">
            <v>4.32</v>
          </cell>
          <cell r="J3058">
            <v>0</v>
          </cell>
          <cell r="K3058">
            <v>0</v>
          </cell>
          <cell r="M3058">
            <v>0</v>
          </cell>
          <cell r="P3058">
            <v>4</v>
          </cell>
          <cell r="V3058" t="str">
            <v>Not Available</v>
          </cell>
        </row>
        <row r="3059">
          <cell r="E3059">
            <v>10120089</v>
          </cell>
          <cell r="H3059">
            <v>1.1000000000000001</v>
          </cell>
          <cell r="I3059">
            <v>49.39</v>
          </cell>
          <cell r="J3059">
            <v>0</v>
          </cell>
          <cell r="K3059">
            <v>0</v>
          </cell>
          <cell r="M3059">
            <v>0</v>
          </cell>
          <cell r="P3059">
            <v>49</v>
          </cell>
          <cell r="V3059" t="str">
            <v>Not Available</v>
          </cell>
        </row>
        <row r="3060">
          <cell r="E3060">
            <v>10120091</v>
          </cell>
          <cell r="H3060">
            <v>8.4299999999999979</v>
          </cell>
          <cell r="I3060">
            <v>323.78999999999996</v>
          </cell>
          <cell r="J3060">
            <v>0</v>
          </cell>
          <cell r="K3060">
            <v>323.78999999999996</v>
          </cell>
          <cell r="M3060">
            <v>0</v>
          </cell>
          <cell r="P3060">
            <v>0</v>
          </cell>
          <cell r="V3060" t="str">
            <v>Not Available</v>
          </cell>
        </row>
        <row r="3061">
          <cell r="E3061">
            <v>10120091</v>
          </cell>
          <cell r="H3061">
            <v>86.43</v>
          </cell>
          <cell r="I3061">
            <v>3206.2099999999996</v>
          </cell>
          <cell r="J3061">
            <v>0</v>
          </cell>
          <cell r="K3061">
            <v>0</v>
          </cell>
          <cell r="M3061">
            <v>0</v>
          </cell>
          <cell r="P3061">
            <v>3206</v>
          </cell>
          <cell r="V3061" t="str">
            <v>Available</v>
          </cell>
        </row>
        <row r="3062">
          <cell r="E3062">
            <v>10120091</v>
          </cell>
          <cell r="H3062">
            <v>53.039999999999992</v>
          </cell>
          <cell r="I3062">
            <v>2004.82</v>
          </cell>
          <cell r="J3062">
            <v>0</v>
          </cell>
          <cell r="K3062">
            <v>0</v>
          </cell>
          <cell r="M3062">
            <v>0</v>
          </cell>
          <cell r="P3062">
            <v>2005</v>
          </cell>
          <cell r="V3062" t="str">
            <v>Available</v>
          </cell>
        </row>
        <row r="3063">
          <cell r="E3063">
            <v>10120091</v>
          </cell>
          <cell r="H3063">
            <v>44.519999999999989</v>
          </cell>
          <cell r="I3063">
            <v>1480.73</v>
          </cell>
          <cell r="J3063">
            <v>0</v>
          </cell>
          <cell r="K3063">
            <v>0</v>
          </cell>
          <cell r="M3063">
            <v>0</v>
          </cell>
          <cell r="P3063">
            <v>1481</v>
          </cell>
          <cell r="V3063" t="str">
            <v>Not Available</v>
          </cell>
        </row>
        <row r="3064">
          <cell r="E3064">
            <v>10120091</v>
          </cell>
          <cell r="H3064">
            <v>29.48</v>
          </cell>
          <cell r="I3064">
            <v>1207.9100000000003</v>
          </cell>
          <cell r="J3064">
            <v>0</v>
          </cell>
          <cell r="K3064">
            <v>0</v>
          </cell>
          <cell r="M3064">
            <v>0</v>
          </cell>
          <cell r="P3064">
            <v>1208</v>
          </cell>
          <cell r="V3064" t="str">
            <v>Not Available</v>
          </cell>
        </row>
        <row r="3065">
          <cell r="E3065">
            <v>10120091</v>
          </cell>
          <cell r="H3065">
            <v>39.64</v>
          </cell>
          <cell r="I3065">
            <v>1528.35</v>
          </cell>
          <cell r="J3065">
            <v>0</v>
          </cell>
          <cell r="K3065">
            <v>0</v>
          </cell>
          <cell r="M3065">
            <v>0</v>
          </cell>
          <cell r="P3065">
            <v>1528</v>
          </cell>
          <cell r="V3065" t="str">
            <v>Not Available</v>
          </cell>
        </row>
        <row r="3066">
          <cell r="E3066">
            <v>10120091</v>
          </cell>
          <cell r="H3066">
            <v>26.919999999999998</v>
          </cell>
          <cell r="I3066">
            <v>941.95999999999992</v>
          </cell>
          <cell r="J3066">
            <v>0</v>
          </cell>
          <cell r="K3066">
            <v>0</v>
          </cell>
          <cell r="M3066">
            <v>0</v>
          </cell>
          <cell r="P3066">
            <v>942</v>
          </cell>
          <cell r="V3066" t="str">
            <v>Not Available</v>
          </cell>
        </row>
        <row r="3067">
          <cell r="E3067">
            <v>10120091</v>
          </cell>
          <cell r="H3067">
            <v>30</v>
          </cell>
          <cell r="I3067">
            <v>1121.7099999999998</v>
          </cell>
          <cell r="J3067">
            <v>0</v>
          </cell>
          <cell r="K3067">
            <v>0</v>
          </cell>
          <cell r="M3067">
            <v>0</v>
          </cell>
          <cell r="P3067">
            <v>1122</v>
          </cell>
          <cell r="V3067" t="str">
            <v>Not Available</v>
          </cell>
        </row>
        <row r="3068">
          <cell r="E3068">
            <v>10120091</v>
          </cell>
          <cell r="H3068">
            <v>18.119999999999997</v>
          </cell>
          <cell r="I3068">
            <v>692.1</v>
          </cell>
          <cell r="J3068">
            <v>0</v>
          </cell>
          <cell r="K3068">
            <v>0</v>
          </cell>
          <cell r="M3068">
            <v>0</v>
          </cell>
          <cell r="P3068">
            <v>692</v>
          </cell>
          <cell r="V3068" t="str">
            <v>Not Available</v>
          </cell>
        </row>
        <row r="3069">
          <cell r="E3069">
            <v>10120091</v>
          </cell>
          <cell r="H3069">
            <v>9.4500000000000011</v>
          </cell>
          <cell r="I3069">
            <v>347.25</v>
          </cell>
          <cell r="J3069">
            <v>0</v>
          </cell>
          <cell r="K3069">
            <v>0</v>
          </cell>
          <cell r="M3069">
            <v>0</v>
          </cell>
          <cell r="P3069">
            <v>347</v>
          </cell>
          <cell r="V3069" t="str">
            <v>Not Available</v>
          </cell>
        </row>
        <row r="3070">
          <cell r="E3070">
            <v>10120091</v>
          </cell>
          <cell r="H3070">
            <v>2.1</v>
          </cell>
          <cell r="I3070">
            <v>90.78</v>
          </cell>
          <cell r="J3070">
            <v>0</v>
          </cell>
          <cell r="K3070">
            <v>0</v>
          </cell>
          <cell r="M3070">
            <v>0</v>
          </cell>
          <cell r="P3070">
            <v>91</v>
          </cell>
          <cell r="V3070" t="str">
            <v>Not Available</v>
          </cell>
        </row>
        <row r="3071">
          <cell r="E3071">
            <v>10120091</v>
          </cell>
          <cell r="H3071">
            <v>2.0499999999999998</v>
          </cell>
          <cell r="I3071">
            <v>76.12</v>
          </cell>
          <cell r="J3071">
            <v>0</v>
          </cell>
          <cell r="K3071">
            <v>0</v>
          </cell>
          <cell r="M3071">
            <v>0</v>
          </cell>
          <cell r="P3071">
            <v>76</v>
          </cell>
          <cell r="V3071" t="str">
            <v>Not Available</v>
          </cell>
        </row>
        <row r="3072">
          <cell r="E3072">
            <v>10120094</v>
          </cell>
          <cell r="H3072">
            <v>109.77</v>
          </cell>
          <cell r="I3072">
            <v>5077.4299999999994</v>
          </cell>
          <cell r="J3072">
            <v>0</v>
          </cell>
          <cell r="K3072">
            <v>0</v>
          </cell>
          <cell r="M3072">
            <v>5077</v>
          </cell>
          <cell r="P3072">
            <v>0</v>
          </cell>
          <cell r="V3072" t="str">
            <v>Available</v>
          </cell>
        </row>
        <row r="3073">
          <cell r="E3073">
            <v>10120094</v>
          </cell>
          <cell r="H3073">
            <v>80.820000000000022</v>
          </cell>
          <cell r="I3073">
            <v>3142.2200000000003</v>
          </cell>
          <cell r="J3073">
            <v>0</v>
          </cell>
          <cell r="K3073">
            <v>0</v>
          </cell>
          <cell r="M3073">
            <v>0</v>
          </cell>
          <cell r="P3073">
            <v>3142</v>
          </cell>
          <cell r="V3073" t="str">
            <v>Available</v>
          </cell>
        </row>
        <row r="3074">
          <cell r="E3074">
            <v>10120094</v>
          </cell>
          <cell r="H3074">
            <v>44.25</v>
          </cell>
          <cell r="I3074">
            <v>2005.0699999999997</v>
          </cell>
          <cell r="J3074">
            <v>0</v>
          </cell>
          <cell r="K3074">
            <v>0</v>
          </cell>
          <cell r="M3074">
            <v>0</v>
          </cell>
          <cell r="P3074">
            <v>2005</v>
          </cell>
          <cell r="V3074" t="str">
            <v>Available</v>
          </cell>
        </row>
        <row r="3075">
          <cell r="E3075">
            <v>10120094</v>
          </cell>
          <cell r="H3075">
            <v>46.04</v>
          </cell>
          <cell r="I3075">
            <v>2078.81</v>
          </cell>
          <cell r="J3075">
            <v>0</v>
          </cell>
          <cell r="K3075">
            <v>0</v>
          </cell>
          <cell r="M3075">
            <v>1923</v>
          </cell>
          <cell r="P3075">
            <v>156</v>
          </cell>
          <cell r="V3075" t="str">
            <v>Not Available</v>
          </cell>
        </row>
        <row r="3076">
          <cell r="E3076">
            <v>10120094</v>
          </cell>
          <cell r="H3076">
            <v>48.3</v>
          </cell>
          <cell r="I3076">
            <v>2101.6799999999998</v>
          </cell>
          <cell r="J3076">
            <v>0</v>
          </cell>
          <cell r="K3076">
            <v>0</v>
          </cell>
          <cell r="M3076">
            <v>0</v>
          </cell>
          <cell r="P3076">
            <v>2102</v>
          </cell>
          <cell r="V3076" t="str">
            <v>Not Available</v>
          </cell>
        </row>
        <row r="3077">
          <cell r="E3077">
            <v>10120094</v>
          </cell>
          <cell r="H3077">
            <v>36.64</v>
          </cell>
          <cell r="I3077">
            <v>1596.83</v>
          </cell>
          <cell r="J3077">
            <v>0</v>
          </cell>
          <cell r="K3077">
            <v>0</v>
          </cell>
          <cell r="M3077">
            <v>0</v>
          </cell>
          <cell r="P3077">
            <v>1597</v>
          </cell>
          <cell r="V3077" t="str">
            <v>Not Available</v>
          </cell>
        </row>
        <row r="3078">
          <cell r="E3078">
            <v>10120094</v>
          </cell>
          <cell r="H3078">
            <v>48.010000000000005</v>
          </cell>
          <cell r="I3078">
            <v>2098.83</v>
          </cell>
          <cell r="J3078">
            <v>0</v>
          </cell>
          <cell r="K3078">
            <v>0</v>
          </cell>
          <cell r="M3078">
            <v>0</v>
          </cell>
          <cell r="P3078">
            <v>2099</v>
          </cell>
          <cell r="V3078" t="str">
            <v>Not Available</v>
          </cell>
        </row>
        <row r="3079">
          <cell r="E3079">
            <v>10120094</v>
          </cell>
          <cell r="H3079">
            <v>21.459999999999997</v>
          </cell>
          <cell r="I3079">
            <v>1424.89</v>
          </cell>
          <cell r="J3079">
            <v>0</v>
          </cell>
          <cell r="K3079">
            <v>0</v>
          </cell>
          <cell r="M3079">
            <v>0</v>
          </cell>
          <cell r="P3079">
            <v>1425</v>
          </cell>
          <cell r="V3079" t="str">
            <v>Not Available</v>
          </cell>
        </row>
        <row r="3080">
          <cell r="E3080">
            <v>10120094</v>
          </cell>
          <cell r="H3080">
            <v>43.829999999999991</v>
          </cell>
          <cell r="I3080">
            <v>2476.1800000000003</v>
          </cell>
          <cell r="J3080">
            <v>0</v>
          </cell>
          <cell r="K3080">
            <v>0</v>
          </cell>
          <cell r="M3080">
            <v>0</v>
          </cell>
          <cell r="P3080">
            <v>2476</v>
          </cell>
          <cell r="V3080" t="str">
            <v>Not Available</v>
          </cell>
        </row>
        <row r="3081">
          <cell r="E3081">
            <v>10120094</v>
          </cell>
          <cell r="H3081">
            <v>55.4</v>
          </cell>
          <cell r="I3081">
            <v>2984.08</v>
          </cell>
          <cell r="J3081">
            <v>0</v>
          </cell>
          <cell r="K3081">
            <v>0</v>
          </cell>
          <cell r="M3081">
            <v>0</v>
          </cell>
          <cell r="P3081">
            <v>2984</v>
          </cell>
          <cell r="V3081" t="str">
            <v>Not Available</v>
          </cell>
        </row>
        <row r="3082">
          <cell r="E3082">
            <v>10120094</v>
          </cell>
          <cell r="H3082">
            <v>36.340000000000003</v>
          </cell>
          <cell r="I3082">
            <v>1701.6999999999998</v>
          </cell>
          <cell r="J3082">
            <v>0</v>
          </cell>
          <cell r="K3082">
            <v>0</v>
          </cell>
          <cell r="M3082">
            <v>0</v>
          </cell>
          <cell r="P3082">
            <v>1702</v>
          </cell>
          <cell r="V3082" t="str">
            <v>Not Available</v>
          </cell>
        </row>
        <row r="3083">
          <cell r="E3083">
            <v>10120094</v>
          </cell>
          <cell r="H3083">
            <v>88.430000000000021</v>
          </cell>
          <cell r="I3083">
            <v>3449.1499999999996</v>
          </cell>
          <cell r="J3083">
            <v>0</v>
          </cell>
          <cell r="K3083">
            <v>0</v>
          </cell>
          <cell r="M3083">
            <v>0</v>
          </cell>
          <cell r="P3083">
            <v>3449</v>
          </cell>
          <cell r="V3083" t="str">
            <v>Not Available</v>
          </cell>
        </row>
        <row r="3084">
          <cell r="E3084">
            <v>10120094</v>
          </cell>
          <cell r="H3084">
            <v>30.08</v>
          </cell>
          <cell r="I3084">
            <v>1401.0299999999997</v>
          </cell>
          <cell r="J3084">
            <v>0</v>
          </cell>
          <cell r="K3084">
            <v>0</v>
          </cell>
          <cell r="M3084">
            <v>0</v>
          </cell>
          <cell r="P3084">
            <v>1401</v>
          </cell>
          <cell r="V3084" t="str">
            <v>Not Available</v>
          </cell>
        </row>
        <row r="3085">
          <cell r="E3085">
            <v>10120094</v>
          </cell>
          <cell r="H3085">
            <v>59.259999999999984</v>
          </cell>
          <cell r="I3085">
            <v>2625.19</v>
          </cell>
          <cell r="J3085">
            <v>0</v>
          </cell>
          <cell r="K3085">
            <v>0</v>
          </cell>
          <cell r="M3085">
            <v>0</v>
          </cell>
          <cell r="P3085">
            <v>2625</v>
          </cell>
          <cell r="V3085" t="str">
            <v>Not Available</v>
          </cell>
        </row>
        <row r="3086">
          <cell r="E3086">
            <v>10120094</v>
          </cell>
          <cell r="H3086">
            <v>74.55</v>
          </cell>
          <cell r="I3086">
            <v>3085.95</v>
          </cell>
          <cell r="J3086">
            <v>0</v>
          </cell>
          <cell r="K3086">
            <v>0</v>
          </cell>
          <cell r="M3086">
            <v>0</v>
          </cell>
          <cell r="P3086">
            <v>3086</v>
          </cell>
          <cell r="V3086" t="str">
            <v>Not Available</v>
          </cell>
        </row>
        <row r="3087">
          <cell r="E3087">
            <v>10120094</v>
          </cell>
          <cell r="H3087">
            <v>53.099999999999994</v>
          </cell>
          <cell r="I3087">
            <v>2737.0400000000004</v>
          </cell>
          <cell r="J3087">
            <v>0</v>
          </cell>
          <cell r="K3087">
            <v>0</v>
          </cell>
          <cell r="M3087">
            <v>0</v>
          </cell>
          <cell r="P3087">
            <v>2737</v>
          </cell>
          <cell r="V3087" t="str">
            <v>Not Available</v>
          </cell>
        </row>
        <row r="3088">
          <cell r="E3088">
            <v>10120094</v>
          </cell>
          <cell r="H3088">
            <v>54.919999999999995</v>
          </cell>
          <cell r="I3088">
            <v>2457.1400000000003</v>
          </cell>
          <cell r="J3088">
            <v>0</v>
          </cell>
          <cell r="K3088">
            <v>0</v>
          </cell>
          <cell r="M3088">
            <v>0</v>
          </cell>
          <cell r="P3088">
            <v>2457</v>
          </cell>
          <cell r="V3088" t="str">
            <v>Not Available</v>
          </cell>
        </row>
        <row r="3089">
          <cell r="E3089">
            <v>10120094</v>
          </cell>
          <cell r="H3089">
            <v>56.429999999999993</v>
          </cell>
          <cell r="I3089">
            <v>2398.2399999999998</v>
          </cell>
          <cell r="J3089">
            <v>0</v>
          </cell>
          <cell r="K3089">
            <v>0</v>
          </cell>
          <cell r="M3089">
            <v>0</v>
          </cell>
          <cell r="P3089">
            <v>2398</v>
          </cell>
          <cell r="V3089" t="str">
            <v>Not Available</v>
          </cell>
        </row>
        <row r="3090">
          <cell r="E3090">
            <v>10120094</v>
          </cell>
          <cell r="H3090">
            <v>47.8</v>
          </cell>
          <cell r="I3090">
            <v>1944.18</v>
          </cell>
          <cell r="J3090">
            <v>0</v>
          </cell>
          <cell r="K3090">
            <v>0</v>
          </cell>
          <cell r="M3090">
            <v>0</v>
          </cell>
          <cell r="P3090">
            <v>1944</v>
          </cell>
          <cell r="V3090" t="str">
            <v>Not Available</v>
          </cell>
        </row>
        <row r="3091">
          <cell r="E3091">
            <v>10120094</v>
          </cell>
          <cell r="H3091">
            <v>50.16</v>
          </cell>
          <cell r="I3091">
            <v>2248.1600000000003</v>
          </cell>
          <cell r="J3091">
            <v>0</v>
          </cell>
          <cell r="K3091">
            <v>0</v>
          </cell>
          <cell r="M3091">
            <v>0</v>
          </cell>
          <cell r="P3091">
            <v>2248</v>
          </cell>
          <cell r="V3091" t="str">
            <v>Not Available</v>
          </cell>
        </row>
        <row r="3092">
          <cell r="E3092">
            <v>10120094</v>
          </cell>
          <cell r="H3092">
            <v>27.729999999999997</v>
          </cell>
          <cell r="I3092">
            <v>1167.42</v>
          </cell>
          <cell r="J3092">
            <v>0</v>
          </cell>
          <cell r="K3092">
            <v>0</v>
          </cell>
          <cell r="M3092">
            <v>0</v>
          </cell>
          <cell r="P3092">
            <v>1167</v>
          </cell>
          <cell r="V3092" t="str">
            <v>Not Available</v>
          </cell>
        </row>
        <row r="3093">
          <cell r="E3093">
            <v>10120094</v>
          </cell>
          <cell r="H3093">
            <v>92.6</v>
          </cell>
          <cell r="I3093">
            <v>3551.93</v>
          </cell>
          <cell r="J3093">
            <v>0</v>
          </cell>
          <cell r="K3093">
            <v>0</v>
          </cell>
          <cell r="M3093">
            <v>0</v>
          </cell>
          <cell r="P3093">
            <v>3552</v>
          </cell>
          <cell r="V3093" t="str">
            <v>Not Available</v>
          </cell>
        </row>
        <row r="3094">
          <cell r="E3094">
            <v>10120094</v>
          </cell>
          <cell r="H3094">
            <v>36.089999999999996</v>
          </cell>
          <cell r="I3094">
            <v>1511.49</v>
          </cell>
          <cell r="J3094">
            <v>0</v>
          </cell>
          <cell r="K3094">
            <v>0</v>
          </cell>
          <cell r="M3094">
            <v>0</v>
          </cell>
          <cell r="P3094">
            <v>1511</v>
          </cell>
          <cell r="V3094" t="str">
            <v>Not Available</v>
          </cell>
        </row>
        <row r="3095">
          <cell r="E3095">
            <v>10120094</v>
          </cell>
          <cell r="H3095">
            <v>47.160000000000004</v>
          </cell>
          <cell r="I3095">
            <v>2005.88</v>
          </cell>
          <cell r="J3095">
            <v>0</v>
          </cell>
          <cell r="K3095">
            <v>0</v>
          </cell>
          <cell r="M3095">
            <v>0</v>
          </cell>
          <cell r="P3095">
            <v>2006</v>
          </cell>
          <cell r="V3095" t="str">
            <v>Not Available</v>
          </cell>
        </row>
        <row r="3096">
          <cell r="E3096">
            <v>10120095</v>
          </cell>
          <cell r="H3096">
            <v>155.94999999999999</v>
          </cell>
          <cell r="I3096">
            <v>6584.8700000000008</v>
          </cell>
          <cell r="J3096">
            <v>0</v>
          </cell>
          <cell r="K3096">
            <v>0</v>
          </cell>
          <cell r="M3096">
            <v>0</v>
          </cell>
          <cell r="P3096">
            <v>6082</v>
          </cell>
          <cell r="V3096" t="str">
            <v>Available</v>
          </cell>
        </row>
        <row r="3097">
          <cell r="E3097">
            <v>10120095</v>
          </cell>
          <cell r="H3097">
            <v>2</v>
          </cell>
          <cell r="I3097">
            <v>84.24</v>
          </cell>
          <cell r="J3097">
            <v>0</v>
          </cell>
          <cell r="K3097">
            <v>0</v>
          </cell>
          <cell r="M3097">
            <v>0</v>
          </cell>
          <cell r="P3097">
            <v>84</v>
          </cell>
          <cell r="V3097" t="str">
            <v>Available</v>
          </cell>
        </row>
        <row r="3098">
          <cell r="E3098">
            <v>10120095</v>
          </cell>
          <cell r="H3098">
            <v>2.5</v>
          </cell>
          <cell r="I3098">
            <v>106</v>
          </cell>
          <cell r="J3098">
            <v>0</v>
          </cell>
          <cell r="K3098">
            <v>0</v>
          </cell>
          <cell r="M3098">
            <v>0</v>
          </cell>
          <cell r="P3098">
            <v>106</v>
          </cell>
          <cell r="V3098" t="str">
            <v>Not Available</v>
          </cell>
        </row>
        <row r="3099">
          <cell r="E3099">
            <v>10120095</v>
          </cell>
          <cell r="H3099">
            <v>5.5</v>
          </cell>
          <cell r="I3099">
            <v>231.66</v>
          </cell>
          <cell r="J3099">
            <v>0</v>
          </cell>
          <cell r="K3099">
            <v>0</v>
          </cell>
          <cell r="M3099">
            <v>0</v>
          </cell>
          <cell r="P3099">
            <v>232</v>
          </cell>
          <cell r="V3099" t="str">
            <v>Not Available</v>
          </cell>
        </row>
        <row r="3100">
          <cell r="E3100">
            <v>10120095</v>
          </cell>
          <cell r="H3100">
            <v>3.9</v>
          </cell>
          <cell r="I3100">
            <v>165.36</v>
          </cell>
          <cell r="J3100">
            <v>0</v>
          </cell>
          <cell r="K3100">
            <v>0</v>
          </cell>
          <cell r="M3100">
            <v>0</v>
          </cell>
          <cell r="P3100">
            <v>165</v>
          </cell>
          <cell r="V3100" t="str">
            <v>Not Available</v>
          </cell>
        </row>
        <row r="3101">
          <cell r="E3101">
            <v>10120104</v>
          </cell>
          <cell r="H3101">
            <v>133.16</v>
          </cell>
          <cell r="I3101">
            <v>5283.04</v>
          </cell>
          <cell r="J3101">
            <v>0</v>
          </cell>
          <cell r="K3101">
            <v>0</v>
          </cell>
          <cell r="M3101">
            <v>1400</v>
          </cell>
          <cell r="P3101">
            <v>3883</v>
          </cell>
          <cell r="V3101" t="str">
            <v>Available</v>
          </cell>
        </row>
        <row r="3102">
          <cell r="E3102">
            <v>10120104</v>
          </cell>
          <cell r="H3102">
            <v>104.54</v>
          </cell>
          <cell r="I3102">
            <v>4145.9800000000005</v>
          </cell>
          <cell r="J3102">
            <v>0</v>
          </cell>
          <cell r="K3102">
            <v>0</v>
          </cell>
          <cell r="M3102">
            <v>0</v>
          </cell>
          <cell r="P3102">
            <v>4146</v>
          </cell>
          <cell r="V3102" t="str">
            <v>Not Available</v>
          </cell>
        </row>
        <row r="3103">
          <cell r="E3103">
            <v>10120104</v>
          </cell>
          <cell r="H3103">
            <v>80.88</v>
          </cell>
          <cell r="I3103">
            <v>3179.2700000000004</v>
          </cell>
          <cell r="J3103">
            <v>0</v>
          </cell>
          <cell r="K3103">
            <v>0</v>
          </cell>
          <cell r="M3103">
            <v>0</v>
          </cell>
          <cell r="P3103">
            <v>3179</v>
          </cell>
          <cell r="V3103" t="str">
            <v>Available</v>
          </cell>
        </row>
        <row r="3104">
          <cell r="E3104">
            <v>10120104</v>
          </cell>
          <cell r="H3104">
            <v>130.42000000000002</v>
          </cell>
          <cell r="I3104">
            <v>5106.41</v>
          </cell>
          <cell r="J3104">
            <v>0</v>
          </cell>
          <cell r="K3104">
            <v>0</v>
          </cell>
          <cell r="M3104">
            <v>0</v>
          </cell>
          <cell r="P3104">
            <v>5106</v>
          </cell>
          <cell r="V3104" t="str">
            <v>Not Available</v>
          </cell>
        </row>
        <row r="3105">
          <cell r="E3105">
            <v>10120104</v>
          </cell>
          <cell r="H3105">
            <v>91.43</v>
          </cell>
          <cell r="I3105">
            <v>3578.2700000000004</v>
          </cell>
          <cell r="J3105">
            <v>0</v>
          </cell>
          <cell r="K3105">
            <v>0</v>
          </cell>
          <cell r="M3105">
            <v>0</v>
          </cell>
          <cell r="P3105">
            <v>3578</v>
          </cell>
          <cell r="V3105" t="str">
            <v>Not Available</v>
          </cell>
        </row>
        <row r="3106">
          <cell r="E3106">
            <v>10120104</v>
          </cell>
          <cell r="H3106">
            <v>135.69000000000003</v>
          </cell>
          <cell r="I3106">
            <v>5337.130000000001</v>
          </cell>
          <cell r="J3106">
            <v>0</v>
          </cell>
          <cell r="K3106">
            <v>0</v>
          </cell>
          <cell r="M3106">
            <v>0</v>
          </cell>
          <cell r="P3106">
            <v>5337</v>
          </cell>
          <cell r="V3106" t="str">
            <v>Not Available</v>
          </cell>
        </row>
        <row r="3107">
          <cell r="E3107">
            <v>10120104</v>
          </cell>
          <cell r="H3107">
            <v>85.679999999999993</v>
          </cell>
          <cell r="I3107">
            <v>3362.68</v>
          </cell>
          <cell r="J3107">
            <v>0</v>
          </cell>
          <cell r="K3107">
            <v>0</v>
          </cell>
          <cell r="M3107">
            <v>0</v>
          </cell>
          <cell r="P3107">
            <v>3363</v>
          </cell>
          <cell r="V3107" t="str">
            <v>Not Available</v>
          </cell>
        </row>
        <row r="3108">
          <cell r="E3108">
            <v>10120104</v>
          </cell>
          <cell r="H3108">
            <v>98.3</v>
          </cell>
          <cell r="I3108">
            <v>3873.7899999999991</v>
          </cell>
          <cell r="J3108">
            <v>0</v>
          </cell>
          <cell r="K3108">
            <v>0</v>
          </cell>
          <cell r="M3108">
            <v>0</v>
          </cell>
          <cell r="P3108">
            <v>3874</v>
          </cell>
          <cell r="V3108" t="str">
            <v>Not Available</v>
          </cell>
        </row>
        <row r="3109">
          <cell r="E3109">
            <v>10120104</v>
          </cell>
          <cell r="H3109">
            <v>65.070000000000007</v>
          </cell>
          <cell r="I3109">
            <v>2555.98</v>
          </cell>
          <cell r="J3109">
            <v>0</v>
          </cell>
          <cell r="K3109">
            <v>0</v>
          </cell>
          <cell r="M3109">
            <v>0</v>
          </cell>
          <cell r="P3109">
            <v>2556</v>
          </cell>
          <cell r="V3109" t="str">
            <v>Not Available</v>
          </cell>
        </row>
        <row r="3110">
          <cell r="E3110">
            <v>10120104</v>
          </cell>
          <cell r="H3110">
            <v>53.819999999999993</v>
          </cell>
          <cell r="I3110">
            <v>2148.5499999999997</v>
          </cell>
          <cell r="J3110">
            <v>0</v>
          </cell>
          <cell r="K3110">
            <v>0</v>
          </cell>
          <cell r="M3110">
            <v>0</v>
          </cell>
          <cell r="P3110">
            <v>2149</v>
          </cell>
          <cell r="V3110" t="str">
            <v>Not Available</v>
          </cell>
        </row>
        <row r="3111">
          <cell r="E3111">
            <v>10120104</v>
          </cell>
          <cell r="H3111">
            <v>55.7</v>
          </cell>
          <cell r="I3111">
            <v>2205.9300000000003</v>
          </cell>
          <cell r="J3111">
            <v>0</v>
          </cell>
          <cell r="K3111">
            <v>0</v>
          </cell>
          <cell r="M3111">
            <v>0</v>
          </cell>
          <cell r="P3111">
            <v>2206</v>
          </cell>
          <cell r="V3111" t="str">
            <v>Not Available</v>
          </cell>
        </row>
        <row r="3112">
          <cell r="E3112">
            <v>10120104</v>
          </cell>
          <cell r="H3112">
            <v>49.129999999999995</v>
          </cell>
          <cell r="I3112">
            <v>1960.91</v>
          </cell>
          <cell r="J3112">
            <v>0</v>
          </cell>
          <cell r="K3112">
            <v>0</v>
          </cell>
          <cell r="M3112">
            <v>0</v>
          </cell>
          <cell r="P3112">
            <v>1961</v>
          </cell>
          <cell r="V3112" t="str">
            <v>Not Available</v>
          </cell>
        </row>
        <row r="3113">
          <cell r="E3113">
            <v>10120104</v>
          </cell>
          <cell r="H3113">
            <v>39.159999999999997</v>
          </cell>
          <cell r="I3113">
            <v>1539.98</v>
          </cell>
          <cell r="J3113">
            <v>0</v>
          </cell>
          <cell r="K3113">
            <v>0</v>
          </cell>
          <cell r="M3113">
            <v>0</v>
          </cell>
          <cell r="P3113">
            <v>1540</v>
          </cell>
          <cell r="V3113" t="str">
            <v>Not Available</v>
          </cell>
        </row>
        <row r="3114">
          <cell r="E3114">
            <v>10120104</v>
          </cell>
          <cell r="H3114">
            <v>18.509999999999998</v>
          </cell>
          <cell r="I3114">
            <v>721.56000000000006</v>
          </cell>
          <cell r="J3114">
            <v>0</v>
          </cell>
          <cell r="K3114">
            <v>0</v>
          </cell>
          <cell r="M3114">
            <v>0</v>
          </cell>
          <cell r="P3114">
            <v>722</v>
          </cell>
          <cell r="V3114" t="str">
            <v>Not Available</v>
          </cell>
        </row>
        <row r="3115">
          <cell r="E3115">
            <v>10120104</v>
          </cell>
          <cell r="H3115">
            <v>11.53</v>
          </cell>
          <cell r="I3115">
            <v>445.31</v>
          </cell>
          <cell r="J3115">
            <v>0</v>
          </cell>
          <cell r="K3115">
            <v>0</v>
          </cell>
          <cell r="M3115">
            <v>0</v>
          </cell>
          <cell r="P3115">
            <v>445</v>
          </cell>
          <cell r="V3115" t="str">
            <v>Not Available</v>
          </cell>
        </row>
        <row r="3116">
          <cell r="E3116">
            <v>10120104</v>
          </cell>
          <cell r="H3116">
            <v>1.5</v>
          </cell>
          <cell r="I3116">
            <v>60.47</v>
          </cell>
          <cell r="J3116">
            <v>0</v>
          </cell>
          <cell r="K3116">
            <v>0</v>
          </cell>
          <cell r="M3116">
            <v>0</v>
          </cell>
          <cell r="P3116">
            <v>60</v>
          </cell>
          <cell r="V3116" t="str">
            <v>Not Available</v>
          </cell>
        </row>
        <row r="3117">
          <cell r="E3117">
            <v>10120104</v>
          </cell>
          <cell r="H3117">
            <v>4.9000000000000004</v>
          </cell>
          <cell r="I3117">
            <v>188.65</v>
          </cell>
          <cell r="J3117">
            <v>0</v>
          </cell>
          <cell r="K3117">
            <v>0</v>
          </cell>
          <cell r="M3117">
            <v>0</v>
          </cell>
          <cell r="P3117">
            <v>189</v>
          </cell>
          <cell r="V3117" t="str">
            <v>Not Available</v>
          </cell>
        </row>
        <row r="3118">
          <cell r="E3118">
            <v>10120107</v>
          </cell>
          <cell r="H3118">
            <v>639.15000000000009</v>
          </cell>
          <cell r="I3118">
            <v>25842.01</v>
          </cell>
          <cell r="J3118">
            <v>0</v>
          </cell>
          <cell r="K3118">
            <v>0</v>
          </cell>
          <cell r="M3118">
            <v>0</v>
          </cell>
          <cell r="P3118">
            <v>25842</v>
          </cell>
          <cell r="V3118" t="str">
            <v>Available</v>
          </cell>
        </row>
        <row r="3119">
          <cell r="E3119">
            <v>10120107</v>
          </cell>
          <cell r="H3119">
            <v>2</v>
          </cell>
          <cell r="I3119">
            <v>81.459999999999994</v>
          </cell>
          <cell r="J3119">
            <v>0</v>
          </cell>
          <cell r="K3119">
            <v>0</v>
          </cell>
          <cell r="M3119">
            <v>0</v>
          </cell>
          <cell r="P3119">
            <v>81</v>
          </cell>
          <cell r="V3119" t="str">
            <v>Not Available</v>
          </cell>
        </row>
        <row r="3120">
          <cell r="E3120">
            <v>10120107</v>
          </cell>
          <cell r="H3120">
            <v>2</v>
          </cell>
          <cell r="I3120">
            <v>83.68</v>
          </cell>
          <cell r="J3120">
            <v>0</v>
          </cell>
          <cell r="K3120">
            <v>0</v>
          </cell>
          <cell r="M3120">
            <v>0</v>
          </cell>
          <cell r="P3120">
            <v>84</v>
          </cell>
          <cell r="V3120" t="str">
            <v>Not Available</v>
          </cell>
        </row>
        <row r="3121">
          <cell r="E3121">
            <v>10120107</v>
          </cell>
          <cell r="H3121">
            <v>2.2000000000000002</v>
          </cell>
          <cell r="I3121">
            <v>92.36</v>
          </cell>
          <cell r="J3121">
            <v>0</v>
          </cell>
          <cell r="K3121">
            <v>0</v>
          </cell>
          <cell r="M3121">
            <v>0</v>
          </cell>
          <cell r="P3121">
            <v>92</v>
          </cell>
          <cell r="V3121" t="str">
            <v>Not Available</v>
          </cell>
        </row>
        <row r="3122">
          <cell r="E3122">
            <v>10120107</v>
          </cell>
          <cell r="H3122">
            <v>2.5</v>
          </cell>
          <cell r="I3122">
            <v>102.53</v>
          </cell>
          <cell r="J3122">
            <v>0</v>
          </cell>
          <cell r="K3122">
            <v>0</v>
          </cell>
          <cell r="M3122">
            <v>0</v>
          </cell>
          <cell r="P3122">
            <v>103</v>
          </cell>
          <cell r="V3122" t="str">
            <v>Not Available</v>
          </cell>
        </row>
        <row r="3123">
          <cell r="E3123">
            <v>10120107</v>
          </cell>
          <cell r="H3123">
            <v>1.9</v>
          </cell>
          <cell r="I3123">
            <v>76.59</v>
          </cell>
          <cell r="J3123">
            <v>0</v>
          </cell>
          <cell r="K3123">
            <v>0</v>
          </cell>
          <cell r="M3123">
            <v>0</v>
          </cell>
          <cell r="P3123">
            <v>77</v>
          </cell>
          <cell r="V3123" t="str">
            <v>Not Available</v>
          </cell>
        </row>
        <row r="3124">
          <cell r="E3124">
            <v>10120107</v>
          </cell>
          <cell r="H3124">
            <v>2.8</v>
          </cell>
          <cell r="I3124">
            <v>117.94</v>
          </cell>
          <cell r="J3124">
            <v>0</v>
          </cell>
          <cell r="K3124">
            <v>0</v>
          </cell>
          <cell r="M3124">
            <v>0</v>
          </cell>
          <cell r="P3124">
            <v>118</v>
          </cell>
          <cell r="V3124" t="str">
            <v>Not Available</v>
          </cell>
        </row>
        <row r="3125">
          <cell r="E3125">
            <v>10120107</v>
          </cell>
          <cell r="H3125">
            <v>4</v>
          </cell>
          <cell r="I3125">
            <v>156.80000000000001</v>
          </cell>
          <cell r="J3125">
            <v>0</v>
          </cell>
          <cell r="K3125">
            <v>0</v>
          </cell>
          <cell r="M3125">
            <v>0</v>
          </cell>
          <cell r="P3125">
            <v>157</v>
          </cell>
          <cell r="V3125" t="str">
            <v>Not Available</v>
          </cell>
        </row>
        <row r="3126">
          <cell r="E3126">
            <v>10120107</v>
          </cell>
          <cell r="H3126">
            <v>4</v>
          </cell>
          <cell r="I3126">
            <v>176.8</v>
          </cell>
          <cell r="J3126">
            <v>0</v>
          </cell>
          <cell r="K3126">
            <v>0</v>
          </cell>
          <cell r="M3126">
            <v>0</v>
          </cell>
          <cell r="P3126">
            <v>177</v>
          </cell>
          <cell r="V3126" t="str">
            <v>Not Available</v>
          </cell>
        </row>
        <row r="3127">
          <cell r="E3127">
            <v>10120107</v>
          </cell>
          <cell r="H3127">
            <v>3</v>
          </cell>
          <cell r="I3127">
            <v>120.09</v>
          </cell>
          <cell r="J3127">
            <v>0</v>
          </cell>
          <cell r="K3127">
            <v>0</v>
          </cell>
          <cell r="M3127">
            <v>0</v>
          </cell>
          <cell r="P3127">
            <v>120</v>
          </cell>
          <cell r="V3127" t="str">
            <v>Not Available</v>
          </cell>
        </row>
        <row r="3128">
          <cell r="E3128">
            <v>10120107</v>
          </cell>
          <cell r="H3128">
            <v>4</v>
          </cell>
          <cell r="I3128">
            <v>169.6</v>
          </cell>
          <cell r="J3128">
            <v>0</v>
          </cell>
          <cell r="K3128">
            <v>0</v>
          </cell>
          <cell r="M3128">
            <v>0</v>
          </cell>
          <cell r="P3128">
            <v>170</v>
          </cell>
          <cell r="V3128" t="str">
            <v>Not Available</v>
          </cell>
        </row>
        <row r="3129">
          <cell r="E3129">
            <v>10120108</v>
          </cell>
          <cell r="H3129">
            <v>96.999999999999986</v>
          </cell>
          <cell r="I3129">
            <v>4290.8999999999996</v>
          </cell>
          <cell r="J3129">
            <v>0</v>
          </cell>
          <cell r="K3129">
            <v>0</v>
          </cell>
          <cell r="M3129">
            <v>0</v>
          </cell>
          <cell r="P3129">
            <v>4291</v>
          </cell>
          <cell r="V3129" t="str">
            <v>Available</v>
          </cell>
        </row>
        <row r="3130">
          <cell r="E3130">
            <v>10120108</v>
          </cell>
          <cell r="H3130">
            <v>30.400000000000002</v>
          </cell>
          <cell r="I3130">
            <v>1314.74</v>
          </cell>
          <cell r="J3130">
            <v>0</v>
          </cell>
          <cell r="K3130">
            <v>0</v>
          </cell>
          <cell r="M3130">
            <v>0</v>
          </cell>
          <cell r="P3130">
            <v>1315</v>
          </cell>
          <cell r="V3130" t="str">
            <v>Available</v>
          </cell>
        </row>
        <row r="3131">
          <cell r="E3131">
            <v>10120108</v>
          </cell>
          <cell r="H3131">
            <v>32.4</v>
          </cell>
          <cell r="I3131">
            <v>1294.3399999999999</v>
          </cell>
          <cell r="J3131">
            <v>0</v>
          </cell>
          <cell r="K3131">
            <v>0</v>
          </cell>
          <cell r="M3131">
            <v>0</v>
          </cell>
          <cell r="P3131">
            <v>1294</v>
          </cell>
          <cell r="V3131" t="str">
            <v>Available</v>
          </cell>
        </row>
        <row r="3132">
          <cell r="E3132">
            <v>10120108</v>
          </cell>
          <cell r="H3132">
            <v>17.2</v>
          </cell>
          <cell r="I3132">
            <v>806.94</v>
          </cell>
          <cell r="J3132">
            <v>0</v>
          </cell>
          <cell r="K3132">
            <v>0</v>
          </cell>
          <cell r="M3132">
            <v>0</v>
          </cell>
          <cell r="P3132">
            <v>807</v>
          </cell>
          <cell r="V3132" t="str">
            <v>Available</v>
          </cell>
        </row>
        <row r="3133">
          <cell r="E3133">
            <v>10120108</v>
          </cell>
          <cell r="H3133">
            <v>26.5</v>
          </cell>
          <cell r="I3133">
            <v>1113.1399999999999</v>
          </cell>
          <cell r="J3133">
            <v>0</v>
          </cell>
          <cell r="K3133">
            <v>0</v>
          </cell>
          <cell r="M3133">
            <v>0</v>
          </cell>
          <cell r="P3133">
            <v>1113</v>
          </cell>
          <cell r="V3133" t="str">
            <v>Available</v>
          </cell>
        </row>
        <row r="3134">
          <cell r="E3134">
            <v>10120108</v>
          </cell>
          <cell r="H3134">
            <v>5.2</v>
          </cell>
          <cell r="I3134">
            <v>270.41999999999996</v>
          </cell>
          <cell r="J3134">
            <v>0</v>
          </cell>
          <cell r="K3134">
            <v>0</v>
          </cell>
          <cell r="M3134">
            <v>0</v>
          </cell>
          <cell r="P3134">
            <v>270</v>
          </cell>
          <cell r="V3134" t="str">
            <v>Not Available</v>
          </cell>
        </row>
        <row r="3135">
          <cell r="E3135">
            <v>10120108</v>
          </cell>
          <cell r="H3135">
            <v>8</v>
          </cell>
          <cell r="I3135">
            <v>349.85</v>
          </cell>
          <cell r="J3135">
            <v>0</v>
          </cell>
          <cell r="K3135">
            <v>0</v>
          </cell>
          <cell r="M3135">
            <v>0</v>
          </cell>
          <cell r="P3135">
            <v>350</v>
          </cell>
          <cell r="V3135" t="str">
            <v>Not Available</v>
          </cell>
        </row>
        <row r="3136">
          <cell r="E3136">
            <v>10120108</v>
          </cell>
          <cell r="H3136">
            <v>33.4</v>
          </cell>
          <cell r="I3136">
            <v>1272.7500000000002</v>
          </cell>
          <cell r="J3136">
            <v>0</v>
          </cell>
          <cell r="K3136">
            <v>0</v>
          </cell>
          <cell r="M3136">
            <v>0</v>
          </cell>
          <cell r="P3136">
            <v>1273</v>
          </cell>
          <cell r="V3136" t="str">
            <v>Not Available</v>
          </cell>
        </row>
        <row r="3137">
          <cell r="E3137">
            <v>10120108</v>
          </cell>
          <cell r="H3137">
            <v>1.3</v>
          </cell>
          <cell r="I3137">
            <v>52.22</v>
          </cell>
          <cell r="J3137">
            <v>0</v>
          </cell>
          <cell r="K3137">
            <v>0</v>
          </cell>
          <cell r="M3137">
            <v>0</v>
          </cell>
          <cell r="P3137">
            <v>52</v>
          </cell>
          <cell r="V3137" t="str">
            <v>Not Available</v>
          </cell>
        </row>
        <row r="3138">
          <cell r="E3138">
            <v>10120108</v>
          </cell>
          <cell r="H3138">
            <v>16.600000000000001</v>
          </cell>
          <cell r="I3138">
            <v>1147.07</v>
          </cell>
          <cell r="J3138">
            <v>0</v>
          </cell>
          <cell r="K3138">
            <v>0</v>
          </cell>
          <cell r="M3138">
            <v>0</v>
          </cell>
          <cell r="P3138">
            <v>1147</v>
          </cell>
          <cell r="V3138" t="str">
            <v>Not Available</v>
          </cell>
        </row>
        <row r="3139">
          <cell r="E3139">
            <v>10120108</v>
          </cell>
          <cell r="H3139">
            <v>59.300000000000004</v>
          </cell>
          <cell r="I3139">
            <v>2483.61</v>
          </cell>
          <cell r="J3139">
            <v>0</v>
          </cell>
          <cell r="K3139">
            <v>0</v>
          </cell>
          <cell r="M3139">
            <v>0</v>
          </cell>
          <cell r="P3139">
            <v>2484</v>
          </cell>
          <cell r="V3139" t="str">
            <v>Available</v>
          </cell>
        </row>
        <row r="3140">
          <cell r="E3140">
            <v>10120108</v>
          </cell>
          <cell r="H3140">
            <v>46.400000000000006</v>
          </cell>
          <cell r="I3140">
            <v>1826.79</v>
          </cell>
          <cell r="J3140">
            <v>0</v>
          </cell>
          <cell r="K3140">
            <v>0</v>
          </cell>
          <cell r="M3140">
            <v>0</v>
          </cell>
          <cell r="P3140">
            <v>1827</v>
          </cell>
          <cell r="V3140" t="str">
            <v>Not Available</v>
          </cell>
        </row>
        <row r="3141">
          <cell r="E3141">
            <v>10120108</v>
          </cell>
          <cell r="H3141">
            <v>14.399999999999999</v>
          </cell>
          <cell r="I3141">
            <v>560.4</v>
          </cell>
          <cell r="J3141">
            <v>0</v>
          </cell>
          <cell r="K3141">
            <v>0</v>
          </cell>
          <cell r="M3141">
            <v>0</v>
          </cell>
          <cell r="P3141">
            <v>560</v>
          </cell>
          <cell r="V3141" t="str">
            <v>Not Available</v>
          </cell>
        </row>
        <row r="3142">
          <cell r="E3142">
            <v>10120111</v>
          </cell>
          <cell r="H3142">
            <v>1.3</v>
          </cell>
          <cell r="I3142">
            <v>50.6</v>
          </cell>
          <cell r="J3142">
            <v>0</v>
          </cell>
          <cell r="K3142">
            <v>50.6</v>
          </cell>
          <cell r="M3142">
            <v>0</v>
          </cell>
          <cell r="P3142">
            <v>0</v>
          </cell>
          <cell r="V3142" t="str">
            <v>Not Available</v>
          </cell>
        </row>
        <row r="3143">
          <cell r="E3143">
            <v>10120111</v>
          </cell>
          <cell r="H3143">
            <v>8.5500000000000007</v>
          </cell>
          <cell r="I3143">
            <v>369.62</v>
          </cell>
          <cell r="J3143">
            <v>0</v>
          </cell>
          <cell r="K3143">
            <v>0</v>
          </cell>
          <cell r="M3143">
            <v>0</v>
          </cell>
          <cell r="P3143">
            <v>370</v>
          </cell>
          <cell r="V3143" t="str">
            <v>Available</v>
          </cell>
        </row>
        <row r="3144">
          <cell r="E3144">
            <v>10120111</v>
          </cell>
          <cell r="H3144">
            <v>0.1</v>
          </cell>
          <cell r="I3144">
            <v>4.2</v>
          </cell>
          <cell r="J3144">
            <v>0</v>
          </cell>
          <cell r="K3144">
            <v>0</v>
          </cell>
          <cell r="M3144">
            <v>0</v>
          </cell>
          <cell r="P3144">
            <v>4</v>
          </cell>
          <cell r="V3144" t="str">
            <v>Available</v>
          </cell>
        </row>
        <row r="3145">
          <cell r="E3145">
            <v>10120111</v>
          </cell>
          <cell r="H3145">
            <v>152.05000000000001</v>
          </cell>
          <cell r="I3145">
            <v>6414.6</v>
          </cell>
          <cell r="J3145">
            <v>0</v>
          </cell>
          <cell r="K3145">
            <v>0</v>
          </cell>
          <cell r="M3145">
            <v>0</v>
          </cell>
          <cell r="P3145">
            <v>6415</v>
          </cell>
          <cell r="V3145" t="str">
            <v>Available</v>
          </cell>
        </row>
        <row r="3146">
          <cell r="E3146">
            <v>10120111</v>
          </cell>
          <cell r="H3146">
            <v>145</v>
          </cell>
          <cell r="I3146">
            <v>6103.7500000000009</v>
          </cell>
          <cell r="J3146">
            <v>0</v>
          </cell>
          <cell r="K3146">
            <v>0</v>
          </cell>
          <cell r="M3146">
            <v>0</v>
          </cell>
          <cell r="P3146">
            <v>6104</v>
          </cell>
          <cell r="V3146" t="str">
            <v>Not Available</v>
          </cell>
        </row>
        <row r="3147">
          <cell r="E3147">
            <v>10120111</v>
          </cell>
          <cell r="H3147">
            <v>120</v>
          </cell>
          <cell r="I3147">
            <v>5047.3000000000011</v>
          </cell>
          <cell r="J3147">
            <v>0</v>
          </cell>
          <cell r="K3147">
            <v>0</v>
          </cell>
          <cell r="M3147">
            <v>0</v>
          </cell>
          <cell r="P3147">
            <v>5047</v>
          </cell>
          <cell r="V3147" t="str">
            <v>Not Available</v>
          </cell>
        </row>
        <row r="3148">
          <cell r="E3148">
            <v>10120111</v>
          </cell>
          <cell r="H3148">
            <v>95</v>
          </cell>
          <cell r="I3148">
            <v>4023.45</v>
          </cell>
          <cell r="J3148">
            <v>0</v>
          </cell>
          <cell r="K3148">
            <v>0</v>
          </cell>
          <cell r="M3148">
            <v>0</v>
          </cell>
          <cell r="P3148">
            <v>4023</v>
          </cell>
          <cell r="V3148" t="str">
            <v>Not Available</v>
          </cell>
        </row>
        <row r="3149">
          <cell r="E3149">
            <v>10120111</v>
          </cell>
          <cell r="H3149">
            <v>99.55</v>
          </cell>
          <cell r="I3149">
            <v>4221.91</v>
          </cell>
          <cell r="J3149">
            <v>0</v>
          </cell>
          <cell r="K3149">
            <v>0</v>
          </cell>
          <cell r="M3149">
            <v>0</v>
          </cell>
          <cell r="P3149">
            <v>4222</v>
          </cell>
          <cell r="V3149" t="str">
            <v>Not Available</v>
          </cell>
        </row>
        <row r="3150">
          <cell r="E3150">
            <v>10120111</v>
          </cell>
          <cell r="H3150">
            <v>72.650000000000006</v>
          </cell>
          <cell r="I3150">
            <v>3089.73</v>
          </cell>
          <cell r="J3150">
            <v>0</v>
          </cell>
          <cell r="K3150">
            <v>0</v>
          </cell>
          <cell r="M3150">
            <v>0</v>
          </cell>
          <cell r="P3150">
            <v>3090</v>
          </cell>
          <cell r="V3150" t="str">
            <v>Not Available</v>
          </cell>
        </row>
        <row r="3151">
          <cell r="E3151">
            <v>10120111</v>
          </cell>
          <cell r="H3151">
            <v>50</v>
          </cell>
          <cell r="I3151">
            <v>2097.6</v>
          </cell>
          <cell r="J3151">
            <v>0</v>
          </cell>
          <cell r="K3151">
            <v>0</v>
          </cell>
          <cell r="M3151">
            <v>0</v>
          </cell>
          <cell r="P3151">
            <v>2098</v>
          </cell>
          <cell r="V3151" t="str">
            <v>Not Available</v>
          </cell>
        </row>
        <row r="3152">
          <cell r="E3152">
            <v>10120111</v>
          </cell>
          <cell r="H3152">
            <v>72.37</v>
          </cell>
          <cell r="I3152">
            <v>3037.24</v>
          </cell>
          <cell r="J3152">
            <v>0</v>
          </cell>
          <cell r="K3152">
            <v>0</v>
          </cell>
          <cell r="M3152">
            <v>0</v>
          </cell>
          <cell r="P3152">
            <v>3037</v>
          </cell>
          <cell r="V3152" t="str">
            <v>Not Available</v>
          </cell>
        </row>
        <row r="3153">
          <cell r="E3153">
            <v>10120111</v>
          </cell>
          <cell r="H3153">
            <v>80</v>
          </cell>
          <cell r="I3153">
            <v>3355.41</v>
          </cell>
          <cell r="J3153">
            <v>0</v>
          </cell>
          <cell r="K3153">
            <v>0</v>
          </cell>
          <cell r="M3153">
            <v>0</v>
          </cell>
          <cell r="P3153">
            <v>3355</v>
          </cell>
          <cell r="V3153" t="str">
            <v>Not Available</v>
          </cell>
        </row>
        <row r="3154">
          <cell r="E3154">
            <v>10120113</v>
          </cell>
          <cell r="H3154">
            <v>0.3</v>
          </cell>
          <cell r="I3154">
            <v>10.59</v>
          </cell>
          <cell r="J3154">
            <v>0</v>
          </cell>
          <cell r="K3154">
            <v>10.59</v>
          </cell>
          <cell r="M3154">
            <v>0</v>
          </cell>
          <cell r="P3154">
            <v>0</v>
          </cell>
          <cell r="V3154" t="str">
            <v>Not Available</v>
          </cell>
        </row>
        <row r="3155">
          <cell r="E3155">
            <v>10120113</v>
          </cell>
          <cell r="H3155">
            <v>26.34</v>
          </cell>
          <cell r="I3155">
            <v>1054.97</v>
          </cell>
          <cell r="J3155">
            <v>0</v>
          </cell>
          <cell r="K3155">
            <v>0</v>
          </cell>
          <cell r="M3155">
            <v>0</v>
          </cell>
          <cell r="P3155">
            <v>555</v>
          </cell>
          <cell r="V3155" t="str">
            <v>Available</v>
          </cell>
        </row>
        <row r="3156">
          <cell r="E3156">
            <v>10120113</v>
          </cell>
          <cell r="H3156">
            <v>53.24</v>
          </cell>
          <cell r="I3156">
            <v>2011</v>
          </cell>
          <cell r="J3156">
            <v>0</v>
          </cell>
          <cell r="K3156">
            <v>0</v>
          </cell>
          <cell r="M3156">
            <v>0</v>
          </cell>
          <cell r="P3156">
            <v>2011</v>
          </cell>
          <cell r="V3156" t="str">
            <v>Available</v>
          </cell>
        </row>
        <row r="3157">
          <cell r="E3157">
            <v>10120114</v>
          </cell>
          <cell r="H3157">
            <v>80.40000000000002</v>
          </cell>
          <cell r="I3157">
            <v>3420.9600000000005</v>
          </cell>
          <cell r="J3157">
            <v>0</v>
          </cell>
          <cell r="K3157">
            <v>0</v>
          </cell>
          <cell r="M3157">
            <v>0</v>
          </cell>
          <cell r="P3157">
            <v>2921</v>
          </cell>
          <cell r="V3157" t="str">
            <v>Available</v>
          </cell>
        </row>
        <row r="3158">
          <cell r="E3158">
            <v>10120114</v>
          </cell>
          <cell r="H3158">
            <v>28.3</v>
          </cell>
          <cell r="I3158">
            <v>1154.6600000000003</v>
          </cell>
          <cell r="J3158">
            <v>0</v>
          </cell>
          <cell r="K3158">
            <v>0</v>
          </cell>
          <cell r="M3158">
            <v>0</v>
          </cell>
          <cell r="P3158">
            <v>1155</v>
          </cell>
          <cell r="V3158" t="str">
            <v>Not Available</v>
          </cell>
        </row>
        <row r="3159">
          <cell r="E3159">
            <v>10120114</v>
          </cell>
          <cell r="H3159">
            <v>10.7</v>
          </cell>
          <cell r="I3159">
            <v>376.82</v>
          </cell>
          <cell r="J3159">
            <v>0</v>
          </cell>
          <cell r="K3159">
            <v>0</v>
          </cell>
          <cell r="M3159">
            <v>0</v>
          </cell>
          <cell r="P3159">
            <v>377</v>
          </cell>
          <cell r="V3159" t="str">
            <v>Not Available</v>
          </cell>
        </row>
        <row r="3160">
          <cell r="E3160">
            <v>10120114</v>
          </cell>
          <cell r="H3160">
            <v>38</v>
          </cell>
          <cell r="I3160">
            <v>1444.7700000000002</v>
          </cell>
          <cell r="J3160">
            <v>0</v>
          </cell>
          <cell r="K3160">
            <v>0</v>
          </cell>
          <cell r="M3160">
            <v>0</v>
          </cell>
          <cell r="P3160">
            <v>1445</v>
          </cell>
          <cell r="V3160" t="str">
            <v>Not Available</v>
          </cell>
        </row>
        <row r="3161">
          <cell r="E3161">
            <v>10120116</v>
          </cell>
          <cell r="H3161">
            <v>57.300000000000004</v>
          </cell>
          <cell r="I3161">
            <v>2714.9900000000002</v>
          </cell>
          <cell r="J3161">
            <v>0</v>
          </cell>
          <cell r="K3161">
            <v>2714.9900000000002</v>
          </cell>
          <cell r="M3161">
            <v>0</v>
          </cell>
          <cell r="P3161">
            <v>0</v>
          </cell>
          <cell r="V3161" t="str">
            <v>Not Available</v>
          </cell>
        </row>
        <row r="3162">
          <cell r="E3162">
            <v>10120116</v>
          </cell>
          <cell r="H3162">
            <v>42.7</v>
          </cell>
          <cell r="I3162">
            <v>1492.8200000000002</v>
          </cell>
          <cell r="J3162">
            <v>0</v>
          </cell>
          <cell r="K3162">
            <v>0</v>
          </cell>
          <cell r="M3162">
            <v>0</v>
          </cell>
          <cell r="P3162">
            <v>1493</v>
          </cell>
          <cell r="V3162" t="str">
            <v>Available</v>
          </cell>
        </row>
        <row r="3163">
          <cell r="E3163">
            <v>10120116</v>
          </cell>
          <cell r="H3163">
            <v>31.900000000000002</v>
          </cell>
          <cell r="I3163">
            <v>1069.04</v>
          </cell>
          <cell r="J3163">
            <v>0</v>
          </cell>
          <cell r="K3163">
            <v>0</v>
          </cell>
          <cell r="M3163">
            <v>0</v>
          </cell>
          <cell r="P3163">
            <v>1069</v>
          </cell>
          <cell r="V3163" t="str">
            <v>Available</v>
          </cell>
        </row>
        <row r="3164">
          <cell r="E3164">
            <v>10120116</v>
          </cell>
          <cell r="H3164">
            <v>7.7</v>
          </cell>
          <cell r="I3164">
            <v>322.89000000000004</v>
          </cell>
          <cell r="J3164">
            <v>0</v>
          </cell>
          <cell r="K3164">
            <v>0</v>
          </cell>
          <cell r="M3164">
            <v>0</v>
          </cell>
          <cell r="P3164">
            <v>323</v>
          </cell>
          <cell r="V3164" t="str">
            <v>Available</v>
          </cell>
        </row>
        <row r="3165">
          <cell r="E3165">
            <v>10120116</v>
          </cell>
          <cell r="H3165">
            <v>276.3</v>
          </cell>
          <cell r="I3165">
            <v>10626.300000000001</v>
          </cell>
          <cell r="J3165">
            <v>0</v>
          </cell>
          <cell r="K3165">
            <v>0</v>
          </cell>
          <cell r="M3165">
            <v>0</v>
          </cell>
          <cell r="P3165">
            <v>10626</v>
          </cell>
          <cell r="V3165" t="str">
            <v>Available</v>
          </cell>
        </row>
        <row r="3166">
          <cell r="E3166">
            <v>10120116</v>
          </cell>
          <cell r="H3166">
            <v>20.599999999999998</v>
          </cell>
          <cell r="I3166">
            <v>841.05</v>
          </cell>
          <cell r="J3166">
            <v>0</v>
          </cell>
          <cell r="K3166">
            <v>0</v>
          </cell>
          <cell r="M3166">
            <v>0</v>
          </cell>
          <cell r="P3166">
            <v>841</v>
          </cell>
          <cell r="V3166" t="str">
            <v>Not Available</v>
          </cell>
        </row>
        <row r="3167">
          <cell r="E3167">
            <v>10120116</v>
          </cell>
          <cell r="H3167">
            <v>25.3</v>
          </cell>
          <cell r="I3167">
            <v>1583.9</v>
          </cell>
          <cell r="J3167">
            <v>0</v>
          </cell>
          <cell r="K3167">
            <v>0</v>
          </cell>
          <cell r="M3167">
            <v>0</v>
          </cell>
          <cell r="P3167">
            <v>1584</v>
          </cell>
          <cell r="V3167" t="str">
            <v>Not Available</v>
          </cell>
        </row>
        <row r="3168">
          <cell r="E3168">
            <v>10120116</v>
          </cell>
          <cell r="H3168">
            <v>103.39999999999999</v>
          </cell>
          <cell r="I3168">
            <v>3580.3</v>
          </cell>
          <cell r="J3168">
            <v>0</v>
          </cell>
          <cell r="K3168">
            <v>0</v>
          </cell>
          <cell r="M3168">
            <v>0</v>
          </cell>
          <cell r="P3168">
            <v>3580</v>
          </cell>
          <cell r="V3168" t="str">
            <v>Not Available</v>
          </cell>
        </row>
        <row r="3169">
          <cell r="E3169">
            <v>10120116</v>
          </cell>
          <cell r="H3169">
            <v>62.90000000000002</v>
          </cell>
          <cell r="I3169">
            <v>2205.06</v>
          </cell>
          <cell r="J3169">
            <v>0</v>
          </cell>
          <cell r="K3169">
            <v>0</v>
          </cell>
          <cell r="M3169">
            <v>0</v>
          </cell>
          <cell r="P3169">
            <v>2205</v>
          </cell>
          <cell r="V3169" t="str">
            <v>Not Available</v>
          </cell>
        </row>
        <row r="3170">
          <cell r="E3170">
            <v>10120116</v>
          </cell>
          <cell r="H3170">
            <v>59.29999999999999</v>
          </cell>
          <cell r="I3170">
            <v>2536.42</v>
          </cell>
          <cell r="J3170">
            <v>0</v>
          </cell>
          <cell r="K3170">
            <v>0</v>
          </cell>
          <cell r="M3170">
            <v>0</v>
          </cell>
          <cell r="P3170">
            <v>2536</v>
          </cell>
          <cell r="V3170" t="str">
            <v>Not Available</v>
          </cell>
        </row>
        <row r="3171">
          <cell r="E3171">
            <v>10120116</v>
          </cell>
          <cell r="H3171">
            <v>15.9</v>
          </cell>
          <cell r="I3171">
            <v>661.3900000000001</v>
          </cell>
          <cell r="J3171">
            <v>0</v>
          </cell>
          <cell r="K3171">
            <v>0</v>
          </cell>
          <cell r="M3171">
            <v>0</v>
          </cell>
          <cell r="P3171">
            <v>661</v>
          </cell>
          <cell r="V3171" t="str">
            <v>Not Available</v>
          </cell>
        </row>
        <row r="3172">
          <cell r="E3172">
            <v>10120116</v>
          </cell>
          <cell r="H3172">
            <v>40</v>
          </cell>
          <cell r="I3172">
            <v>1656.3099999999997</v>
          </cell>
          <cell r="J3172">
            <v>0</v>
          </cell>
          <cell r="K3172">
            <v>0</v>
          </cell>
          <cell r="M3172">
            <v>0</v>
          </cell>
          <cell r="P3172">
            <v>1656</v>
          </cell>
          <cell r="V3172" t="str">
            <v>Not Available</v>
          </cell>
        </row>
        <row r="3173">
          <cell r="E3173">
            <v>10120116</v>
          </cell>
          <cell r="H3173">
            <v>45.9</v>
          </cell>
          <cell r="I3173">
            <v>1801.9200000000003</v>
          </cell>
          <cell r="J3173">
            <v>0</v>
          </cell>
          <cell r="K3173">
            <v>0</v>
          </cell>
          <cell r="M3173">
            <v>0</v>
          </cell>
          <cell r="P3173">
            <v>1802</v>
          </cell>
          <cell r="V3173" t="str">
            <v>Not Available</v>
          </cell>
        </row>
        <row r="3174">
          <cell r="E3174">
            <v>10120116</v>
          </cell>
          <cell r="H3174">
            <v>17.5</v>
          </cell>
          <cell r="I3174">
            <v>1012.9</v>
          </cell>
          <cell r="J3174">
            <v>0</v>
          </cell>
          <cell r="K3174">
            <v>0</v>
          </cell>
          <cell r="M3174">
            <v>0</v>
          </cell>
          <cell r="P3174">
            <v>1013</v>
          </cell>
          <cell r="V3174" t="str">
            <v>Not Available</v>
          </cell>
        </row>
        <row r="3175">
          <cell r="E3175">
            <v>10120116</v>
          </cell>
          <cell r="H3175">
            <v>78.699999999999989</v>
          </cell>
          <cell r="I3175">
            <v>2913.95</v>
          </cell>
          <cell r="J3175">
            <v>0</v>
          </cell>
          <cell r="K3175">
            <v>0</v>
          </cell>
          <cell r="M3175">
            <v>0</v>
          </cell>
          <cell r="P3175">
            <v>2914</v>
          </cell>
          <cell r="V3175" t="str">
            <v>Not Available</v>
          </cell>
        </row>
        <row r="3176">
          <cell r="E3176">
            <v>10120116</v>
          </cell>
          <cell r="H3176">
            <v>45.699999999999996</v>
          </cell>
          <cell r="I3176">
            <v>1815.64</v>
          </cell>
          <cell r="J3176">
            <v>0</v>
          </cell>
          <cell r="K3176">
            <v>0</v>
          </cell>
          <cell r="M3176">
            <v>0</v>
          </cell>
          <cell r="P3176">
            <v>1816</v>
          </cell>
          <cell r="V3176" t="str">
            <v>Not Available</v>
          </cell>
        </row>
        <row r="3177">
          <cell r="E3177">
            <v>10120116</v>
          </cell>
          <cell r="H3177">
            <v>24.099999999999998</v>
          </cell>
          <cell r="I3177">
            <v>1075.0100000000002</v>
          </cell>
          <cell r="J3177">
            <v>0</v>
          </cell>
          <cell r="K3177">
            <v>0</v>
          </cell>
          <cell r="M3177">
            <v>0</v>
          </cell>
          <cell r="P3177">
            <v>1075</v>
          </cell>
          <cell r="V3177" t="str">
            <v>Not Available</v>
          </cell>
        </row>
        <row r="3178">
          <cell r="E3178">
            <v>10120116</v>
          </cell>
          <cell r="H3178">
            <v>22.5</v>
          </cell>
          <cell r="I3178">
            <v>904.19</v>
          </cell>
          <cell r="J3178">
            <v>0</v>
          </cell>
          <cell r="K3178">
            <v>0</v>
          </cell>
          <cell r="M3178">
            <v>0</v>
          </cell>
          <cell r="P3178">
            <v>904</v>
          </cell>
          <cell r="V3178" t="str">
            <v>Not Available</v>
          </cell>
        </row>
        <row r="3179">
          <cell r="E3179">
            <v>10120116</v>
          </cell>
          <cell r="H3179">
            <v>17.7</v>
          </cell>
          <cell r="I3179">
            <v>810.09000000000015</v>
          </cell>
          <cell r="J3179">
            <v>0</v>
          </cell>
          <cell r="K3179">
            <v>0</v>
          </cell>
          <cell r="M3179">
            <v>0</v>
          </cell>
          <cell r="P3179">
            <v>810</v>
          </cell>
          <cell r="V3179" t="str">
            <v>Not Available</v>
          </cell>
        </row>
        <row r="3180">
          <cell r="E3180">
            <v>10120116</v>
          </cell>
          <cell r="H3180">
            <v>41.300000000000004</v>
          </cell>
          <cell r="I3180">
            <v>1850.3199999999997</v>
          </cell>
          <cell r="J3180">
            <v>0</v>
          </cell>
          <cell r="K3180">
            <v>0</v>
          </cell>
          <cell r="M3180">
            <v>0</v>
          </cell>
          <cell r="P3180">
            <v>1850</v>
          </cell>
          <cell r="V3180" t="str">
            <v>Not Available</v>
          </cell>
        </row>
        <row r="3181">
          <cell r="E3181">
            <v>10120116</v>
          </cell>
          <cell r="H3181">
            <v>8.8000000000000007</v>
          </cell>
          <cell r="I3181">
            <v>341.54</v>
          </cell>
          <cell r="J3181">
            <v>0</v>
          </cell>
          <cell r="K3181">
            <v>0</v>
          </cell>
          <cell r="M3181">
            <v>0</v>
          </cell>
          <cell r="P3181">
            <v>342</v>
          </cell>
          <cell r="V3181" t="str">
            <v>Not Available</v>
          </cell>
        </row>
        <row r="3182">
          <cell r="E3182">
            <v>10120116</v>
          </cell>
          <cell r="H3182">
            <v>4.7</v>
          </cell>
          <cell r="I3182">
            <v>169.2</v>
          </cell>
          <cell r="J3182">
            <v>0</v>
          </cell>
          <cell r="K3182">
            <v>0</v>
          </cell>
          <cell r="M3182">
            <v>0</v>
          </cell>
          <cell r="P3182">
            <v>169</v>
          </cell>
          <cell r="V3182" t="str">
            <v>Not Available</v>
          </cell>
        </row>
        <row r="3183">
          <cell r="E3183">
            <v>10120116</v>
          </cell>
          <cell r="H3183">
            <v>4.5</v>
          </cell>
          <cell r="I3183">
            <v>175.14</v>
          </cell>
          <cell r="J3183">
            <v>0</v>
          </cell>
          <cell r="K3183">
            <v>0</v>
          </cell>
          <cell r="M3183">
            <v>0</v>
          </cell>
          <cell r="P3183">
            <v>175</v>
          </cell>
          <cell r="V3183" t="str">
            <v>Not Available</v>
          </cell>
        </row>
        <row r="3184">
          <cell r="E3184">
            <v>10120116</v>
          </cell>
          <cell r="H3184">
            <v>21.299999999999997</v>
          </cell>
          <cell r="I3184">
            <v>798.49000000000012</v>
          </cell>
          <cell r="J3184">
            <v>0</v>
          </cell>
          <cell r="K3184">
            <v>0</v>
          </cell>
          <cell r="M3184">
            <v>0</v>
          </cell>
          <cell r="P3184">
            <v>798</v>
          </cell>
          <cell r="V3184" t="str">
            <v>Not Available</v>
          </cell>
        </row>
        <row r="3185">
          <cell r="E3185">
            <v>10120116</v>
          </cell>
          <cell r="H3185">
            <v>33.9</v>
          </cell>
          <cell r="I3185">
            <v>1384.33</v>
          </cell>
          <cell r="J3185">
            <v>0</v>
          </cell>
          <cell r="K3185">
            <v>0</v>
          </cell>
          <cell r="M3185">
            <v>0</v>
          </cell>
          <cell r="P3185">
            <v>1384</v>
          </cell>
          <cell r="V3185" t="str">
            <v>Not Available</v>
          </cell>
        </row>
        <row r="3186">
          <cell r="E3186">
            <v>10120116</v>
          </cell>
          <cell r="H3186">
            <v>137.29999999999998</v>
          </cell>
          <cell r="I3186">
            <v>8211.42</v>
          </cell>
          <cell r="J3186">
            <v>0</v>
          </cell>
          <cell r="K3186">
            <v>0</v>
          </cell>
          <cell r="M3186">
            <v>0</v>
          </cell>
          <cell r="P3186">
            <v>8211</v>
          </cell>
          <cell r="V3186" t="str">
            <v>Not Available</v>
          </cell>
        </row>
        <row r="3187">
          <cell r="E3187">
            <v>10120116</v>
          </cell>
          <cell r="H3187">
            <v>11.900000000000002</v>
          </cell>
          <cell r="I3187">
            <v>371.75</v>
          </cell>
          <cell r="J3187">
            <v>0</v>
          </cell>
          <cell r="K3187">
            <v>0</v>
          </cell>
          <cell r="M3187">
            <v>0</v>
          </cell>
          <cell r="P3187">
            <v>372</v>
          </cell>
          <cell r="V3187" t="str">
            <v>Not Available</v>
          </cell>
        </row>
        <row r="3188">
          <cell r="E3188">
            <v>10120116</v>
          </cell>
          <cell r="H3188">
            <v>63.099999999999994</v>
          </cell>
          <cell r="I3188">
            <v>2898.6800000000007</v>
          </cell>
          <cell r="J3188">
            <v>0</v>
          </cell>
          <cell r="K3188">
            <v>0</v>
          </cell>
          <cell r="M3188">
            <v>0</v>
          </cell>
          <cell r="P3188">
            <v>2899</v>
          </cell>
          <cell r="V3188" t="str">
            <v>Not Available</v>
          </cell>
        </row>
        <row r="3189">
          <cell r="E3189">
            <v>10120116</v>
          </cell>
          <cell r="H3189">
            <v>43.400000000000006</v>
          </cell>
          <cell r="I3189">
            <v>2151.54</v>
          </cell>
          <cell r="J3189">
            <v>0</v>
          </cell>
          <cell r="K3189">
            <v>0</v>
          </cell>
          <cell r="M3189">
            <v>0</v>
          </cell>
          <cell r="P3189">
            <v>2152</v>
          </cell>
          <cell r="V3189" t="str">
            <v>Not Available</v>
          </cell>
        </row>
        <row r="3190">
          <cell r="E3190">
            <v>10120120</v>
          </cell>
          <cell r="H3190">
            <v>87.950000000000017</v>
          </cell>
          <cell r="I3190">
            <v>3579.5100000000007</v>
          </cell>
          <cell r="J3190">
            <v>0</v>
          </cell>
          <cell r="K3190">
            <v>0</v>
          </cell>
          <cell r="M3190">
            <v>3580</v>
          </cell>
          <cell r="P3190">
            <v>0</v>
          </cell>
          <cell r="V3190" t="str">
            <v>Available</v>
          </cell>
        </row>
        <row r="3191">
          <cell r="E3191">
            <v>10120120</v>
          </cell>
          <cell r="H3191">
            <v>46.050000000000004</v>
          </cell>
          <cell r="I3191">
            <v>1731.81</v>
          </cell>
          <cell r="J3191">
            <v>0</v>
          </cell>
          <cell r="K3191">
            <v>0</v>
          </cell>
          <cell r="M3191">
            <v>1732</v>
          </cell>
          <cell r="P3191">
            <v>0</v>
          </cell>
          <cell r="V3191" t="str">
            <v>Not Available</v>
          </cell>
        </row>
        <row r="3192">
          <cell r="E3192">
            <v>10120120</v>
          </cell>
          <cell r="H3192">
            <v>10.210000000000001</v>
          </cell>
          <cell r="I3192">
            <v>470.22</v>
          </cell>
          <cell r="J3192">
            <v>0</v>
          </cell>
          <cell r="K3192">
            <v>0</v>
          </cell>
          <cell r="M3192">
            <v>470</v>
          </cell>
          <cell r="P3192">
            <v>0</v>
          </cell>
          <cell r="V3192" t="str">
            <v>Not Available</v>
          </cell>
        </row>
        <row r="3193">
          <cell r="E3193">
            <v>10120120</v>
          </cell>
          <cell r="H3193">
            <v>23.12</v>
          </cell>
          <cell r="I3193">
            <v>815.46999999999991</v>
          </cell>
          <cell r="J3193">
            <v>0</v>
          </cell>
          <cell r="K3193">
            <v>0</v>
          </cell>
          <cell r="M3193">
            <v>815</v>
          </cell>
          <cell r="P3193">
            <v>0</v>
          </cell>
          <cell r="V3193" t="str">
            <v>Not Available</v>
          </cell>
        </row>
        <row r="3194">
          <cell r="E3194">
            <v>10120120</v>
          </cell>
          <cell r="H3194">
            <v>50.480000000000004</v>
          </cell>
          <cell r="I3194">
            <v>2487.3299999999995</v>
          </cell>
          <cell r="J3194">
            <v>0</v>
          </cell>
          <cell r="K3194">
            <v>0</v>
          </cell>
          <cell r="M3194">
            <v>403</v>
          </cell>
          <cell r="P3194">
            <v>2084</v>
          </cell>
          <cell r="V3194" t="str">
            <v>Not Available</v>
          </cell>
        </row>
        <row r="3195">
          <cell r="E3195">
            <v>10120120</v>
          </cell>
          <cell r="H3195">
            <v>25.5</v>
          </cell>
          <cell r="I3195">
            <v>919.58</v>
          </cell>
          <cell r="J3195">
            <v>0</v>
          </cell>
          <cell r="K3195">
            <v>0</v>
          </cell>
          <cell r="M3195">
            <v>0</v>
          </cell>
          <cell r="P3195">
            <v>920</v>
          </cell>
          <cell r="V3195" t="str">
            <v>Not Available</v>
          </cell>
        </row>
        <row r="3196">
          <cell r="E3196">
            <v>10120120</v>
          </cell>
          <cell r="H3196">
            <v>25.04</v>
          </cell>
          <cell r="I3196">
            <v>920.06</v>
          </cell>
          <cell r="J3196">
            <v>0</v>
          </cell>
          <cell r="K3196">
            <v>0</v>
          </cell>
          <cell r="M3196">
            <v>0</v>
          </cell>
          <cell r="P3196">
            <v>920</v>
          </cell>
          <cell r="V3196" t="str">
            <v>Not Available</v>
          </cell>
        </row>
        <row r="3197">
          <cell r="E3197">
            <v>10120120</v>
          </cell>
          <cell r="H3197">
            <v>10.31</v>
          </cell>
          <cell r="I3197">
            <v>433.47</v>
          </cell>
          <cell r="J3197">
            <v>0</v>
          </cell>
          <cell r="K3197">
            <v>0</v>
          </cell>
          <cell r="M3197">
            <v>0</v>
          </cell>
          <cell r="P3197">
            <v>433</v>
          </cell>
          <cell r="V3197" t="str">
            <v>Not Available</v>
          </cell>
        </row>
        <row r="3198">
          <cell r="E3198">
            <v>10120120</v>
          </cell>
          <cell r="H3198">
            <v>51.019999999999989</v>
          </cell>
          <cell r="I3198">
            <v>2011.9799999999998</v>
          </cell>
          <cell r="J3198">
            <v>0</v>
          </cell>
          <cell r="K3198">
            <v>0</v>
          </cell>
          <cell r="M3198">
            <v>0</v>
          </cell>
          <cell r="P3198">
            <v>2012</v>
          </cell>
          <cell r="V3198" t="str">
            <v>Not Available</v>
          </cell>
        </row>
        <row r="3199">
          <cell r="E3199">
            <v>10120120</v>
          </cell>
          <cell r="H3199">
            <v>26.08</v>
          </cell>
          <cell r="I3199">
            <v>1034.25</v>
          </cell>
          <cell r="J3199">
            <v>0</v>
          </cell>
          <cell r="K3199">
            <v>0</v>
          </cell>
          <cell r="M3199">
            <v>0</v>
          </cell>
          <cell r="P3199">
            <v>1034</v>
          </cell>
          <cell r="V3199" t="str">
            <v>Not Available</v>
          </cell>
        </row>
        <row r="3200">
          <cell r="E3200">
            <v>10120120</v>
          </cell>
          <cell r="H3200">
            <v>16.399999999999999</v>
          </cell>
          <cell r="I3200">
            <v>552.59999999999991</v>
          </cell>
          <cell r="J3200">
            <v>0</v>
          </cell>
          <cell r="K3200">
            <v>0</v>
          </cell>
          <cell r="M3200">
            <v>0</v>
          </cell>
          <cell r="P3200">
            <v>553</v>
          </cell>
          <cell r="V3200" t="str">
            <v>Not Available</v>
          </cell>
        </row>
        <row r="3201">
          <cell r="E3201">
            <v>10120122</v>
          </cell>
          <cell r="H3201">
            <v>293.90000000000003</v>
          </cell>
          <cell r="I3201">
            <v>12082.549999999997</v>
          </cell>
          <cell r="J3201">
            <v>0</v>
          </cell>
          <cell r="K3201">
            <v>0</v>
          </cell>
          <cell r="M3201">
            <v>6892</v>
          </cell>
          <cell r="P3201">
            <v>5191</v>
          </cell>
          <cell r="V3201" t="str">
            <v>Available</v>
          </cell>
        </row>
        <row r="3202">
          <cell r="E3202">
            <v>10120122</v>
          </cell>
          <cell r="H3202">
            <v>20.51</v>
          </cell>
          <cell r="I3202">
            <v>826.43</v>
          </cell>
          <cell r="J3202">
            <v>0</v>
          </cell>
          <cell r="K3202">
            <v>0</v>
          </cell>
          <cell r="M3202">
            <v>0</v>
          </cell>
          <cell r="P3202">
            <v>826</v>
          </cell>
          <cell r="V3202" t="str">
            <v>Not Available</v>
          </cell>
        </row>
        <row r="3203">
          <cell r="E3203">
            <v>10120122</v>
          </cell>
          <cell r="H3203">
            <v>14.25</v>
          </cell>
          <cell r="I3203">
            <v>597.09</v>
          </cell>
          <cell r="J3203">
            <v>0</v>
          </cell>
          <cell r="K3203">
            <v>0</v>
          </cell>
          <cell r="M3203">
            <v>0</v>
          </cell>
          <cell r="P3203">
            <v>597</v>
          </cell>
          <cell r="V3203" t="str">
            <v>Not Available</v>
          </cell>
        </row>
        <row r="3204">
          <cell r="E3204">
            <v>10120122</v>
          </cell>
          <cell r="H3204">
            <v>27.850000000000005</v>
          </cell>
          <cell r="I3204">
            <v>1135.73</v>
          </cell>
          <cell r="J3204">
            <v>0</v>
          </cell>
          <cell r="K3204">
            <v>0</v>
          </cell>
          <cell r="M3204">
            <v>0</v>
          </cell>
          <cell r="P3204">
            <v>1136</v>
          </cell>
          <cell r="V3204" t="str">
            <v>Not Available</v>
          </cell>
        </row>
        <row r="3205">
          <cell r="E3205">
            <v>10120122</v>
          </cell>
          <cell r="H3205">
            <v>84.449999999999989</v>
          </cell>
          <cell r="I3205">
            <v>4354.4999999999991</v>
          </cell>
          <cell r="J3205">
            <v>0</v>
          </cell>
          <cell r="K3205">
            <v>0</v>
          </cell>
          <cell r="M3205">
            <v>4200</v>
          </cell>
          <cell r="P3205">
            <v>154</v>
          </cell>
          <cell r="V3205" t="str">
            <v>Not Available</v>
          </cell>
        </row>
        <row r="3206">
          <cell r="E3206">
            <v>10120122</v>
          </cell>
          <cell r="H3206">
            <v>18.509999999999998</v>
          </cell>
          <cell r="I3206">
            <v>894.44</v>
          </cell>
          <cell r="J3206">
            <v>0</v>
          </cell>
          <cell r="K3206">
            <v>0</v>
          </cell>
          <cell r="M3206">
            <v>0</v>
          </cell>
          <cell r="P3206">
            <v>894</v>
          </cell>
          <cell r="V3206" t="str">
            <v>Not Available</v>
          </cell>
        </row>
        <row r="3207">
          <cell r="E3207">
            <v>10120122</v>
          </cell>
          <cell r="H3207">
            <v>26.71</v>
          </cell>
          <cell r="I3207">
            <v>1711.72</v>
          </cell>
          <cell r="J3207">
            <v>0</v>
          </cell>
          <cell r="K3207">
            <v>0</v>
          </cell>
          <cell r="M3207">
            <v>0</v>
          </cell>
          <cell r="P3207">
            <v>1712</v>
          </cell>
          <cell r="V3207" t="str">
            <v>Not Available</v>
          </cell>
        </row>
        <row r="3208">
          <cell r="E3208">
            <v>10120122</v>
          </cell>
          <cell r="H3208">
            <v>25.599999999999998</v>
          </cell>
          <cell r="I3208">
            <v>1027.6300000000001</v>
          </cell>
          <cell r="J3208">
            <v>0</v>
          </cell>
          <cell r="K3208">
            <v>0</v>
          </cell>
          <cell r="M3208">
            <v>0</v>
          </cell>
          <cell r="P3208">
            <v>1028</v>
          </cell>
          <cell r="V3208" t="str">
            <v>Not Available</v>
          </cell>
        </row>
        <row r="3209">
          <cell r="E3209">
            <v>10120122</v>
          </cell>
          <cell r="H3209">
            <v>25.769999999999996</v>
          </cell>
          <cell r="I3209">
            <v>1067.29</v>
          </cell>
          <cell r="J3209">
            <v>0</v>
          </cell>
          <cell r="K3209">
            <v>0</v>
          </cell>
          <cell r="M3209">
            <v>0</v>
          </cell>
          <cell r="P3209">
            <v>1067</v>
          </cell>
          <cell r="V3209" t="str">
            <v>Not Available</v>
          </cell>
        </row>
        <row r="3210">
          <cell r="E3210">
            <v>10120122</v>
          </cell>
          <cell r="H3210">
            <v>19.45</v>
          </cell>
          <cell r="I3210">
            <v>634.32999999999993</v>
          </cell>
          <cell r="J3210">
            <v>0</v>
          </cell>
          <cell r="K3210">
            <v>0</v>
          </cell>
          <cell r="M3210">
            <v>0</v>
          </cell>
          <cell r="P3210">
            <v>634</v>
          </cell>
          <cell r="V3210" t="str">
            <v>Not Available</v>
          </cell>
        </row>
        <row r="3211">
          <cell r="E3211">
            <v>10120122</v>
          </cell>
          <cell r="H3211">
            <v>131.04</v>
          </cell>
          <cell r="I3211">
            <v>5294.38</v>
          </cell>
          <cell r="J3211">
            <v>0</v>
          </cell>
          <cell r="K3211">
            <v>0</v>
          </cell>
          <cell r="M3211">
            <v>0</v>
          </cell>
          <cell r="P3211">
            <v>5294</v>
          </cell>
          <cell r="V3211" t="str">
            <v>Not Available</v>
          </cell>
        </row>
        <row r="3212">
          <cell r="E3212">
            <v>10120122</v>
          </cell>
          <cell r="H3212">
            <v>7.3500000000000005</v>
          </cell>
          <cell r="I3212">
            <v>321.86</v>
          </cell>
          <cell r="J3212">
            <v>0</v>
          </cell>
          <cell r="K3212">
            <v>0</v>
          </cell>
          <cell r="M3212">
            <v>0</v>
          </cell>
          <cell r="P3212">
            <v>322</v>
          </cell>
          <cell r="V3212" t="str">
            <v>Not Available</v>
          </cell>
        </row>
        <row r="3213">
          <cell r="E3213">
            <v>10120122</v>
          </cell>
          <cell r="H3213">
            <v>4.78</v>
          </cell>
          <cell r="I3213">
            <v>205.4</v>
          </cell>
          <cell r="J3213">
            <v>0</v>
          </cell>
          <cell r="K3213">
            <v>0</v>
          </cell>
          <cell r="M3213">
            <v>0</v>
          </cell>
          <cell r="P3213">
            <v>205</v>
          </cell>
          <cell r="V3213" t="str">
            <v>Not Available</v>
          </cell>
        </row>
        <row r="3214">
          <cell r="E3214">
            <v>10120122</v>
          </cell>
          <cell r="H3214">
            <v>15.29</v>
          </cell>
          <cell r="I3214">
            <v>677.26</v>
          </cell>
          <cell r="J3214">
            <v>0</v>
          </cell>
          <cell r="K3214">
            <v>0</v>
          </cell>
          <cell r="M3214">
            <v>0</v>
          </cell>
          <cell r="P3214">
            <v>677</v>
          </cell>
          <cell r="V3214" t="str">
            <v>Not Available</v>
          </cell>
        </row>
        <row r="3215">
          <cell r="E3215">
            <v>10120122</v>
          </cell>
          <cell r="H3215">
            <v>84.79</v>
          </cell>
          <cell r="I3215">
            <v>3355.2799999999997</v>
          </cell>
          <cell r="J3215">
            <v>0</v>
          </cell>
          <cell r="K3215">
            <v>0</v>
          </cell>
          <cell r="M3215">
            <v>0</v>
          </cell>
          <cell r="P3215">
            <v>3355</v>
          </cell>
          <cell r="V3215" t="str">
            <v>Not Available</v>
          </cell>
        </row>
        <row r="3216">
          <cell r="E3216">
            <v>10120122</v>
          </cell>
          <cell r="H3216">
            <v>30.259999999999998</v>
          </cell>
          <cell r="I3216">
            <v>1254.5</v>
          </cell>
          <cell r="J3216">
            <v>0</v>
          </cell>
          <cell r="K3216">
            <v>0</v>
          </cell>
          <cell r="M3216">
            <v>0</v>
          </cell>
          <cell r="P3216">
            <v>1255</v>
          </cell>
          <cell r="V3216" t="str">
            <v>Not Available</v>
          </cell>
        </row>
        <row r="3217">
          <cell r="E3217">
            <v>10120122</v>
          </cell>
          <cell r="H3217">
            <v>5.79</v>
          </cell>
          <cell r="I3217">
            <v>240.06</v>
          </cell>
          <cell r="J3217">
            <v>0</v>
          </cell>
          <cell r="K3217">
            <v>0</v>
          </cell>
          <cell r="M3217">
            <v>0</v>
          </cell>
          <cell r="P3217">
            <v>240</v>
          </cell>
          <cell r="V3217" t="str">
            <v>Not Available</v>
          </cell>
        </row>
        <row r="3218">
          <cell r="E3218">
            <v>10120122</v>
          </cell>
          <cell r="H3218">
            <v>78.980000000000018</v>
          </cell>
          <cell r="I3218">
            <v>3283.2699999999995</v>
          </cell>
          <cell r="J3218">
            <v>0</v>
          </cell>
          <cell r="K3218">
            <v>0</v>
          </cell>
          <cell r="M3218">
            <v>0</v>
          </cell>
          <cell r="P3218">
            <v>3283</v>
          </cell>
          <cell r="V3218" t="str">
            <v>Available</v>
          </cell>
        </row>
        <row r="3219">
          <cell r="E3219">
            <v>10120122</v>
          </cell>
          <cell r="H3219">
            <v>67.539999999999992</v>
          </cell>
          <cell r="I3219">
            <v>2844.58</v>
          </cell>
          <cell r="J3219">
            <v>0</v>
          </cell>
          <cell r="K3219">
            <v>0</v>
          </cell>
          <cell r="M3219">
            <v>0</v>
          </cell>
          <cell r="P3219">
            <v>2845</v>
          </cell>
          <cell r="V3219" t="str">
            <v>Not Available</v>
          </cell>
        </row>
        <row r="3220">
          <cell r="E3220">
            <v>10120122</v>
          </cell>
          <cell r="H3220">
            <v>46.29</v>
          </cell>
          <cell r="I3220">
            <v>1764.15</v>
          </cell>
          <cell r="J3220">
            <v>0</v>
          </cell>
          <cell r="K3220">
            <v>0</v>
          </cell>
          <cell r="M3220">
            <v>0</v>
          </cell>
          <cell r="P3220">
            <v>1764</v>
          </cell>
          <cell r="V3220" t="str">
            <v>Not Available</v>
          </cell>
        </row>
        <row r="3221">
          <cell r="E3221">
            <v>10120123</v>
          </cell>
          <cell r="H3221">
            <v>3.6799999999999997</v>
          </cell>
          <cell r="I3221">
            <v>143.13</v>
          </cell>
          <cell r="J3221">
            <v>0</v>
          </cell>
          <cell r="K3221">
            <v>143.13</v>
          </cell>
          <cell r="M3221">
            <v>0</v>
          </cell>
          <cell r="P3221">
            <v>0</v>
          </cell>
          <cell r="V3221" t="str">
            <v>Not Available</v>
          </cell>
        </row>
        <row r="3222">
          <cell r="E3222">
            <v>10120123</v>
          </cell>
          <cell r="H3222">
            <v>174.96000000000004</v>
          </cell>
          <cell r="I3222">
            <v>7038.94</v>
          </cell>
          <cell r="J3222">
            <v>0</v>
          </cell>
          <cell r="K3222">
            <v>0</v>
          </cell>
          <cell r="M3222">
            <v>0</v>
          </cell>
          <cell r="P3222">
            <v>7039</v>
          </cell>
          <cell r="V3222" t="str">
            <v>Available</v>
          </cell>
        </row>
        <row r="3223">
          <cell r="E3223">
            <v>10120123</v>
          </cell>
          <cell r="H3223">
            <v>59.120000000000005</v>
          </cell>
          <cell r="I3223">
            <v>2760.1600000000008</v>
          </cell>
          <cell r="J3223">
            <v>0</v>
          </cell>
          <cell r="K3223">
            <v>0</v>
          </cell>
          <cell r="M3223">
            <v>0</v>
          </cell>
          <cell r="P3223">
            <v>2760</v>
          </cell>
          <cell r="V3223" t="str">
            <v>Available</v>
          </cell>
        </row>
        <row r="3224">
          <cell r="E3224">
            <v>10120123</v>
          </cell>
          <cell r="H3224">
            <v>23.3</v>
          </cell>
          <cell r="I3224">
            <v>992.62999999999988</v>
          </cell>
          <cell r="J3224">
            <v>0</v>
          </cell>
          <cell r="K3224">
            <v>0</v>
          </cell>
          <cell r="M3224">
            <v>0</v>
          </cell>
          <cell r="P3224">
            <v>993</v>
          </cell>
          <cell r="V3224" t="str">
            <v>Available</v>
          </cell>
        </row>
        <row r="3225">
          <cell r="E3225">
            <v>10120123</v>
          </cell>
          <cell r="H3225">
            <v>12.31</v>
          </cell>
          <cell r="I3225">
            <v>488.08</v>
          </cell>
          <cell r="J3225">
            <v>0</v>
          </cell>
          <cell r="K3225">
            <v>0</v>
          </cell>
          <cell r="M3225">
            <v>0</v>
          </cell>
          <cell r="P3225">
            <v>488</v>
          </cell>
          <cell r="V3225" t="str">
            <v>Available</v>
          </cell>
        </row>
        <row r="3226">
          <cell r="E3226">
            <v>10120123</v>
          </cell>
          <cell r="H3226">
            <v>28.8</v>
          </cell>
          <cell r="I3226">
            <v>1148.45</v>
          </cell>
          <cell r="J3226">
            <v>0</v>
          </cell>
          <cell r="K3226">
            <v>0</v>
          </cell>
          <cell r="M3226">
            <v>0</v>
          </cell>
          <cell r="P3226">
            <v>1148</v>
          </cell>
          <cell r="V3226" t="str">
            <v>Available</v>
          </cell>
        </row>
        <row r="3227">
          <cell r="E3227">
            <v>10120123</v>
          </cell>
          <cell r="H3227">
            <v>13.66</v>
          </cell>
          <cell r="I3227">
            <v>563.98</v>
          </cell>
          <cell r="J3227">
            <v>0</v>
          </cell>
          <cell r="K3227">
            <v>0</v>
          </cell>
          <cell r="M3227">
            <v>0</v>
          </cell>
          <cell r="P3227">
            <v>564</v>
          </cell>
          <cell r="V3227" t="str">
            <v>Not Available</v>
          </cell>
        </row>
        <row r="3228">
          <cell r="E3228">
            <v>10120123</v>
          </cell>
          <cell r="H3228">
            <v>22.52</v>
          </cell>
          <cell r="I3228">
            <v>934.1099999999999</v>
          </cell>
          <cell r="J3228">
            <v>0</v>
          </cell>
          <cell r="K3228">
            <v>0</v>
          </cell>
          <cell r="M3228">
            <v>0</v>
          </cell>
          <cell r="P3228">
            <v>934</v>
          </cell>
          <cell r="V3228" t="str">
            <v>Not Available</v>
          </cell>
        </row>
        <row r="3229">
          <cell r="E3229">
            <v>10120123</v>
          </cell>
          <cell r="H3229">
            <v>42.55</v>
          </cell>
          <cell r="I3229">
            <v>1516.7200000000003</v>
          </cell>
          <cell r="J3229">
            <v>0</v>
          </cell>
          <cell r="K3229">
            <v>0</v>
          </cell>
          <cell r="M3229">
            <v>0</v>
          </cell>
          <cell r="P3229">
            <v>1517</v>
          </cell>
          <cell r="V3229" t="str">
            <v>Available</v>
          </cell>
        </row>
        <row r="3230">
          <cell r="E3230">
            <v>10120123</v>
          </cell>
          <cell r="H3230">
            <v>21.279999999999998</v>
          </cell>
          <cell r="I3230">
            <v>774.48</v>
          </cell>
          <cell r="J3230">
            <v>0</v>
          </cell>
          <cell r="K3230">
            <v>0</v>
          </cell>
          <cell r="M3230">
            <v>0</v>
          </cell>
          <cell r="P3230">
            <v>774</v>
          </cell>
          <cell r="V3230" t="str">
            <v>Not Available</v>
          </cell>
        </row>
        <row r="3231">
          <cell r="E3231">
            <v>10120123</v>
          </cell>
          <cell r="H3231">
            <v>55.24</v>
          </cell>
          <cell r="I3231">
            <v>2133.17</v>
          </cell>
          <cell r="J3231">
            <v>0</v>
          </cell>
          <cell r="K3231">
            <v>0</v>
          </cell>
          <cell r="M3231">
            <v>0</v>
          </cell>
          <cell r="P3231">
            <v>2133</v>
          </cell>
          <cell r="V3231" t="str">
            <v>Not Available</v>
          </cell>
        </row>
        <row r="3232">
          <cell r="E3232">
            <v>10120123</v>
          </cell>
          <cell r="H3232">
            <v>124.00999999999999</v>
          </cell>
          <cell r="I3232">
            <v>4850.92</v>
          </cell>
          <cell r="J3232">
            <v>0</v>
          </cell>
          <cell r="K3232">
            <v>0</v>
          </cell>
          <cell r="M3232">
            <v>0</v>
          </cell>
          <cell r="P3232">
            <v>4851</v>
          </cell>
          <cell r="V3232" t="str">
            <v>Available</v>
          </cell>
        </row>
        <row r="3233">
          <cell r="E3233">
            <v>10120123</v>
          </cell>
          <cell r="H3233">
            <v>38.21</v>
          </cell>
          <cell r="I3233">
            <v>1429.5800000000002</v>
          </cell>
          <cell r="J3233">
            <v>0</v>
          </cell>
          <cell r="K3233">
            <v>0</v>
          </cell>
          <cell r="M3233">
            <v>0</v>
          </cell>
          <cell r="P3233">
            <v>1430</v>
          </cell>
          <cell r="V3233" t="str">
            <v>Not Available</v>
          </cell>
        </row>
        <row r="3234">
          <cell r="E3234">
            <v>10120123</v>
          </cell>
          <cell r="H3234">
            <v>13.08</v>
          </cell>
          <cell r="I3234">
            <v>424.15000000000003</v>
          </cell>
          <cell r="J3234">
            <v>0</v>
          </cell>
          <cell r="K3234">
            <v>0</v>
          </cell>
          <cell r="M3234">
            <v>0</v>
          </cell>
          <cell r="P3234">
            <v>424</v>
          </cell>
          <cell r="V3234" t="str">
            <v>Available</v>
          </cell>
        </row>
        <row r="3235">
          <cell r="E3235">
            <v>10120123</v>
          </cell>
          <cell r="H3235">
            <v>45.060000000000009</v>
          </cell>
          <cell r="I3235">
            <v>1784.9799999999998</v>
          </cell>
          <cell r="J3235">
            <v>0</v>
          </cell>
          <cell r="K3235">
            <v>0</v>
          </cell>
          <cell r="M3235">
            <v>0</v>
          </cell>
          <cell r="P3235">
            <v>1785</v>
          </cell>
          <cell r="V3235" t="str">
            <v>Not Available</v>
          </cell>
        </row>
        <row r="3236">
          <cell r="E3236">
            <v>10120123</v>
          </cell>
          <cell r="H3236">
            <v>39.550000000000004</v>
          </cell>
          <cell r="I3236">
            <v>1405.22</v>
          </cell>
          <cell r="J3236">
            <v>0</v>
          </cell>
          <cell r="K3236">
            <v>0</v>
          </cell>
          <cell r="M3236">
            <v>0</v>
          </cell>
          <cell r="P3236">
            <v>1405</v>
          </cell>
          <cell r="V3236" t="str">
            <v>Not Available</v>
          </cell>
        </row>
        <row r="3237">
          <cell r="E3237">
            <v>10120123</v>
          </cell>
          <cell r="H3237">
            <v>21.509999999999998</v>
          </cell>
          <cell r="I3237">
            <v>917.3</v>
          </cell>
          <cell r="J3237">
            <v>0</v>
          </cell>
          <cell r="K3237">
            <v>0</v>
          </cell>
          <cell r="M3237">
            <v>0</v>
          </cell>
          <cell r="P3237">
            <v>917</v>
          </cell>
          <cell r="V3237" t="str">
            <v>Not Available</v>
          </cell>
        </row>
        <row r="3238">
          <cell r="E3238">
            <v>10120123</v>
          </cell>
          <cell r="H3238">
            <v>44.220000000000006</v>
          </cell>
          <cell r="I3238">
            <v>1881.19</v>
          </cell>
          <cell r="J3238">
            <v>0</v>
          </cell>
          <cell r="K3238">
            <v>0</v>
          </cell>
          <cell r="M3238">
            <v>0</v>
          </cell>
          <cell r="P3238">
            <v>1881</v>
          </cell>
          <cell r="V3238" t="str">
            <v>Not Available</v>
          </cell>
        </row>
        <row r="3239">
          <cell r="E3239">
            <v>10120123</v>
          </cell>
          <cell r="H3239">
            <v>53.59</v>
          </cell>
          <cell r="I3239">
            <v>1901.8499999999997</v>
          </cell>
          <cell r="J3239">
            <v>0</v>
          </cell>
          <cell r="K3239">
            <v>0</v>
          </cell>
          <cell r="M3239">
            <v>0</v>
          </cell>
          <cell r="P3239">
            <v>1902</v>
          </cell>
          <cell r="V3239" t="str">
            <v>Not Available</v>
          </cell>
        </row>
        <row r="3240">
          <cell r="E3240">
            <v>10120123</v>
          </cell>
          <cell r="H3240">
            <v>2.4400000000000004</v>
          </cell>
          <cell r="I3240">
            <v>115.86</v>
          </cell>
          <cell r="J3240">
            <v>0</v>
          </cell>
          <cell r="K3240">
            <v>0</v>
          </cell>
          <cell r="M3240">
            <v>0</v>
          </cell>
          <cell r="P3240">
            <v>116</v>
          </cell>
          <cell r="V3240" t="str">
            <v>Not Available</v>
          </cell>
        </row>
        <row r="3241">
          <cell r="E3241">
            <v>10120123</v>
          </cell>
          <cell r="H3241">
            <v>47.529999999999994</v>
          </cell>
          <cell r="I3241">
            <v>1662.4299999999998</v>
          </cell>
          <cell r="J3241">
            <v>0</v>
          </cell>
          <cell r="K3241">
            <v>0</v>
          </cell>
          <cell r="M3241">
            <v>0</v>
          </cell>
          <cell r="P3241">
            <v>1662</v>
          </cell>
          <cell r="V3241" t="str">
            <v>Available</v>
          </cell>
        </row>
        <row r="3242">
          <cell r="E3242">
            <v>10120123</v>
          </cell>
          <cell r="H3242">
            <v>51.970000000000006</v>
          </cell>
          <cell r="I3242">
            <v>1898.27</v>
          </cell>
          <cell r="J3242">
            <v>0</v>
          </cell>
          <cell r="K3242">
            <v>0</v>
          </cell>
          <cell r="M3242">
            <v>0</v>
          </cell>
          <cell r="P3242">
            <v>1898</v>
          </cell>
          <cell r="V3242" t="str">
            <v>Available</v>
          </cell>
        </row>
        <row r="3243">
          <cell r="E3243">
            <v>10120123</v>
          </cell>
          <cell r="H3243">
            <v>29.860000000000003</v>
          </cell>
          <cell r="I3243">
            <v>1049.1600000000001</v>
          </cell>
          <cell r="J3243">
            <v>0</v>
          </cell>
          <cell r="K3243">
            <v>0</v>
          </cell>
          <cell r="M3243">
            <v>0</v>
          </cell>
          <cell r="P3243">
            <v>1049</v>
          </cell>
          <cell r="V3243" t="str">
            <v>Not Available</v>
          </cell>
        </row>
        <row r="3244">
          <cell r="E3244">
            <v>10130001</v>
          </cell>
          <cell r="H3244">
            <v>2.7</v>
          </cell>
          <cell r="I3244">
            <v>97.63</v>
          </cell>
          <cell r="J3244">
            <v>0</v>
          </cell>
          <cell r="K3244">
            <v>97.63</v>
          </cell>
          <cell r="M3244">
            <v>0</v>
          </cell>
          <cell r="P3244">
            <v>0</v>
          </cell>
          <cell r="V3244" t="str">
            <v>Not Available</v>
          </cell>
        </row>
        <row r="3245">
          <cell r="E3245">
            <v>10130001</v>
          </cell>
          <cell r="H3245">
            <v>112.19999999999999</v>
          </cell>
          <cell r="I3245">
            <v>4105.41</v>
          </cell>
          <cell r="J3245">
            <v>0</v>
          </cell>
          <cell r="K3245">
            <v>0</v>
          </cell>
          <cell r="M3245">
            <v>0</v>
          </cell>
          <cell r="P3245">
            <v>4105</v>
          </cell>
          <cell r="V3245" t="str">
            <v>Available</v>
          </cell>
        </row>
        <row r="3246">
          <cell r="E3246">
            <v>10130001</v>
          </cell>
          <cell r="H3246">
            <v>5</v>
          </cell>
          <cell r="I3246">
            <v>171.05</v>
          </cell>
          <cell r="J3246">
            <v>0</v>
          </cell>
          <cell r="K3246">
            <v>0</v>
          </cell>
          <cell r="M3246">
            <v>0</v>
          </cell>
          <cell r="P3246">
            <v>171</v>
          </cell>
          <cell r="V3246" t="str">
            <v>Available</v>
          </cell>
        </row>
        <row r="3247">
          <cell r="E3247">
            <v>10130001</v>
          </cell>
          <cell r="H3247">
            <v>100.9</v>
          </cell>
          <cell r="I3247">
            <v>3743.0600000000004</v>
          </cell>
          <cell r="J3247">
            <v>0</v>
          </cell>
          <cell r="K3247">
            <v>0</v>
          </cell>
          <cell r="M3247">
            <v>0</v>
          </cell>
          <cell r="P3247">
            <v>3743</v>
          </cell>
          <cell r="V3247" t="str">
            <v>Not Available</v>
          </cell>
        </row>
        <row r="3248">
          <cell r="E3248">
            <v>10130001</v>
          </cell>
          <cell r="H3248">
            <v>90.7</v>
          </cell>
          <cell r="I3248">
            <v>3367.08</v>
          </cell>
          <cell r="J3248">
            <v>0</v>
          </cell>
          <cell r="K3248">
            <v>0</v>
          </cell>
          <cell r="M3248">
            <v>0</v>
          </cell>
          <cell r="P3248">
            <v>3367</v>
          </cell>
          <cell r="V3248" t="str">
            <v>Not Available</v>
          </cell>
        </row>
        <row r="3249">
          <cell r="E3249">
            <v>10130001</v>
          </cell>
          <cell r="H3249">
            <v>75.900000000000006</v>
          </cell>
          <cell r="I3249">
            <v>2779.8900000000003</v>
          </cell>
          <cell r="J3249">
            <v>0</v>
          </cell>
          <cell r="K3249">
            <v>0</v>
          </cell>
          <cell r="M3249">
            <v>0</v>
          </cell>
          <cell r="P3249">
            <v>2780</v>
          </cell>
          <cell r="V3249" t="str">
            <v>Not Available</v>
          </cell>
        </row>
        <row r="3250">
          <cell r="E3250">
            <v>10130001</v>
          </cell>
          <cell r="H3250">
            <v>56.900000000000006</v>
          </cell>
          <cell r="I3250">
            <v>2031.02</v>
          </cell>
          <cell r="J3250">
            <v>0</v>
          </cell>
          <cell r="K3250">
            <v>0</v>
          </cell>
          <cell r="M3250">
            <v>0</v>
          </cell>
          <cell r="P3250">
            <v>2031</v>
          </cell>
          <cell r="V3250" t="str">
            <v>Not Available</v>
          </cell>
        </row>
        <row r="3251">
          <cell r="E3251">
            <v>10130001</v>
          </cell>
          <cell r="H3251">
            <v>24.8</v>
          </cell>
          <cell r="I3251">
            <v>930.19</v>
          </cell>
          <cell r="J3251">
            <v>0</v>
          </cell>
          <cell r="K3251">
            <v>0</v>
          </cell>
          <cell r="M3251">
            <v>0</v>
          </cell>
          <cell r="P3251">
            <v>930</v>
          </cell>
          <cell r="V3251" t="str">
            <v>Not Available</v>
          </cell>
        </row>
        <row r="3252">
          <cell r="E3252">
            <v>10130001</v>
          </cell>
          <cell r="H3252">
            <v>22.1</v>
          </cell>
          <cell r="I3252">
            <v>847.15</v>
          </cell>
          <cell r="J3252">
            <v>0</v>
          </cell>
          <cell r="K3252">
            <v>0</v>
          </cell>
          <cell r="M3252">
            <v>0</v>
          </cell>
          <cell r="P3252">
            <v>847</v>
          </cell>
          <cell r="V3252" t="str">
            <v>Not Available</v>
          </cell>
        </row>
        <row r="3253">
          <cell r="E3253">
            <v>10130001</v>
          </cell>
          <cell r="H3253">
            <v>11.9</v>
          </cell>
          <cell r="I3253">
            <v>408.47999999999996</v>
          </cell>
          <cell r="J3253">
            <v>0</v>
          </cell>
          <cell r="K3253">
            <v>0</v>
          </cell>
          <cell r="M3253">
            <v>0</v>
          </cell>
          <cell r="P3253">
            <v>408</v>
          </cell>
          <cell r="V3253" t="str">
            <v>Not Available</v>
          </cell>
        </row>
        <row r="3254">
          <cell r="E3254">
            <v>10130001</v>
          </cell>
          <cell r="H3254">
            <v>3.4</v>
          </cell>
          <cell r="I3254">
            <v>126.09</v>
          </cell>
          <cell r="J3254">
            <v>0</v>
          </cell>
          <cell r="K3254">
            <v>0</v>
          </cell>
          <cell r="M3254">
            <v>0</v>
          </cell>
          <cell r="P3254">
            <v>126</v>
          </cell>
          <cell r="V3254" t="str">
            <v>Not Available</v>
          </cell>
        </row>
        <row r="3255">
          <cell r="E3255">
            <v>10130001</v>
          </cell>
          <cell r="H3255">
            <v>2</v>
          </cell>
          <cell r="I3255">
            <v>73.680000000000007</v>
          </cell>
          <cell r="J3255">
            <v>0</v>
          </cell>
          <cell r="K3255">
            <v>0</v>
          </cell>
          <cell r="M3255">
            <v>0</v>
          </cell>
          <cell r="P3255">
            <v>74</v>
          </cell>
          <cell r="V3255" t="str">
            <v>Not Available</v>
          </cell>
        </row>
        <row r="3256">
          <cell r="E3256">
            <v>10130001</v>
          </cell>
          <cell r="H3256">
            <v>3</v>
          </cell>
          <cell r="I3256">
            <v>112.17</v>
          </cell>
          <cell r="J3256">
            <v>0</v>
          </cell>
          <cell r="K3256">
            <v>0</v>
          </cell>
          <cell r="M3256">
            <v>0</v>
          </cell>
          <cell r="P3256">
            <v>112</v>
          </cell>
          <cell r="V3256" t="str">
            <v>Not Available</v>
          </cell>
        </row>
        <row r="3257">
          <cell r="E3257">
            <v>10130003</v>
          </cell>
          <cell r="H3257">
            <v>0.5</v>
          </cell>
          <cell r="I3257">
            <v>15.91</v>
          </cell>
          <cell r="J3257">
            <v>0</v>
          </cell>
          <cell r="K3257">
            <v>15.91</v>
          </cell>
          <cell r="M3257">
            <v>0</v>
          </cell>
          <cell r="P3257">
            <v>0</v>
          </cell>
          <cell r="V3257" t="str">
            <v>Not Available</v>
          </cell>
        </row>
        <row r="3258">
          <cell r="E3258">
            <v>10130003</v>
          </cell>
          <cell r="H3258">
            <v>83.199999999999989</v>
          </cell>
          <cell r="I3258">
            <v>2838.35</v>
          </cell>
          <cell r="J3258">
            <v>0</v>
          </cell>
          <cell r="K3258">
            <v>0</v>
          </cell>
          <cell r="M3258">
            <v>0</v>
          </cell>
          <cell r="P3258">
            <v>2838</v>
          </cell>
          <cell r="V3258" t="str">
            <v>Available</v>
          </cell>
        </row>
        <row r="3259">
          <cell r="E3259">
            <v>10130003</v>
          </cell>
          <cell r="H3259">
            <v>0.2</v>
          </cell>
          <cell r="I3259">
            <v>6.21</v>
          </cell>
          <cell r="J3259">
            <v>0</v>
          </cell>
          <cell r="K3259">
            <v>0</v>
          </cell>
          <cell r="M3259">
            <v>0</v>
          </cell>
          <cell r="P3259">
            <v>6</v>
          </cell>
          <cell r="V3259" t="str">
            <v>Available</v>
          </cell>
        </row>
        <row r="3260">
          <cell r="E3260">
            <v>10130006</v>
          </cell>
          <cell r="H3260">
            <v>0.1</v>
          </cell>
          <cell r="I3260">
            <v>2.69</v>
          </cell>
          <cell r="J3260">
            <v>0</v>
          </cell>
          <cell r="K3260">
            <v>0</v>
          </cell>
          <cell r="M3260">
            <v>0</v>
          </cell>
          <cell r="P3260">
            <v>3</v>
          </cell>
          <cell r="V3260" t="str">
            <v>Available</v>
          </cell>
        </row>
        <row r="3261">
          <cell r="E3261">
            <v>10130006</v>
          </cell>
          <cell r="H3261">
            <v>0</v>
          </cell>
          <cell r="I3261">
            <v>0.03</v>
          </cell>
          <cell r="J3261">
            <v>0</v>
          </cell>
          <cell r="K3261">
            <v>0</v>
          </cell>
          <cell r="M3261">
            <v>0</v>
          </cell>
          <cell r="P3261">
            <v>0</v>
          </cell>
          <cell r="V3261" t="str">
            <v>Available</v>
          </cell>
        </row>
        <row r="3262">
          <cell r="E3262">
            <v>10130006</v>
          </cell>
          <cell r="H3262">
            <v>0.1</v>
          </cell>
          <cell r="I3262">
            <v>2.71</v>
          </cell>
          <cell r="J3262">
            <v>0</v>
          </cell>
          <cell r="K3262">
            <v>0</v>
          </cell>
          <cell r="M3262">
            <v>0</v>
          </cell>
          <cell r="P3262">
            <v>3</v>
          </cell>
          <cell r="V3262" t="str">
            <v>Available</v>
          </cell>
        </row>
        <row r="3263">
          <cell r="E3263">
            <v>10130006</v>
          </cell>
          <cell r="H3263">
            <v>0.1</v>
          </cell>
          <cell r="I3263">
            <v>2.71</v>
          </cell>
          <cell r="J3263">
            <v>0</v>
          </cell>
          <cell r="K3263">
            <v>0</v>
          </cell>
          <cell r="M3263">
            <v>0</v>
          </cell>
          <cell r="P3263">
            <v>3</v>
          </cell>
          <cell r="V3263" t="str">
            <v>Available</v>
          </cell>
        </row>
        <row r="3264">
          <cell r="E3264">
            <v>10130006</v>
          </cell>
          <cell r="H3264">
            <v>12.4</v>
          </cell>
          <cell r="I3264">
            <v>513.26</v>
          </cell>
          <cell r="J3264">
            <v>0</v>
          </cell>
          <cell r="K3264">
            <v>0</v>
          </cell>
          <cell r="M3264">
            <v>0</v>
          </cell>
          <cell r="P3264">
            <v>513</v>
          </cell>
          <cell r="V3264" t="str">
            <v>Available</v>
          </cell>
        </row>
        <row r="3265">
          <cell r="E3265">
            <v>10130006</v>
          </cell>
          <cell r="H3265">
            <v>133.95999999999998</v>
          </cell>
          <cell r="I3265">
            <v>5479.3399999999992</v>
          </cell>
          <cell r="J3265">
            <v>0</v>
          </cell>
          <cell r="K3265">
            <v>0</v>
          </cell>
          <cell r="M3265">
            <v>0</v>
          </cell>
          <cell r="P3265">
            <v>5479</v>
          </cell>
          <cell r="V3265" t="str">
            <v>Available</v>
          </cell>
        </row>
        <row r="3266">
          <cell r="E3266">
            <v>10130006</v>
          </cell>
          <cell r="H3266">
            <v>43.22</v>
          </cell>
          <cell r="I3266">
            <v>1580.1399999999999</v>
          </cell>
          <cell r="J3266">
            <v>0</v>
          </cell>
          <cell r="K3266">
            <v>0</v>
          </cell>
          <cell r="M3266">
            <v>0</v>
          </cell>
          <cell r="P3266">
            <v>1580</v>
          </cell>
          <cell r="V3266" t="str">
            <v>Available</v>
          </cell>
        </row>
        <row r="3267">
          <cell r="E3267">
            <v>10130006</v>
          </cell>
          <cell r="H3267">
            <v>28.619999999999997</v>
          </cell>
          <cell r="I3267">
            <v>1020.76</v>
          </cell>
          <cell r="J3267">
            <v>0</v>
          </cell>
          <cell r="K3267">
            <v>0</v>
          </cell>
          <cell r="M3267">
            <v>0</v>
          </cell>
          <cell r="P3267">
            <v>1021</v>
          </cell>
          <cell r="V3267" t="str">
            <v>Available</v>
          </cell>
        </row>
        <row r="3268">
          <cell r="E3268">
            <v>10130006</v>
          </cell>
          <cell r="H3268">
            <v>0.01</v>
          </cell>
          <cell r="I3268">
            <v>0.27</v>
          </cell>
          <cell r="J3268">
            <v>0</v>
          </cell>
          <cell r="K3268">
            <v>0</v>
          </cell>
          <cell r="M3268">
            <v>0</v>
          </cell>
          <cell r="P3268">
            <v>0</v>
          </cell>
          <cell r="V3268" t="str">
            <v>Available</v>
          </cell>
        </row>
        <row r="3269">
          <cell r="E3269">
            <v>10130006</v>
          </cell>
          <cell r="H3269">
            <v>162.59999999999997</v>
          </cell>
          <cell r="I3269">
            <v>6323.9100000000008</v>
          </cell>
          <cell r="J3269">
            <v>0</v>
          </cell>
          <cell r="K3269">
            <v>0</v>
          </cell>
          <cell r="M3269">
            <v>0</v>
          </cell>
          <cell r="P3269">
            <v>6324</v>
          </cell>
          <cell r="V3269" t="str">
            <v>Available</v>
          </cell>
        </row>
        <row r="3270">
          <cell r="E3270">
            <v>10130006</v>
          </cell>
          <cell r="H3270">
            <v>18.72</v>
          </cell>
          <cell r="I3270">
            <v>648.92999999999995</v>
          </cell>
          <cell r="J3270">
            <v>0</v>
          </cell>
          <cell r="K3270">
            <v>0</v>
          </cell>
          <cell r="M3270">
            <v>0</v>
          </cell>
          <cell r="P3270">
            <v>649</v>
          </cell>
          <cell r="V3270" t="str">
            <v>Available</v>
          </cell>
        </row>
        <row r="3271">
          <cell r="E3271">
            <v>10130006</v>
          </cell>
          <cell r="H3271">
            <v>75.420000000000016</v>
          </cell>
          <cell r="I3271">
            <v>2894.9600000000005</v>
          </cell>
          <cell r="J3271">
            <v>0</v>
          </cell>
          <cell r="K3271">
            <v>0</v>
          </cell>
          <cell r="M3271">
            <v>0</v>
          </cell>
          <cell r="P3271">
            <v>2895</v>
          </cell>
          <cell r="V3271" t="str">
            <v>Available</v>
          </cell>
        </row>
        <row r="3272">
          <cell r="E3272">
            <v>10130006</v>
          </cell>
          <cell r="H3272">
            <v>3.72</v>
          </cell>
          <cell r="I3272">
            <v>141.69</v>
          </cell>
          <cell r="J3272">
            <v>0</v>
          </cell>
          <cell r="K3272">
            <v>0</v>
          </cell>
          <cell r="M3272">
            <v>0</v>
          </cell>
          <cell r="P3272">
            <v>142</v>
          </cell>
          <cell r="V3272" t="str">
            <v>Available</v>
          </cell>
        </row>
        <row r="3273">
          <cell r="E3273">
            <v>10130008</v>
          </cell>
          <cell r="H3273">
            <v>9.8800000000000008</v>
          </cell>
          <cell r="I3273">
            <v>472.05999999999995</v>
          </cell>
          <cell r="J3273">
            <v>0</v>
          </cell>
          <cell r="K3273">
            <v>472.05999999999995</v>
          </cell>
          <cell r="M3273">
            <v>0</v>
          </cell>
          <cell r="P3273">
            <v>0</v>
          </cell>
          <cell r="V3273" t="str">
            <v>Not Available</v>
          </cell>
        </row>
        <row r="3274">
          <cell r="E3274">
            <v>10130008</v>
          </cell>
          <cell r="H3274">
            <v>69.5</v>
          </cell>
          <cell r="I3274">
            <v>2945.3199999999997</v>
          </cell>
          <cell r="J3274">
            <v>0</v>
          </cell>
          <cell r="K3274">
            <v>0</v>
          </cell>
          <cell r="M3274">
            <v>0</v>
          </cell>
          <cell r="P3274">
            <v>2945</v>
          </cell>
          <cell r="V3274" t="str">
            <v>Available</v>
          </cell>
        </row>
        <row r="3275">
          <cell r="E3275">
            <v>10130008</v>
          </cell>
          <cell r="H3275">
            <v>72.34</v>
          </cell>
          <cell r="I3275">
            <v>3130.11</v>
          </cell>
          <cell r="J3275">
            <v>0</v>
          </cell>
          <cell r="K3275">
            <v>0</v>
          </cell>
          <cell r="M3275">
            <v>0</v>
          </cell>
          <cell r="P3275">
            <v>3130</v>
          </cell>
          <cell r="V3275" t="str">
            <v>Available</v>
          </cell>
        </row>
        <row r="3276">
          <cell r="E3276">
            <v>10130008</v>
          </cell>
          <cell r="H3276">
            <v>60.64</v>
          </cell>
          <cell r="I3276">
            <v>2478.56</v>
          </cell>
          <cell r="J3276">
            <v>0</v>
          </cell>
          <cell r="K3276">
            <v>0</v>
          </cell>
          <cell r="M3276">
            <v>0</v>
          </cell>
          <cell r="P3276">
            <v>2479</v>
          </cell>
          <cell r="V3276" t="str">
            <v>Available</v>
          </cell>
        </row>
        <row r="3277">
          <cell r="E3277">
            <v>10130008</v>
          </cell>
          <cell r="H3277">
            <v>56.81</v>
          </cell>
          <cell r="I3277">
            <v>2294.9</v>
          </cell>
          <cell r="J3277">
            <v>0</v>
          </cell>
          <cell r="K3277">
            <v>0</v>
          </cell>
          <cell r="M3277">
            <v>0</v>
          </cell>
          <cell r="P3277">
            <v>2295</v>
          </cell>
          <cell r="V3277" t="str">
            <v>Available</v>
          </cell>
        </row>
        <row r="3278">
          <cell r="E3278">
            <v>10130008</v>
          </cell>
          <cell r="H3278">
            <v>0.83</v>
          </cell>
          <cell r="I3278">
            <v>72.83</v>
          </cell>
          <cell r="J3278">
            <v>0</v>
          </cell>
          <cell r="K3278">
            <v>0</v>
          </cell>
          <cell r="M3278">
            <v>0</v>
          </cell>
          <cell r="P3278">
            <v>73</v>
          </cell>
          <cell r="V3278" t="str">
            <v>Available</v>
          </cell>
        </row>
        <row r="3279">
          <cell r="E3279">
            <v>10130008</v>
          </cell>
          <cell r="H3279">
            <v>39.32</v>
          </cell>
          <cell r="I3279">
            <v>1606.93</v>
          </cell>
          <cell r="J3279">
            <v>0</v>
          </cell>
          <cell r="K3279">
            <v>0</v>
          </cell>
          <cell r="M3279">
            <v>0</v>
          </cell>
          <cell r="P3279">
            <v>1607</v>
          </cell>
          <cell r="V3279" t="str">
            <v>Available</v>
          </cell>
        </row>
        <row r="3280">
          <cell r="E3280">
            <v>10130008</v>
          </cell>
          <cell r="H3280">
            <v>74.34</v>
          </cell>
          <cell r="I3280">
            <v>3036.0299999999997</v>
          </cell>
          <cell r="J3280">
            <v>0</v>
          </cell>
          <cell r="K3280">
            <v>0</v>
          </cell>
          <cell r="M3280">
            <v>0</v>
          </cell>
          <cell r="P3280">
            <v>3036</v>
          </cell>
          <cell r="V3280" t="str">
            <v>Available</v>
          </cell>
        </row>
        <row r="3281">
          <cell r="E3281">
            <v>10130008</v>
          </cell>
          <cell r="H3281">
            <v>42.250000000000007</v>
          </cell>
          <cell r="I3281">
            <v>1713.6000000000001</v>
          </cell>
          <cell r="J3281">
            <v>0</v>
          </cell>
          <cell r="K3281">
            <v>0</v>
          </cell>
          <cell r="M3281">
            <v>0</v>
          </cell>
          <cell r="P3281">
            <v>1714</v>
          </cell>
          <cell r="V3281" t="str">
            <v>Available</v>
          </cell>
        </row>
        <row r="3282">
          <cell r="E3282">
            <v>10130012</v>
          </cell>
          <cell r="H3282">
            <v>29.800000000000004</v>
          </cell>
          <cell r="I3282">
            <v>1179.29</v>
          </cell>
          <cell r="J3282">
            <v>0</v>
          </cell>
          <cell r="K3282">
            <v>1179.29</v>
          </cell>
          <cell r="M3282">
            <v>0</v>
          </cell>
          <cell r="P3282">
            <v>0</v>
          </cell>
          <cell r="V3282" t="str">
            <v>Not Available</v>
          </cell>
        </row>
        <row r="3283">
          <cell r="E3283">
            <v>10130012</v>
          </cell>
          <cell r="H3283">
            <v>197.3</v>
          </cell>
          <cell r="I3283">
            <v>7687.71</v>
          </cell>
          <cell r="J3283">
            <v>0</v>
          </cell>
          <cell r="K3283">
            <v>0</v>
          </cell>
          <cell r="M3283">
            <v>0</v>
          </cell>
          <cell r="P3283">
            <v>7688</v>
          </cell>
          <cell r="V3283" t="str">
            <v>Available</v>
          </cell>
        </row>
        <row r="3284">
          <cell r="E3284">
            <v>10130012</v>
          </cell>
          <cell r="H3284">
            <v>120.00000000000001</v>
          </cell>
          <cell r="I3284">
            <v>4670.8600000000006</v>
          </cell>
          <cell r="J3284">
            <v>0</v>
          </cell>
          <cell r="K3284">
            <v>0</v>
          </cell>
          <cell r="M3284">
            <v>0</v>
          </cell>
          <cell r="P3284">
            <v>4671</v>
          </cell>
          <cell r="V3284" t="str">
            <v>Available</v>
          </cell>
        </row>
        <row r="3285">
          <cell r="E3285">
            <v>10130012</v>
          </cell>
          <cell r="H3285">
            <v>101.19999999999999</v>
          </cell>
          <cell r="I3285">
            <v>3854.52</v>
          </cell>
          <cell r="J3285">
            <v>0</v>
          </cell>
          <cell r="K3285">
            <v>0</v>
          </cell>
          <cell r="M3285">
            <v>0</v>
          </cell>
          <cell r="P3285">
            <v>3855</v>
          </cell>
          <cell r="V3285" t="str">
            <v>Available</v>
          </cell>
        </row>
        <row r="3286">
          <cell r="E3286">
            <v>10130012</v>
          </cell>
          <cell r="H3286">
            <v>24.299999999999997</v>
          </cell>
          <cell r="I3286">
            <v>942.17000000000007</v>
          </cell>
          <cell r="J3286">
            <v>0</v>
          </cell>
          <cell r="K3286">
            <v>0</v>
          </cell>
          <cell r="M3286">
            <v>0</v>
          </cell>
          <cell r="P3286">
            <v>942</v>
          </cell>
          <cell r="V3286" t="str">
            <v>Not Available</v>
          </cell>
        </row>
        <row r="3287">
          <cell r="E3287">
            <v>10130012</v>
          </cell>
          <cell r="H3287">
            <v>29.6</v>
          </cell>
          <cell r="I3287">
            <v>1120.08</v>
          </cell>
          <cell r="J3287">
            <v>0</v>
          </cell>
          <cell r="K3287">
            <v>0</v>
          </cell>
          <cell r="M3287">
            <v>0</v>
          </cell>
          <cell r="P3287">
            <v>1120</v>
          </cell>
          <cell r="V3287" t="str">
            <v>Not Available</v>
          </cell>
        </row>
        <row r="3288">
          <cell r="E3288">
            <v>10130012</v>
          </cell>
          <cell r="H3288">
            <v>27.900000000000002</v>
          </cell>
          <cell r="I3288">
            <v>1053.2199999999998</v>
          </cell>
          <cell r="J3288">
            <v>0</v>
          </cell>
          <cell r="K3288">
            <v>0</v>
          </cell>
          <cell r="M3288">
            <v>0</v>
          </cell>
          <cell r="P3288">
            <v>1053</v>
          </cell>
          <cell r="V3288" t="str">
            <v>Not Available</v>
          </cell>
        </row>
        <row r="3289">
          <cell r="E3289">
            <v>10130012</v>
          </cell>
          <cell r="H3289">
            <v>28.8</v>
          </cell>
          <cell r="I3289">
            <v>1106.75</v>
          </cell>
          <cell r="J3289">
            <v>0</v>
          </cell>
          <cell r="K3289">
            <v>0</v>
          </cell>
          <cell r="M3289">
            <v>0</v>
          </cell>
          <cell r="P3289">
            <v>1107</v>
          </cell>
          <cell r="V3289" t="str">
            <v>Not Available</v>
          </cell>
        </row>
        <row r="3290">
          <cell r="E3290">
            <v>10130012</v>
          </cell>
          <cell r="H3290">
            <v>32.800000000000004</v>
          </cell>
          <cell r="I3290">
            <v>1260.3899999999999</v>
          </cell>
          <cell r="J3290">
            <v>0</v>
          </cell>
          <cell r="K3290">
            <v>0</v>
          </cell>
          <cell r="M3290">
            <v>0</v>
          </cell>
          <cell r="P3290">
            <v>1260</v>
          </cell>
          <cell r="V3290" t="str">
            <v>Not Available</v>
          </cell>
        </row>
        <row r="3291">
          <cell r="E3291">
            <v>10130012</v>
          </cell>
          <cell r="H3291">
            <v>114.79999999999998</v>
          </cell>
          <cell r="I3291">
            <v>4381</v>
          </cell>
          <cell r="J3291">
            <v>0</v>
          </cell>
          <cell r="K3291">
            <v>0</v>
          </cell>
          <cell r="M3291">
            <v>0</v>
          </cell>
          <cell r="P3291">
            <v>4381</v>
          </cell>
          <cell r="V3291" t="str">
            <v>Available</v>
          </cell>
        </row>
        <row r="3292">
          <cell r="E3292">
            <v>10130012</v>
          </cell>
          <cell r="H3292">
            <v>150.4</v>
          </cell>
          <cell r="I3292">
            <v>5970.07</v>
          </cell>
          <cell r="J3292">
            <v>0</v>
          </cell>
          <cell r="K3292">
            <v>0</v>
          </cell>
          <cell r="M3292">
            <v>0</v>
          </cell>
          <cell r="P3292">
            <v>5970</v>
          </cell>
          <cell r="V3292" t="str">
            <v>Available</v>
          </cell>
        </row>
        <row r="3293">
          <cell r="E3293">
            <v>10130012</v>
          </cell>
          <cell r="H3293">
            <v>159.19999999999999</v>
          </cell>
          <cell r="I3293">
            <v>6214.5400000000009</v>
          </cell>
          <cell r="J3293">
            <v>0</v>
          </cell>
          <cell r="K3293">
            <v>0</v>
          </cell>
          <cell r="M3293">
            <v>0</v>
          </cell>
          <cell r="P3293">
            <v>6215</v>
          </cell>
          <cell r="V3293" t="str">
            <v>Available</v>
          </cell>
        </row>
        <row r="3294">
          <cell r="E3294">
            <v>10130012</v>
          </cell>
          <cell r="H3294">
            <v>130.9</v>
          </cell>
          <cell r="I3294">
            <v>4998.13</v>
          </cell>
          <cell r="J3294">
            <v>0</v>
          </cell>
          <cell r="K3294">
            <v>0</v>
          </cell>
          <cell r="M3294">
            <v>0</v>
          </cell>
          <cell r="P3294">
            <v>4998</v>
          </cell>
          <cell r="V3294" t="str">
            <v>Available</v>
          </cell>
        </row>
        <row r="3295">
          <cell r="E3295">
            <v>10130012</v>
          </cell>
          <cell r="H3295">
            <v>32.999999999999993</v>
          </cell>
          <cell r="I3295">
            <v>1254.44</v>
          </cell>
          <cell r="J3295">
            <v>0</v>
          </cell>
          <cell r="K3295">
            <v>0</v>
          </cell>
          <cell r="M3295">
            <v>0</v>
          </cell>
          <cell r="P3295">
            <v>1254</v>
          </cell>
          <cell r="V3295" t="str">
            <v>Not Available</v>
          </cell>
        </row>
        <row r="3296">
          <cell r="E3296">
            <v>10130012</v>
          </cell>
          <cell r="H3296">
            <v>49.199999999999996</v>
          </cell>
          <cell r="I3296">
            <v>1828.9900000000002</v>
          </cell>
          <cell r="J3296">
            <v>0</v>
          </cell>
          <cell r="K3296">
            <v>0</v>
          </cell>
          <cell r="M3296">
            <v>0</v>
          </cell>
          <cell r="P3296">
            <v>1829</v>
          </cell>
          <cell r="V3296" t="str">
            <v>Available</v>
          </cell>
        </row>
        <row r="3297">
          <cell r="E3297">
            <v>10130012</v>
          </cell>
          <cell r="H3297">
            <v>182.3</v>
          </cell>
          <cell r="I3297">
            <v>7070.3799999999992</v>
          </cell>
          <cell r="J3297">
            <v>0</v>
          </cell>
          <cell r="K3297">
            <v>0</v>
          </cell>
          <cell r="M3297">
            <v>0</v>
          </cell>
          <cell r="P3297">
            <v>7070</v>
          </cell>
          <cell r="V3297" t="str">
            <v>Available</v>
          </cell>
        </row>
        <row r="3298">
          <cell r="E3298">
            <v>10130012</v>
          </cell>
          <cell r="H3298">
            <v>25.900000000000002</v>
          </cell>
          <cell r="I3298">
            <v>964.68</v>
          </cell>
          <cell r="J3298">
            <v>0</v>
          </cell>
          <cell r="K3298">
            <v>0</v>
          </cell>
          <cell r="M3298">
            <v>0</v>
          </cell>
          <cell r="P3298">
            <v>965</v>
          </cell>
          <cell r="V3298" t="str">
            <v>Not Available</v>
          </cell>
        </row>
        <row r="3299">
          <cell r="E3299">
            <v>10130012</v>
          </cell>
          <cell r="H3299">
            <v>29.8</v>
          </cell>
          <cell r="I3299">
            <v>1096.58</v>
          </cell>
          <cell r="J3299">
            <v>0</v>
          </cell>
          <cell r="K3299">
            <v>0</v>
          </cell>
          <cell r="M3299">
            <v>0</v>
          </cell>
          <cell r="P3299">
            <v>1097</v>
          </cell>
          <cell r="V3299" t="str">
            <v>Not Available</v>
          </cell>
        </row>
        <row r="3300">
          <cell r="E3300">
            <v>10130012</v>
          </cell>
          <cell r="H3300">
            <v>30.2</v>
          </cell>
          <cell r="I3300">
            <v>1128.57</v>
          </cell>
          <cell r="J3300">
            <v>0</v>
          </cell>
          <cell r="K3300">
            <v>0</v>
          </cell>
          <cell r="M3300">
            <v>0</v>
          </cell>
          <cell r="P3300">
            <v>1129</v>
          </cell>
          <cell r="V3300" t="str">
            <v>Not Available</v>
          </cell>
        </row>
        <row r="3301">
          <cell r="E3301">
            <v>10130012</v>
          </cell>
          <cell r="H3301">
            <v>31.700000000000003</v>
          </cell>
          <cell r="I3301">
            <v>1189.9900000000002</v>
          </cell>
          <cell r="J3301">
            <v>0</v>
          </cell>
          <cell r="K3301">
            <v>0</v>
          </cell>
          <cell r="M3301">
            <v>0</v>
          </cell>
          <cell r="P3301">
            <v>1190</v>
          </cell>
          <cell r="V3301" t="str">
            <v>Not Available</v>
          </cell>
        </row>
        <row r="3302">
          <cell r="E3302">
            <v>10130012</v>
          </cell>
          <cell r="H3302">
            <v>34.700000000000003</v>
          </cell>
          <cell r="I3302">
            <v>1308.7599999999998</v>
          </cell>
          <cell r="J3302">
            <v>0</v>
          </cell>
          <cell r="K3302">
            <v>0</v>
          </cell>
          <cell r="M3302">
            <v>0</v>
          </cell>
          <cell r="P3302">
            <v>1309</v>
          </cell>
          <cell r="V3302" t="str">
            <v>Not Available</v>
          </cell>
        </row>
        <row r="3303">
          <cell r="E3303">
            <v>10130012</v>
          </cell>
          <cell r="H3303">
            <v>34.5</v>
          </cell>
          <cell r="I3303">
            <v>1320.04</v>
          </cell>
          <cell r="J3303">
            <v>0</v>
          </cell>
          <cell r="K3303">
            <v>0</v>
          </cell>
          <cell r="M3303">
            <v>0</v>
          </cell>
          <cell r="P3303">
            <v>1320</v>
          </cell>
          <cell r="V3303" t="str">
            <v>Not Available</v>
          </cell>
        </row>
        <row r="3304">
          <cell r="E3304">
            <v>10130012</v>
          </cell>
          <cell r="H3304">
            <v>33.699999999999996</v>
          </cell>
          <cell r="I3304">
            <v>1297.46</v>
          </cell>
          <cell r="J3304">
            <v>0</v>
          </cell>
          <cell r="K3304">
            <v>0</v>
          </cell>
          <cell r="M3304">
            <v>0</v>
          </cell>
          <cell r="P3304">
            <v>1297</v>
          </cell>
          <cell r="V3304" t="str">
            <v>Not Available</v>
          </cell>
        </row>
        <row r="3305">
          <cell r="E3305">
            <v>10130012</v>
          </cell>
          <cell r="H3305">
            <v>29.6</v>
          </cell>
          <cell r="I3305">
            <v>1117.0300000000002</v>
          </cell>
          <cell r="J3305">
            <v>0</v>
          </cell>
          <cell r="K3305">
            <v>0</v>
          </cell>
          <cell r="M3305">
            <v>0</v>
          </cell>
          <cell r="P3305">
            <v>1117</v>
          </cell>
          <cell r="V3305" t="str">
            <v>Not Available</v>
          </cell>
        </row>
        <row r="3306">
          <cell r="E3306">
            <v>10130012</v>
          </cell>
          <cell r="H3306">
            <v>32.800000000000004</v>
          </cell>
          <cell r="I3306">
            <v>1223.5999999999999</v>
          </cell>
          <cell r="J3306">
            <v>0</v>
          </cell>
          <cell r="K3306">
            <v>0</v>
          </cell>
          <cell r="M3306">
            <v>0</v>
          </cell>
          <cell r="P3306">
            <v>1224</v>
          </cell>
          <cell r="V3306" t="str">
            <v>Not Available</v>
          </cell>
        </row>
        <row r="3307">
          <cell r="E3307">
            <v>10130012</v>
          </cell>
          <cell r="H3307">
            <v>29.4</v>
          </cell>
          <cell r="I3307">
            <v>1102.44</v>
          </cell>
          <cell r="J3307">
            <v>0</v>
          </cell>
          <cell r="K3307">
            <v>0</v>
          </cell>
          <cell r="M3307">
            <v>0</v>
          </cell>
          <cell r="P3307">
            <v>1102</v>
          </cell>
          <cell r="V3307" t="str">
            <v>Not Available</v>
          </cell>
        </row>
        <row r="3308">
          <cell r="E3308">
            <v>10130012</v>
          </cell>
          <cell r="H3308">
            <v>27.099999999999998</v>
          </cell>
          <cell r="I3308">
            <v>995.45000000000016</v>
          </cell>
          <cell r="J3308">
            <v>0</v>
          </cell>
          <cell r="K3308">
            <v>0</v>
          </cell>
          <cell r="M3308">
            <v>0</v>
          </cell>
          <cell r="P3308">
            <v>995</v>
          </cell>
          <cell r="V3308" t="str">
            <v>Not Available</v>
          </cell>
        </row>
        <row r="3309">
          <cell r="E3309">
            <v>10130012</v>
          </cell>
          <cell r="H3309">
            <v>30.000000000000004</v>
          </cell>
          <cell r="I3309">
            <v>1124.96</v>
          </cell>
          <cell r="J3309">
            <v>0</v>
          </cell>
          <cell r="K3309">
            <v>0</v>
          </cell>
          <cell r="M3309">
            <v>0</v>
          </cell>
          <cell r="P3309">
            <v>1125</v>
          </cell>
          <cell r="V3309" t="str">
            <v>Not Available</v>
          </cell>
        </row>
        <row r="3310">
          <cell r="E3310">
            <v>10130012</v>
          </cell>
          <cell r="H3310">
            <v>25.099999999999998</v>
          </cell>
          <cell r="I3310">
            <v>948.13000000000011</v>
          </cell>
          <cell r="J3310">
            <v>0</v>
          </cell>
          <cell r="K3310">
            <v>0</v>
          </cell>
          <cell r="M3310">
            <v>0</v>
          </cell>
          <cell r="P3310">
            <v>948</v>
          </cell>
          <cell r="V3310" t="str">
            <v>Not Available</v>
          </cell>
        </row>
        <row r="3311">
          <cell r="E3311">
            <v>10130012</v>
          </cell>
          <cell r="H3311">
            <v>28.5</v>
          </cell>
          <cell r="I3311">
            <v>1084.0999999999999</v>
          </cell>
          <cell r="J3311">
            <v>0</v>
          </cell>
          <cell r="K3311">
            <v>0</v>
          </cell>
          <cell r="M3311">
            <v>0</v>
          </cell>
          <cell r="P3311">
            <v>1084</v>
          </cell>
          <cell r="V3311" t="str">
            <v>Not Available</v>
          </cell>
        </row>
        <row r="3312">
          <cell r="E3312">
            <v>10130012</v>
          </cell>
          <cell r="H3312">
            <v>24.6</v>
          </cell>
          <cell r="I3312">
            <v>922.28000000000009</v>
          </cell>
          <cell r="J3312">
            <v>0</v>
          </cell>
          <cell r="K3312">
            <v>0</v>
          </cell>
          <cell r="M3312">
            <v>0</v>
          </cell>
          <cell r="P3312">
            <v>922</v>
          </cell>
          <cell r="V3312" t="str">
            <v>Not Available</v>
          </cell>
        </row>
        <row r="3313">
          <cell r="E3313">
            <v>10130012</v>
          </cell>
          <cell r="H3313">
            <v>26.400000000000002</v>
          </cell>
          <cell r="I3313">
            <v>1007.5400000000001</v>
          </cell>
          <cell r="J3313">
            <v>0</v>
          </cell>
          <cell r="K3313">
            <v>0</v>
          </cell>
          <cell r="M3313">
            <v>0</v>
          </cell>
          <cell r="P3313">
            <v>1008</v>
          </cell>
          <cell r="V3313" t="str">
            <v>Not Available</v>
          </cell>
        </row>
        <row r="3314">
          <cell r="E3314">
            <v>10130012</v>
          </cell>
          <cell r="H3314">
            <v>28</v>
          </cell>
          <cell r="I3314">
            <v>1072.26</v>
          </cell>
          <cell r="J3314">
            <v>0</v>
          </cell>
          <cell r="K3314">
            <v>0</v>
          </cell>
          <cell r="M3314">
            <v>0</v>
          </cell>
          <cell r="P3314">
            <v>1072</v>
          </cell>
          <cell r="V3314" t="str">
            <v>Not Available</v>
          </cell>
        </row>
        <row r="3315">
          <cell r="E3315">
            <v>10130012</v>
          </cell>
          <cell r="H3315">
            <v>27.000000000000004</v>
          </cell>
          <cell r="I3315">
            <v>1009.0899999999998</v>
          </cell>
          <cell r="J3315">
            <v>0</v>
          </cell>
          <cell r="K3315">
            <v>0</v>
          </cell>
          <cell r="M3315">
            <v>0</v>
          </cell>
          <cell r="P3315">
            <v>1009</v>
          </cell>
          <cell r="V3315" t="str">
            <v>Not Available</v>
          </cell>
        </row>
        <row r="3316">
          <cell r="E3316">
            <v>10130012</v>
          </cell>
          <cell r="H3316">
            <v>25.6</v>
          </cell>
          <cell r="I3316">
            <v>975.24999999999989</v>
          </cell>
          <cell r="J3316">
            <v>0</v>
          </cell>
          <cell r="K3316">
            <v>0</v>
          </cell>
          <cell r="M3316">
            <v>0</v>
          </cell>
          <cell r="P3316">
            <v>975</v>
          </cell>
          <cell r="V3316" t="str">
            <v>Not Available</v>
          </cell>
        </row>
        <row r="3317">
          <cell r="E3317">
            <v>10130012</v>
          </cell>
          <cell r="H3317">
            <v>27.999999999999993</v>
          </cell>
          <cell r="I3317">
            <v>1076.0600000000002</v>
          </cell>
          <cell r="J3317">
            <v>0</v>
          </cell>
          <cell r="K3317">
            <v>0</v>
          </cell>
          <cell r="M3317">
            <v>0</v>
          </cell>
          <cell r="P3317">
            <v>1076</v>
          </cell>
          <cell r="V3317" t="str">
            <v>Not Available</v>
          </cell>
        </row>
        <row r="3318">
          <cell r="E3318">
            <v>10130012</v>
          </cell>
          <cell r="H3318">
            <v>23.700000000000003</v>
          </cell>
          <cell r="I3318">
            <v>913.15000000000009</v>
          </cell>
          <cell r="J3318">
            <v>0</v>
          </cell>
          <cell r="K3318">
            <v>0</v>
          </cell>
          <cell r="M3318">
            <v>0</v>
          </cell>
          <cell r="P3318">
            <v>913</v>
          </cell>
          <cell r="V3318" t="str">
            <v>Not Available</v>
          </cell>
        </row>
        <row r="3319">
          <cell r="E3319">
            <v>10130012</v>
          </cell>
          <cell r="H3319">
            <v>24.100000000000005</v>
          </cell>
          <cell r="I3319">
            <v>907.31000000000006</v>
          </cell>
          <cell r="J3319">
            <v>0</v>
          </cell>
          <cell r="K3319">
            <v>0</v>
          </cell>
          <cell r="M3319">
            <v>0</v>
          </cell>
          <cell r="P3319">
            <v>907</v>
          </cell>
          <cell r="V3319" t="str">
            <v>Not Available</v>
          </cell>
        </row>
        <row r="3320">
          <cell r="E3320">
            <v>10130012</v>
          </cell>
          <cell r="H3320">
            <v>21.299999999999997</v>
          </cell>
          <cell r="I3320">
            <v>812</v>
          </cell>
          <cell r="J3320">
            <v>0</v>
          </cell>
          <cell r="K3320">
            <v>0</v>
          </cell>
          <cell r="M3320">
            <v>0</v>
          </cell>
          <cell r="P3320">
            <v>812</v>
          </cell>
          <cell r="V3320" t="str">
            <v>Not Available</v>
          </cell>
        </row>
        <row r="3321">
          <cell r="E3321">
            <v>10130012</v>
          </cell>
          <cell r="H3321">
            <v>16.5</v>
          </cell>
          <cell r="I3321">
            <v>618.12</v>
          </cell>
          <cell r="J3321">
            <v>0</v>
          </cell>
          <cell r="K3321">
            <v>0</v>
          </cell>
          <cell r="M3321">
            <v>0</v>
          </cell>
          <cell r="P3321">
            <v>618</v>
          </cell>
          <cell r="V3321" t="str">
            <v>Not Available</v>
          </cell>
        </row>
        <row r="3322">
          <cell r="E3322">
            <v>10130012</v>
          </cell>
          <cell r="H3322">
            <v>20.3</v>
          </cell>
          <cell r="I3322">
            <v>759.15</v>
          </cell>
          <cell r="J3322">
            <v>0</v>
          </cell>
          <cell r="K3322">
            <v>0</v>
          </cell>
          <cell r="M3322">
            <v>0</v>
          </cell>
          <cell r="P3322">
            <v>759</v>
          </cell>
          <cell r="V3322" t="str">
            <v>Not Available</v>
          </cell>
        </row>
        <row r="3323">
          <cell r="E3323">
            <v>10130012</v>
          </cell>
          <cell r="H3323">
            <v>19.2</v>
          </cell>
          <cell r="I3323">
            <v>735.2299999999999</v>
          </cell>
          <cell r="J3323">
            <v>0</v>
          </cell>
          <cell r="K3323">
            <v>0</v>
          </cell>
          <cell r="M3323">
            <v>0</v>
          </cell>
          <cell r="P3323">
            <v>735</v>
          </cell>
          <cell r="V3323" t="str">
            <v>Not Available</v>
          </cell>
        </row>
        <row r="3324">
          <cell r="E3324">
            <v>10130012</v>
          </cell>
          <cell r="H3324">
            <v>18.8</v>
          </cell>
          <cell r="I3324">
            <v>710.3900000000001</v>
          </cell>
          <cell r="J3324">
            <v>0</v>
          </cell>
          <cell r="K3324">
            <v>0</v>
          </cell>
          <cell r="M3324">
            <v>0</v>
          </cell>
          <cell r="P3324">
            <v>710</v>
          </cell>
          <cell r="V3324" t="str">
            <v>Not Available</v>
          </cell>
        </row>
        <row r="3325">
          <cell r="E3325">
            <v>10130012</v>
          </cell>
          <cell r="H3325">
            <v>19.700000000000003</v>
          </cell>
          <cell r="I3325">
            <v>742.05</v>
          </cell>
          <cell r="J3325">
            <v>0</v>
          </cell>
          <cell r="K3325">
            <v>0</v>
          </cell>
          <cell r="M3325">
            <v>0</v>
          </cell>
          <cell r="P3325">
            <v>742</v>
          </cell>
          <cell r="V3325" t="str">
            <v>Not Available</v>
          </cell>
        </row>
        <row r="3326">
          <cell r="E3326">
            <v>10130012</v>
          </cell>
          <cell r="H3326">
            <v>22.5</v>
          </cell>
          <cell r="I3326">
            <v>844.66000000000008</v>
          </cell>
          <cell r="J3326">
            <v>0</v>
          </cell>
          <cell r="K3326">
            <v>0</v>
          </cell>
          <cell r="M3326">
            <v>0</v>
          </cell>
          <cell r="P3326">
            <v>845</v>
          </cell>
          <cell r="V3326" t="str">
            <v>Not Available</v>
          </cell>
        </row>
        <row r="3327">
          <cell r="E3327">
            <v>10130012</v>
          </cell>
          <cell r="H3327">
            <v>20.100000000000001</v>
          </cell>
          <cell r="I3327">
            <v>752.35</v>
          </cell>
          <cell r="J3327">
            <v>0</v>
          </cell>
          <cell r="K3327">
            <v>0</v>
          </cell>
          <cell r="M3327">
            <v>0</v>
          </cell>
          <cell r="P3327">
            <v>752</v>
          </cell>
          <cell r="V3327" t="str">
            <v>Not Available</v>
          </cell>
        </row>
        <row r="3328">
          <cell r="E3328">
            <v>10130012</v>
          </cell>
          <cell r="H3328">
            <v>17.899999999999999</v>
          </cell>
          <cell r="I3328">
            <v>702.97</v>
          </cell>
          <cell r="J3328">
            <v>0</v>
          </cell>
          <cell r="K3328">
            <v>0</v>
          </cell>
          <cell r="M3328">
            <v>0</v>
          </cell>
          <cell r="P3328">
            <v>703</v>
          </cell>
          <cell r="V3328" t="str">
            <v>Not Available</v>
          </cell>
        </row>
        <row r="3329">
          <cell r="E3329">
            <v>10130012</v>
          </cell>
          <cell r="H3329">
            <v>11</v>
          </cell>
          <cell r="I3329">
            <v>427.89</v>
          </cell>
          <cell r="J3329">
            <v>0</v>
          </cell>
          <cell r="K3329">
            <v>0</v>
          </cell>
          <cell r="M3329">
            <v>0</v>
          </cell>
          <cell r="P3329">
            <v>428</v>
          </cell>
          <cell r="V3329" t="str">
            <v>Not Available</v>
          </cell>
        </row>
        <row r="3330">
          <cell r="E3330">
            <v>10130012</v>
          </cell>
          <cell r="H3330">
            <v>13.3</v>
          </cell>
          <cell r="I3330">
            <v>502.76</v>
          </cell>
          <cell r="J3330">
            <v>0</v>
          </cell>
          <cell r="K3330">
            <v>0</v>
          </cell>
          <cell r="M3330">
            <v>0</v>
          </cell>
          <cell r="P3330">
            <v>503</v>
          </cell>
          <cell r="V3330" t="str">
            <v>Not Available</v>
          </cell>
        </row>
        <row r="3331">
          <cell r="E3331">
            <v>10130012</v>
          </cell>
          <cell r="H3331">
            <v>8.8999999999999986</v>
          </cell>
          <cell r="I3331">
            <v>302.54999999999995</v>
          </cell>
          <cell r="J3331">
            <v>0</v>
          </cell>
          <cell r="K3331">
            <v>0</v>
          </cell>
          <cell r="M3331">
            <v>0</v>
          </cell>
          <cell r="P3331">
            <v>303</v>
          </cell>
          <cell r="V3331" t="str">
            <v>Not Available</v>
          </cell>
        </row>
        <row r="3332">
          <cell r="E3332">
            <v>10130012</v>
          </cell>
          <cell r="H3332">
            <v>4.3000000000000007</v>
          </cell>
          <cell r="I3332">
            <v>157.5</v>
          </cell>
          <cell r="J3332">
            <v>0</v>
          </cell>
          <cell r="K3332">
            <v>0</v>
          </cell>
          <cell r="M3332">
            <v>0</v>
          </cell>
          <cell r="P3332">
            <v>158</v>
          </cell>
          <cell r="V3332" t="str">
            <v>Not Available</v>
          </cell>
        </row>
        <row r="3333">
          <cell r="E3333">
            <v>10130012</v>
          </cell>
          <cell r="H3333">
            <v>1.2</v>
          </cell>
          <cell r="I3333">
            <v>49.04</v>
          </cell>
          <cell r="J3333">
            <v>0</v>
          </cell>
          <cell r="K3333">
            <v>0</v>
          </cell>
          <cell r="M3333">
            <v>0</v>
          </cell>
          <cell r="P3333">
            <v>49</v>
          </cell>
          <cell r="V3333" t="str">
            <v>Not Available</v>
          </cell>
        </row>
        <row r="3334">
          <cell r="E3334">
            <v>10130012</v>
          </cell>
          <cell r="H3334">
            <v>1.1000000000000001</v>
          </cell>
          <cell r="I3334">
            <v>44.96</v>
          </cell>
          <cell r="J3334">
            <v>0</v>
          </cell>
          <cell r="K3334">
            <v>0</v>
          </cell>
          <cell r="M3334">
            <v>0</v>
          </cell>
          <cell r="P3334">
            <v>45</v>
          </cell>
          <cell r="V3334" t="str">
            <v>Not Available</v>
          </cell>
        </row>
        <row r="3335">
          <cell r="E3335">
            <v>10130012</v>
          </cell>
          <cell r="H3335">
            <v>1.1000000000000001</v>
          </cell>
          <cell r="I3335">
            <v>44.96</v>
          </cell>
          <cell r="J3335">
            <v>0</v>
          </cell>
          <cell r="K3335">
            <v>0</v>
          </cell>
          <cell r="M3335">
            <v>0</v>
          </cell>
          <cell r="P3335">
            <v>45</v>
          </cell>
          <cell r="V3335" t="str">
            <v>Not Available</v>
          </cell>
        </row>
        <row r="3336">
          <cell r="E3336">
            <v>10130012</v>
          </cell>
          <cell r="H3336">
            <v>48.6</v>
          </cell>
          <cell r="I3336">
            <v>1849.5</v>
          </cell>
          <cell r="J3336">
            <v>0</v>
          </cell>
          <cell r="K3336">
            <v>0</v>
          </cell>
          <cell r="M3336">
            <v>0</v>
          </cell>
          <cell r="P3336">
            <v>1850</v>
          </cell>
          <cell r="V3336" t="str">
            <v>Available</v>
          </cell>
        </row>
        <row r="3337">
          <cell r="E3337">
            <v>10130012</v>
          </cell>
          <cell r="H3337">
            <v>56.8</v>
          </cell>
          <cell r="I3337">
            <v>2191.6000000000004</v>
          </cell>
          <cell r="J3337">
            <v>0</v>
          </cell>
          <cell r="K3337">
            <v>0</v>
          </cell>
          <cell r="M3337">
            <v>0</v>
          </cell>
          <cell r="P3337">
            <v>2192</v>
          </cell>
          <cell r="V3337" t="str">
            <v>Available</v>
          </cell>
        </row>
        <row r="3338">
          <cell r="E3338">
            <v>10130026</v>
          </cell>
          <cell r="H3338">
            <v>2.35</v>
          </cell>
          <cell r="I3338">
            <v>122.88</v>
          </cell>
          <cell r="J3338">
            <v>0</v>
          </cell>
          <cell r="K3338">
            <v>122.88</v>
          </cell>
          <cell r="M3338">
            <v>0</v>
          </cell>
          <cell r="P3338">
            <v>0</v>
          </cell>
          <cell r="V3338" t="str">
            <v>Not Available</v>
          </cell>
        </row>
        <row r="3339">
          <cell r="E3339">
            <v>10130026</v>
          </cell>
          <cell r="H3339">
            <v>65.36</v>
          </cell>
          <cell r="I3339">
            <v>3368.1000000000004</v>
          </cell>
          <cell r="J3339">
            <v>0</v>
          </cell>
          <cell r="K3339">
            <v>0</v>
          </cell>
          <cell r="M3339">
            <v>0</v>
          </cell>
          <cell r="P3339">
            <v>2174</v>
          </cell>
          <cell r="V3339" t="str">
            <v>Available</v>
          </cell>
        </row>
        <row r="3340">
          <cell r="E3340">
            <v>10130026</v>
          </cell>
          <cell r="H3340">
            <v>21.57</v>
          </cell>
          <cell r="I3340">
            <v>1029.6599999999999</v>
          </cell>
          <cell r="J3340">
            <v>0</v>
          </cell>
          <cell r="K3340">
            <v>0</v>
          </cell>
          <cell r="M3340">
            <v>0</v>
          </cell>
          <cell r="P3340">
            <v>1030</v>
          </cell>
          <cell r="V3340" t="str">
            <v>Not Available</v>
          </cell>
        </row>
        <row r="3341">
          <cell r="E3341">
            <v>10130026</v>
          </cell>
          <cell r="H3341">
            <v>15.299999999999999</v>
          </cell>
          <cell r="I3341">
            <v>895.26</v>
          </cell>
          <cell r="J3341">
            <v>0</v>
          </cell>
          <cell r="K3341">
            <v>0</v>
          </cell>
          <cell r="M3341">
            <v>0</v>
          </cell>
          <cell r="P3341">
            <v>895</v>
          </cell>
          <cell r="V3341" t="str">
            <v>Not Available</v>
          </cell>
        </row>
        <row r="3342">
          <cell r="E3342">
            <v>10130026</v>
          </cell>
          <cell r="H3342">
            <v>19.509999999999998</v>
          </cell>
          <cell r="I3342">
            <v>916.66000000000008</v>
          </cell>
          <cell r="J3342">
            <v>0</v>
          </cell>
          <cell r="K3342">
            <v>0</v>
          </cell>
          <cell r="M3342">
            <v>0</v>
          </cell>
          <cell r="P3342">
            <v>917</v>
          </cell>
          <cell r="V3342" t="str">
            <v>Not Available</v>
          </cell>
        </row>
        <row r="3343">
          <cell r="E3343">
            <v>10130026</v>
          </cell>
          <cell r="H3343">
            <v>24.96</v>
          </cell>
          <cell r="I3343">
            <v>1254.0999999999999</v>
          </cell>
          <cell r="J3343">
            <v>0</v>
          </cell>
          <cell r="K3343">
            <v>0</v>
          </cell>
          <cell r="M3343">
            <v>0</v>
          </cell>
          <cell r="P3343">
            <v>1254</v>
          </cell>
          <cell r="V3343" t="str">
            <v>Not Available</v>
          </cell>
        </row>
        <row r="3344">
          <cell r="E3344">
            <v>10130026</v>
          </cell>
          <cell r="H3344">
            <v>47.36999999999999</v>
          </cell>
          <cell r="I3344">
            <v>2420.92</v>
          </cell>
          <cell r="J3344">
            <v>0</v>
          </cell>
          <cell r="K3344">
            <v>0</v>
          </cell>
          <cell r="M3344">
            <v>0</v>
          </cell>
          <cell r="P3344">
            <v>2421</v>
          </cell>
          <cell r="V3344" t="str">
            <v>Not Available</v>
          </cell>
        </row>
        <row r="3345">
          <cell r="E3345">
            <v>10130030</v>
          </cell>
          <cell r="H3345">
            <v>129.6</v>
          </cell>
          <cell r="I3345">
            <v>4762.32</v>
          </cell>
          <cell r="J3345">
            <v>0</v>
          </cell>
          <cell r="K3345">
            <v>0</v>
          </cell>
          <cell r="M3345">
            <v>0</v>
          </cell>
          <cell r="P3345">
            <v>4762</v>
          </cell>
          <cell r="V3345" t="str">
            <v>Available</v>
          </cell>
        </row>
        <row r="3346">
          <cell r="E3346">
            <v>10130030</v>
          </cell>
          <cell r="H3346">
            <v>33.199999999999996</v>
          </cell>
          <cell r="I3346">
            <v>1202.01</v>
          </cell>
          <cell r="J3346">
            <v>0</v>
          </cell>
          <cell r="K3346">
            <v>0</v>
          </cell>
          <cell r="M3346">
            <v>0</v>
          </cell>
          <cell r="P3346">
            <v>1202</v>
          </cell>
          <cell r="V3346" t="str">
            <v>Available</v>
          </cell>
        </row>
        <row r="3347">
          <cell r="E3347">
            <v>10130030</v>
          </cell>
          <cell r="H3347">
            <v>5</v>
          </cell>
          <cell r="I3347">
            <v>189.25</v>
          </cell>
          <cell r="J3347">
            <v>0</v>
          </cell>
          <cell r="K3347">
            <v>0</v>
          </cell>
          <cell r="M3347">
            <v>0</v>
          </cell>
          <cell r="P3347">
            <v>189</v>
          </cell>
          <cell r="V3347" t="str">
            <v>Not Available</v>
          </cell>
        </row>
        <row r="3348">
          <cell r="E3348">
            <v>10130030</v>
          </cell>
          <cell r="H3348">
            <v>5</v>
          </cell>
          <cell r="I3348">
            <v>189.25</v>
          </cell>
          <cell r="J3348">
            <v>0</v>
          </cell>
          <cell r="K3348">
            <v>0</v>
          </cell>
          <cell r="M3348">
            <v>0</v>
          </cell>
          <cell r="P3348">
            <v>189</v>
          </cell>
          <cell r="V3348" t="str">
            <v>Not Available</v>
          </cell>
        </row>
        <row r="3349">
          <cell r="E3349">
            <v>10130046</v>
          </cell>
          <cell r="H3349">
            <v>173.59</v>
          </cell>
          <cell r="I3349">
            <v>8279.1199999999972</v>
          </cell>
          <cell r="J3349">
            <v>0</v>
          </cell>
          <cell r="K3349">
            <v>0</v>
          </cell>
          <cell r="M3349">
            <v>0</v>
          </cell>
          <cell r="P3349">
            <v>7344</v>
          </cell>
          <cell r="V3349" t="str">
            <v>Available</v>
          </cell>
        </row>
        <row r="3350">
          <cell r="E3350">
            <v>10130046</v>
          </cell>
          <cell r="H3350">
            <v>6.2099999999999991</v>
          </cell>
          <cell r="I3350">
            <v>303.78999999999996</v>
          </cell>
          <cell r="J3350">
            <v>0</v>
          </cell>
          <cell r="K3350">
            <v>0</v>
          </cell>
          <cell r="M3350">
            <v>0</v>
          </cell>
          <cell r="P3350">
            <v>304</v>
          </cell>
          <cell r="V3350" t="str">
            <v>Available</v>
          </cell>
        </row>
        <row r="3351">
          <cell r="E3351">
            <v>10130046</v>
          </cell>
          <cell r="H3351">
            <v>29.889999999999997</v>
          </cell>
          <cell r="I3351">
            <v>1731.5600000000002</v>
          </cell>
          <cell r="J3351">
            <v>0</v>
          </cell>
          <cell r="K3351">
            <v>0</v>
          </cell>
          <cell r="M3351">
            <v>0</v>
          </cell>
          <cell r="P3351">
            <v>1732</v>
          </cell>
          <cell r="V3351" t="str">
            <v>Available</v>
          </cell>
        </row>
        <row r="3352">
          <cell r="E3352">
            <v>10130046</v>
          </cell>
          <cell r="H3352">
            <v>10.7</v>
          </cell>
          <cell r="I3352">
            <v>636.79</v>
          </cell>
          <cell r="J3352">
            <v>0</v>
          </cell>
          <cell r="K3352">
            <v>0</v>
          </cell>
          <cell r="M3352">
            <v>0</v>
          </cell>
          <cell r="P3352">
            <v>637</v>
          </cell>
          <cell r="V3352" t="str">
            <v>Not Available</v>
          </cell>
        </row>
        <row r="3353">
          <cell r="E3353">
            <v>10130046</v>
          </cell>
          <cell r="H3353">
            <v>4.5500000000000007</v>
          </cell>
          <cell r="I3353">
            <v>235.13</v>
          </cell>
          <cell r="J3353">
            <v>0</v>
          </cell>
          <cell r="K3353">
            <v>0</v>
          </cell>
          <cell r="M3353">
            <v>0</v>
          </cell>
          <cell r="P3353">
            <v>235</v>
          </cell>
          <cell r="V3353" t="str">
            <v>Not Available</v>
          </cell>
        </row>
        <row r="3354">
          <cell r="E3354">
            <v>10130046</v>
          </cell>
          <cell r="H3354">
            <v>8.11</v>
          </cell>
          <cell r="I3354">
            <v>368.63</v>
          </cell>
          <cell r="J3354">
            <v>0</v>
          </cell>
          <cell r="K3354">
            <v>0</v>
          </cell>
          <cell r="M3354">
            <v>0</v>
          </cell>
          <cell r="P3354">
            <v>369</v>
          </cell>
          <cell r="V3354" t="str">
            <v>Not Available</v>
          </cell>
        </row>
        <row r="3355">
          <cell r="E3355">
            <v>10130046</v>
          </cell>
          <cell r="H3355">
            <v>4.68</v>
          </cell>
          <cell r="I3355">
            <v>204.72000000000003</v>
          </cell>
          <cell r="J3355">
            <v>0</v>
          </cell>
          <cell r="K3355">
            <v>0</v>
          </cell>
          <cell r="M3355">
            <v>0</v>
          </cell>
          <cell r="P3355">
            <v>205</v>
          </cell>
          <cell r="V3355" t="str">
            <v>Not Available</v>
          </cell>
        </row>
        <row r="3356">
          <cell r="E3356">
            <v>10130046</v>
          </cell>
          <cell r="H3356">
            <v>2.0099999999999998</v>
          </cell>
          <cell r="I3356">
            <v>84.68</v>
          </cell>
          <cell r="J3356">
            <v>0</v>
          </cell>
          <cell r="K3356">
            <v>0</v>
          </cell>
          <cell r="M3356">
            <v>0</v>
          </cell>
          <cell r="P3356">
            <v>85</v>
          </cell>
          <cell r="V3356" t="str">
            <v>Not Available</v>
          </cell>
        </row>
        <row r="3357">
          <cell r="E3357">
            <v>10130046</v>
          </cell>
          <cell r="H3357">
            <v>1.56</v>
          </cell>
          <cell r="I3357">
            <v>73.510000000000005</v>
          </cell>
          <cell r="J3357">
            <v>0</v>
          </cell>
          <cell r="K3357">
            <v>0</v>
          </cell>
          <cell r="M3357">
            <v>0</v>
          </cell>
          <cell r="P3357">
            <v>74</v>
          </cell>
          <cell r="V3357" t="str">
            <v>Not Available</v>
          </cell>
        </row>
        <row r="3358">
          <cell r="E3358">
            <v>10130046</v>
          </cell>
          <cell r="H3358">
            <v>17.049999999999997</v>
          </cell>
          <cell r="I3358">
            <v>1213.75</v>
          </cell>
          <cell r="J3358">
            <v>0</v>
          </cell>
          <cell r="K3358">
            <v>0</v>
          </cell>
          <cell r="M3358">
            <v>0</v>
          </cell>
          <cell r="P3358">
            <v>1214</v>
          </cell>
          <cell r="V3358" t="str">
            <v>Not Available</v>
          </cell>
        </row>
        <row r="3359">
          <cell r="E3359">
            <v>10130046</v>
          </cell>
          <cell r="H3359">
            <v>18.23</v>
          </cell>
          <cell r="I3359">
            <v>1079.55</v>
          </cell>
          <cell r="J3359">
            <v>0</v>
          </cell>
          <cell r="K3359">
            <v>0</v>
          </cell>
          <cell r="M3359">
            <v>0</v>
          </cell>
          <cell r="P3359">
            <v>1080</v>
          </cell>
          <cell r="V3359" t="str">
            <v>Not Available</v>
          </cell>
        </row>
        <row r="3360">
          <cell r="E3360">
            <v>10130046</v>
          </cell>
          <cell r="H3360">
            <v>3.06</v>
          </cell>
          <cell r="I3360">
            <v>242.81</v>
          </cell>
          <cell r="J3360">
            <v>0</v>
          </cell>
          <cell r="K3360">
            <v>0</v>
          </cell>
          <cell r="M3360">
            <v>0</v>
          </cell>
          <cell r="P3360">
            <v>243</v>
          </cell>
          <cell r="V3360" t="str">
            <v>Not Available</v>
          </cell>
        </row>
        <row r="3361">
          <cell r="E3361">
            <v>10130046</v>
          </cell>
          <cell r="H3361">
            <v>7.88</v>
          </cell>
          <cell r="I3361">
            <v>375.87</v>
          </cell>
          <cell r="J3361">
            <v>0</v>
          </cell>
          <cell r="K3361">
            <v>0</v>
          </cell>
          <cell r="M3361">
            <v>0</v>
          </cell>
          <cell r="P3361">
            <v>376</v>
          </cell>
          <cell r="V3361" t="str">
            <v>Not Available</v>
          </cell>
        </row>
        <row r="3362">
          <cell r="E3362">
            <v>10130047</v>
          </cell>
          <cell r="H3362">
            <v>2.54</v>
          </cell>
          <cell r="I3362">
            <v>94.73</v>
          </cell>
          <cell r="J3362">
            <v>0</v>
          </cell>
          <cell r="K3362">
            <v>94.73</v>
          </cell>
          <cell r="M3362">
            <v>0</v>
          </cell>
          <cell r="P3362">
            <v>0</v>
          </cell>
          <cell r="V3362" t="str">
            <v>Not Available</v>
          </cell>
        </row>
        <row r="3363">
          <cell r="E3363">
            <v>10130047</v>
          </cell>
          <cell r="H3363">
            <v>12.25</v>
          </cell>
          <cell r="I3363">
            <v>444.39</v>
          </cell>
          <cell r="J3363">
            <v>0</v>
          </cell>
          <cell r="K3363">
            <v>0</v>
          </cell>
          <cell r="M3363">
            <v>0</v>
          </cell>
          <cell r="P3363">
            <v>444</v>
          </cell>
          <cell r="V3363" t="str">
            <v>Available</v>
          </cell>
        </row>
        <row r="3364">
          <cell r="E3364">
            <v>10130047</v>
          </cell>
          <cell r="H3364">
            <v>122.26</v>
          </cell>
          <cell r="I3364">
            <v>4825.82</v>
          </cell>
          <cell r="J3364">
            <v>0</v>
          </cell>
          <cell r="K3364">
            <v>0</v>
          </cell>
          <cell r="M3364">
            <v>0</v>
          </cell>
          <cell r="P3364">
            <v>4826</v>
          </cell>
          <cell r="V3364" t="str">
            <v>Available</v>
          </cell>
        </row>
        <row r="3365">
          <cell r="E3365">
            <v>10130047</v>
          </cell>
          <cell r="H3365">
            <v>72.820000000000007</v>
          </cell>
          <cell r="I3365">
            <v>2766.88</v>
          </cell>
          <cell r="J3365">
            <v>0</v>
          </cell>
          <cell r="K3365">
            <v>0</v>
          </cell>
          <cell r="M3365">
            <v>0</v>
          </cell>
          <cell r="P3365">
            <v>2767</v>
          </cell>
          <cell r="V3365" t="str">
            <v>Available</v>
          </cell>
        </row>
        <row r="3366">
          <cell r="E3366">
            <v>10130047</v>
          </cell>
          <cell r="H3366">
            <v>27.359999999999996</v>
          </cell>
          <cell r="I3366">
            <v>983.24999999999977</v>
          </cell>
          <cell r="J3366">
            <v>0</v>
          </cell>
          <cell r="K3366">
            <v>0</v>
          </cell>
          <cell r="M3366">
            <v>286</v>
          </cell>
          <cell r="P3366">
            <v>697</v>
          </cell>
          <cell r="V3366" t="str">
            <v>Available</v>
          </cell>
        </row>
        <row r="3367">
          <cell r="E3367">
            <v>10130047</v>
          </cell>
          <cell r="H3367">
            <v>9.0299999999999994</v>
          </cell>
          <cell r="I3367">
            <v>335.36</v>
          </cell>
          <cell r="J3367">
            <v>0</v>
          </cell>
          <cell r="K3367">
            <v>0</v>
          </cell>
          <cell r="M3367">
            <v>0</v>
          </cell>
          <cell r="P3367">
            <v>335</v>
          </cell>
          <cell r="V3367" t="str">
            <v>Available</v>
          </cell>
        </row>
        <row r="3368">
          <cell r="E3368">
            <v>10130052</v>
          </cell>
          <cell r="H3368">
            <v>10.76</v>
          </cell>
          <cell r="I3368">
            <v>380.89</v>
          </cell>
          <cell r="J3368">
            <v>0</v>
          </cell>
          <cell r="K3368">
            <v>380.89</v>
          </cell>
          <cell r="M3368">
            <v>0</v>
          </cell>
          <cell r="P3368">
            <v>0</v>
          </cell>
          <cell r="V3368" t="str">
            <v>Not Available</v>
          </cell>
        </row>
        <row r="3369">
          <cell r="E3369">
            <v>10130052</v>
          </cell>
          <cell r="H3369">
            <v>215.61999999999998</v>
          </cell>
          <cell r="I3369">
            <v>8226.1799999999985</v>
          </cell>
          <cell r="J3369">
            <v>0</v>
          </cell>
          <cell r="K3369">
            <v>0</v>
          </cell>
          <cell r="M3369">
            <v>0</v>
          </cell>
          <cell r="P3369">
            <v>8226</v>
          </cell>
          <cell r="V3369" t="str">
            <v>Available</v>
          </cell>
        </row>
        <row r="3370">
          <cell r="E3370">
            <v>10130052</v>
          </cell>
          <cell r="H3370">
            <v>38.249999999999993</v>
          </cell>
          <cell r="I3370">
            <v>1721.4100000000003</v>
          </cell>
          <cell r="J3370">
            <v>0</v>
          </cell>
          <cell r="K3370">
            <v>0</v>
          </cell>
          <cell r="M3370">
            <v>0</v>
          </cell>
          <cell r="P3370">
            <v>1721</v>
          </cell>
          <cell r="V3370" t="str">
            <v>Available</v>
          </cell>
        </row>
        <row r="3371">
          <cell r="E3371">
            <v>10130052</v>
          </cell>
          <cell r="H3371">
            <v>29.85</v>
          </cell>
          <cell r="I3371">
            <v>922.05</v>
          </cell>
          <cell r="J3371">
            <v>0</v>
          </cell>
          <cell r="K3371">
            <v>0</v>
          </cell>
          <cell r="M3371">
            <v>0</v>
          </cell>
          <cell r="P3371">
            <v>922</v>
          </cell>
          <cell r="V3371" t="str">
            <v>Available</v>
          </cell>
        </row>
        <row r="3372">
          <cell r="E3372">
            <v>10130052</v>
          </cell>
          <cell r="H3372">
            <v>14.209999999999999</v>
          </cell>
          <cell r="I3372">
            <v>655.69</v>
          </cell>
          <cell r="J3372">
            <v>0</v>
          </cell>
          <cell r="K3372">
            <v>0</v>
          </cell>
          <cell r="M3372">
            <v>0</v>
          </cell>
          <cell r="P3372">
            <v>656</v>
          </cell>
          <cell r="V3372" t="str">
            <v>Available</v>
          </cell>
        </row>
        <row r="3373">
          <cell r="E3373">
            <v>10130052</v>
          </cell>
          <cell r="H3373">
            <v>20.55</v>
          </cell>
          <cell r="I3373">
            <v>863.52</v>
          </cell>
          <cell r="J3373">
            <v>0</v>
          </cell>
          <cell r="K3373">
            <v>0</v>
          </cell>
          <cell r="M3373">
            <v>0</v>
          </cell>
          <cell r="P3373">
            <v>864</v>
          </cell>
          <cell r="V3373" t="str">
            <v>Available</v>
          </cell>
        </row>
        <row r="3374">
          <cell r="E3374">
            <v>10130052</v>
          </cell>
          <cell r="H3374">
            <v>76.679999999999978</v>
          </cell>
          <cell r="I3374">
            <v>3028.1</v>
          </cell>
          <cell r="J3374">
            <v>0</v>
          </cell>
          <cell r="K3374">
            <v>0</v>
          </cell>
          <cell r="M3374">
            <v>0</v>
          </cell>
          <cell r="P3374">
            <v>3028</v>
          </cell>
          <cell r="V3374" t="str">
            <v>Available</v>
          </cell>
        </row>
        <row r="3375">
          <cell r="E3375">
            <v>10130052</v>
          </cell>
          <cell r="H3375">
            <v>16.72</v>
          </cell>
          <cell r="I3375">
            <v>548.4</v>
          </cell>
          <cell r="J3375">
            <v>0</v>
          </cell>
          <cell r="K3375">
            <v>0</v>
          </cell>
          <cell r="M3375">
            <v>0</v>
          </cell>
          <cell r="P3375">
            <v>548</v>
          </cell>
          <cell r="V3375" t="str">
            <v>Available</v>
          </cell>
        </row>
        <row r="3376">
          <cell r="E3376">
            <v>10130052</v>
          </cell>
          <cell r="H3376">
            <v>51.52</v>
          </cell>
          <cell r="I3376">
            <v>1710.77</v>
          </cell>
          <cell r="J3376">
            <v>0</v>
          </cell>
          <cell r="K3376">
            <v>0</v>
          </cell>
          <cell r="M3376">
            <v>0</v>
          </cell>
          <cell r="P3376">
            <v>1711</v>
          </cell>
          <cell r="V3376" t="str">
            <v>Available</v>
          </cell>
        </row>
        <row r="3377">
          <cell r="E3377">
            <v>10130052</v>
          </cell>
          <cell r="H3377">
            <v>99.919999999999987</v>
          </cell>
          <cell r="I3377">
            <v>3378.83</v>
          </cell>
          <cell r="J3377">
            <v>0</v>
          </cell>
          <cell r="K3377">
            <v>0</v>
          </cell>
          <cell r="M3377">
            <v>0</v>
          </cell>
          <cell r="P3377">
            <v>3379</v>
          </cell>
          <cell r="V3377" t="str">
            <v>Available</v>
          </cell>
        </row>
        <row r="3378">
          <cell r="E3378">
            <v>10130052</v>
          </cell>
          <cell r="H3378">
            <v>38.99</v>
          </cell>
          <cell r="I3378">
            <v>1391.4899999999998</v>
          </cell>
          <cell r="J3378">
            <v>0</v>
          </cell>
          <cell r="K3378">
            <v>0</v>
          </cell>
          <cell r="M3378">
            <v>0</v>
          </cell>
          <cell r="P3378">
            <v>1391</v>
          </cell>
          <cell r="V3378" t="str">
            <v>Not Available</v>
          </cell>
        </row>
        <row r="3379">
          <cell r="E3379">
            <v>10130052</v>
          </cell>
          <cell r="H3379">
            <v>16.07</v>
          </cell>
          <cell r="I3379">
            <v>566.51</v>
          </cell>
          <cell r="J3379">
            <v>0</v>
          </cell>
          <cell r="K3379">
            <v>0</v>
          </cell>
          <cell r="M3379">
            <v>0</v>
          </cell>
          <cell r="P3379">
            <v>567</v>
          </cell>
          <cell r="V3379" t="str">
            <v>Not Available</v>
          </cell>
        </row>
        <row r="3380">
          <cell r="E3380">
            <v>10130052</v>
          </cell>
          <cell r="H3380">
            <v>5.7899999999999991</v>
          </cell>
          <cell r="I3380">
            <v>202.56</v>
          </cell>
          <cell r="J3380">
            <v>0</v>
          </cell>
          <cell r="K3380">
            <v>0</v>
          </cell>
          <cell r="M3380">
            <v>0</v>
          </cell>
          <cell r="P3380">
            <v>203</v>
          </cell>
          <cell r="V3380" t="str">
            <v>Not Available</v>
          </cell>
        </row>
        <row r="3381">
          <cell r="E3381">
            <v>10130052</v>
          </cell>
          <cell r="H3381">
            <v>88.570000000000007</v>
          </cell>
          <cell r="I3381">
            <v>3226.9300000000003</v>
          </cell>
          <cell r="J3381">
            <v>0</v>
          </cell>
          <cell r="K3381">
            <v>0</v>
          </cell>
          <cell r="M3381">
            <v>0</v>
          </cell>
          <cell r="P3381">
            <v>3227</v>
          </cell>
          <cell r="V3381" t="str">
            <v>Not Available</v>
          </cell>
        </row>
        <row r="3382">
          <cell r="E3382">
            <v>10130052</v>
          </cell>
          <cell r="H3382">
            <v>28</v>
          </cell>
          <cell r="I3382">
            <v>929.42</v>
          </cell>
          <cell r="J3382">
            <v>0</v>
          </cell>
          <cell r="K3382">
            <v>0</v>
          </cell>
          <cell r="M3382">
            <v>0</v>
          </cell>
          <cell r="P3382">
            <v>929</v>
          </cell>
          <cell r="V3382" t="str">
            <v>Not Available</v>
          </cell>
        </row>
        <row r="3383">
          <cell r="E3383">
            <v>10130052</v>
          </cell>
          <cell r="H3383">
            <v>16.89</v>
          </cell>
          <cell r="I3383">
            <v>574.33999999999992</v>
          </cell>
          <cell r="J3383">
            <v>0</v>
          </cell>
          <cell r="K3383">
            <v>0</v>
          </cell>
          <cell r="M3383">
            <v>0</v>
          </cell>
          <cell r="P3383">
            <v>574</v>
          </cell>
          <cell r="V3383" t="str">
            <v>Available</v>
          </cell>
        </row>
        <row r="3384">
          <cell r="E3384">
            <v>10130052</v>
          </cell>
          <cell r="H3384">
            <v>9.17</v>
          </cell>
          <cell r="I3384">
            <v>350.27</v>
          </cell>
          <cell r="J3384">
            <v>0</v>
          </cell>
          <cell r="K3384">
            <v>0</v>
          </cell>
          <cell r="M3384">
            <v>0</v>
          </cell>
          <cell r="P3384">
            <v>350</v>
          </cell>
          <cell r="V3384" t="str">
            <v>Available</v>
          </cell>
        </row>
        <row r="3385">
          <cell r="E3385">
            <v>10130052</v>
          </cell>
          <cell r="H3385">
            <v>18.11</v>
          </cell>
          <cell r="I3385">
            <v>809.66</v>
          </cell>
          <cell r="J3385">
            <v>0</v>
          </cell>
          <cell r="K3385">
            <v>0</v>
          </cell>
          <cell r="M3385">
            <v>0</v>
          </cell>
          <cell r="P3385">
            <v>810</v>
          </cell>
          <cell r="V3385" t="str">
            <v>Available</v>
          </cell>
        </row>
        <row r="3386">
          <cell r="E3386">
            <v>10130052</v>
          </cell>
          <cell r="H3386">
            <v>8.73</v>
          </cell>
          <cell r="I3386">
            <v>323.89999999999998</v>
          </cell>
          <cell r="J3386">
            <v>0</v>
          </cell>
          <cell r="K3386">
            <v>0</v>
          </cell>
          <cell r="M3386">
            <v>0</v>
          </cell>
          <cell r="P3386">
            <v>324</v>
          </cell>
          <cell r="V3386" t="str">
            <v>Available</v>
          </cell>
        </row>
        <row r="3387">
          <cell r="E3387">
            <v>10130052</v>
          </cell>
          <cell r="H3387">
            <v>35.289999999999992</v>
          </cell>
          <cell r="I3387">
            <v>1284.43</v>
          </cell>
          <cell r="J3387">
            <v>0</v>
          </cell>
          <cell r="K3387">
            <v>0</v>
          </cell>
          <cell r="M3387">
            <v>0</v>
          </cell>
          <cell r="P3387">
            <v>1284</v>
          </cell>
          <cell r="V3387" t="str">
            <v>Available</v>
          </cell>
        </row>
        <row r="3388">
          <cell r="E3388">
            <v>10130052</v>
          </cell>
          <cell r="H3388">
            <v>0.83</v>
          </cell>
          <cell r="I3388">
            <v>36.229999999999997</v>
          </cell>
          <cell r="J3388">
            <v>0</v>
          </cell>
          <cell r="K3388">
            <v>0</v>
          </cell>
          <cell r="M3388">
            <v>0</v>
          </cell>
          <cell r="P3388">
            <v>36</v>
          </cell>
          <cell r="V3388" t="str">
            <v>Available</v>
          </cell>
        </row>
        <row r="3389">
          <cell r="E3389">
            <v>10130052</v>
          </cell>
          <cell r="H3389">
            <v>64.89</v>
          </cell>
          <cell r="I3389">
            <v>2364.2600000000002</v>
          </cell>
          <cell r="J3389">
            <v>0</v>
          </cell>
          <cell r="K3389">
            <v>0</v>
          </cell>
          <cell r="M3389">
            <v>0</v>
          </cell>
          <cell r="P3389">
            <v>2364</v>
          </cell>
          <cell r="V3389" t="str">
            <v>Available</v>
          </cell>
        </row>
        <row r="3390">
          <cell r="E3390">
            <v>10130052</v>
          </cell>
          <cell r="H3390">
            <v>38.799999999999997</v>
          </cell>
          <cell r="I3390">
            <v>1335.9900000000002</v>
          </cell>
          <cell r="J3390">
            <v>0</v>
          </cell>
          <cell r="K3390">
            <v>0</v>
          </cell>
          <cell r="M3390">
            <v>0</v>
          </cell>
          <cell r="P3390">
            <v>1336</v>
          </cell>
          <cell r="V3390" t="str">
            <v>Available</v>
          </cell>
        </row>
        <row r="3391">
          <cell r="E3391">
            <v>10130054</v>
          </cell>
          <cell r="H3391">
            <v>91.590000000000018</v>
          </cell>
          <cell r="I3391">
            <v>3622.42</v>
          </cell>
          <cell r="J3391">
            <v>0</v>
          </cell>
          <cell r="K3391">
            <v>0</v>
          </cell>
          <cell r="M3391">
            <v>0</v>
          </cell>
          <cell r="P3391">
            <v>3622</v>
          </cell>
          <cell r="V3391" t="str">
            <v>Available</v>
          </cell>
        </row>
        <row r="3392">
          <cell r="E3392">
            <v>10130054</v>
          </cell>
          <cell r="H3392">
            <v>0.1</v>
          </cell>
          <cell r="I3392">
            <v>2.69</v>
          </cell>
          <cell r="J3392">
            <v>0</v>
          </cell>
          <cell r="K3392">
            <v>0</v>
          </cell>
          <cell r="M3392">
            <v>0</v>
          </cell>
          <cell r="P3392">
            <v>3</v>
          </cell>
          <cell r="V3392" t="str">
            <v>Available</v>
          </cell>
        </row>
        <row r="3393">
          <cell r="E3393">
            <v>10130054</v>
          </cell>
          <cell r="H3393">
            <v>8.64</v>
          </cell>
          <cell r="I3393">
            <v>392.34000000000003</v>
          </cell>
          <cell r="J3393">
            <v>0</v>
          </cell>
          <cell r="K3393">
            <v>0</v>
          </cell>
          <cell r="M3393">
            <v>0</v>
          </cell>
          <cell r="P3393">
            <v>392</v>
          </cell>
          <cell r="V3393" t="str">
            <v>Available</v>
          </cell>
        </row>
        <row r="3394">
          <cell r="E3394">
            <v>10130054</v>
          </cell>
          <cell r="H3394">
            <v>50.260000000000005</v>
          </cell>
          <cell r="I3394">
            <v>3339.2999999999997</v>
          </cell>
          <cell r="J3394">
            <v>0</v>
          </cell>
          <cell r="K3394">
            <v>0</v>
          </cell>
          <cell r="M3394">
            <v>0</v>
          </cell>
          <cell r="P3394">
            <v>3339</v>
          </cell>
          <cell r="V3394" t="str">
            <v>Available</v>
          </cell>
        </row>
        <row r="3395">
          <cell r="E3395">
            <v>10130054</v>
          </cell>
          <cell r="H3395">
            <v>133.83000000000001</v>
          </cell>
          <cell r="I3395">
            <v>5264.2199999999993</v>
          </cell>
          <cell r="J3395">
            <v>0</v>
          </cell>
          <cell r="K3395">
            <v>0</v>
          </cell>
          <cell r="M3395">
            <v>0</v>
          </cell>
          <cell r="P3395">
            <v>5264</v>
          </cell>
          <cell r="V3395" t="str">
            <v>Not Available</v>
          </cell>
        </row>
        <row r="3396">
          <cell r="E3396">
            <v>10130054</v>
          </cell>
          <cell r="H3396">
            <v>84.09</v>
          </cell>
          <cell r="I3396">
            <v>3208.9800000000005</v>
          </cell>
          <cell r="J3396">
            <v>0</v>
          </cell>
          <cell r="K3396">
            <v>0</v>
          </cell>
          <cell r="M3396">
            <v>0</v>
          </cell>
          <cell r="P3396">
            <v>3209</v>
          </cell>
          <cell r="V3396" t="str">
            <v>Not Available</v>
          </cell>
        </row>
        <row r="3397">
          <cell r="E3397">
            <v>10130054</v>
          </cell>
          <cell r="H3397">
            <v>60.89</v>
          </cell>
          <cell r="I3397">
            <v>2317.9899999999998</v>
          </cell>
          <cell r="J3397">
            <v>0</v>
          </cell>
          <cell r="K3397">
            <v>0</v>
          </cell>
          <cell r="M3397">
            <v>0</v>
          </cell>
          <cell r="P3397">
            <v>2318</v>
          </cell>
          <cell r="V3397" t="str">
            <v>Not Available</v>
          </cell>
        </row>
        <row r="3398">
          <cell r="E3398">
            <v>10130054</v>
          </cell>
          <cell r="H3398">
            <v>121.57</v>
          </cell>
          <cell r="I3398">
            <v>4703.0600000000004</v>
          </cell>
          <cell r="J3398">
            <v>0</v>
          </cell>
          <cell r="K3398">
            <v>0</v>
          </cell>
          <cell r="M3398">
            <v>0</v>
          </cell>
          <cell r="P3398">
            <v>4703</v>
          </cell>
          <cell r="V3398" t="str">
            <v>Not Available</v>
          </cell>
        </row>
        <row r="3399">
          <cell r="E3399">
            <v>10130054</v>
          </cell>
          <cell r="H3399">
            <v>70.62</v>
          </cell>
          <cell r="I3399">
            <v>2970.7799999999997</v>
          </cell>
          <cell r="J3399">
            <v>0</v>
          </cell>
          <cell r="K3399">
            <v>0</v>
          </cell>
          <cell r="M3399">
            <v>0</v>
          </cell>
          <cell r="P3399">
            <v>2971</v>
          </cell>
          <cell r="V3399" t="str">
            <v>Not Available</v>
          </cell>
        </row>
        <row r="3400">
          <cell r="E3400">
            <v>10130054</v>
          </cell>
          <cell r="H3400">
            <v>6.5</v>
          </cell>
          <cell r="I3400">
            <v>248.65</v>
          </cell>
          <cell r="J3400">
            <v>0</v>
          </cell>
          <cell r="K3400">
            <v>0</v>
          </cell>
          <cell r="M3400">
            <v>0</v>
          </cell>
          <cell r="P3400">
            <v>249</v>
          </cell>
          <cell r="V3400" t="str">
            <v>Not Available</v>
          </cell>
        </row>
        <row r="3401">
          <cell r="E3401">
            <v>10130054</v>
          </cell>
          <cell r="H3401">
            <v>52.120000000000005</v>
          </cell>
          <cell r="I3401">
            <v>2017.9700000000003</v>
          </cell>
          <cell r="J3401">
            <v>0</v>
          </cell>
          <cell r="K3401">
            <v>0</v>
          </cell>
          <cell r="M3401">
            <v>0</v>
          </cell>
          <cell r="P3401">
            <v>2018</v>
          </cell>
          <cell r="V3401" t="str">
            <v>Not Available</v>
          </cell>
        </row>
        <row r="3402">
          <cell r="E3402">
            <v>10130054</v>
          </cell>
          <cell r="H3402">
            <v>19.36</v>
          </cell>
          <cell r="I3402">
            <v>886.53</v>
          </cell>
          <cell r="J3402">
            <v>0</v>
          </cell>
          <cell r="K3402">
            <v>0</v>
          </cell>
          <cell r="M3402">
            <v>0</v>
          </cell>
          <cell r="P3402">
            <v>887</v>
          </cell>
          <cell r="V3402" t="str">
            <v>Not Available</v>
          </cell>
        </row>
        <row r="3403">
          <cell r="E3403">
            <v>10130054</v>
          </cell>
          <cell r="H3403">
            <v>41.47</v>
          </cell>
          <cell r="I3403">
            <v>1839.7799999999997</v>
          </cell>
          <cell r="J3403">
            <v>0</v>
          </cell>
          <cell r="K3403">
            <v>0</v>
          </cell>
          <cell r="M3403">
            <v>0</v>
          </cell>
          <cell r="P3403">
            <v>1840</v>
          </cell>
          <cell r="V3403" t="str">
            <v>Not Available</v>
          </cell>
        </row>
        <row r="3404">
          <cell r="E3404">
            <v>10130054</v>
          </cell>
          <cell r="H3404">
            <v>2.4</v>
          </cell>
          <cell r="I3404">
            <v>99.74</v>
          </cell>
          <cell r="J3404">
            <v>0</v>
          </cell>
          <cell r="K3404">
            <v>0</v>
          </cell>
          <cell r="M3404">
            <v>0</v>
          </cell>
          <cell r="P3404">
            <v>100</v>
          </cell>
          <cell r="V3404" t="str">
            <v>Not Available</v>
          </cell>
        </row>
        <row r="3405">
          <cell r="E3405">
            <v>10130073</v>
          </cell>
          <cell r="H3405">
            <v>1</v>
          </cell>
          <cell r="I3405">
            <v>40.590000000000003</v>
          </cell>
          <cell r="J3405">
            <v>0</v>
          </cell>
          <cell r="K3405">
            <v>40.590000000000003</v>
          </cell>
          <cell r="M3405">
            <v>0</v>
          </cell>
          <cell r="P3405">
            <v>0</v>
          </cell>
          <cell r="V3405" t="str">
            <v>Not Available</v>
          </cell>
        </row>
        <row r="3406">
          <cell r="E3406">
            <v>10130073</v>
          </cell>
          <cell r="H3406">
            <v>128.35</v>
          </cell>
          <cell r="I3406">
            <v>4948.3700000000008</v>
          </cell>
          <cell r="J3406">
            <v>0</v>
          </cell>
          <cell r="K3406">
            <v>0</v>
          </cell>
          <cell r="M3406">
            <v>4448</v>
          </cell>
          <cell r="P3406">
            <v>0</v>
          </cell>
          <cell r="V3406" t="str">
            <v>Available</v>
          </cell>
        </row>
        <row r="3407">
          <cell r="E3407">
            <v>10130073</v>
          </cell>
          <cell r="H3407">
            <v>93.85</v>
          </cell>
          <cell r="I3407">
            <v>3639.1600000000003</v>
          </cell>
          <cell r="J3407">
            <v>0</v>
          </cell>
          <cell r="K3407">
            <v>0</v>
          </cell>
          <cell r="M3407">
            <v>0</v>
          </cell>
          <cell r="P3407">
            <v>3639</v>
          </cell>
          <cell r="V3407" t="str">
            <v>Available</v>
          </cell>
        </row>
        <row r="3408">
          <cell r="E3408">
            <v>10130073</v>
          </cell>
          <cell r="H3408">
            <v>1</v>
          </cell>
          <cell r="I3408">
            <v>40.380000000000003</v>
          </cell>
          <cell r="J3408">
            <v>0</v>
          </cell>
          <cell r="K3408">
            <v>0</v>
          </cell>
          <cell r="M3408">
            <v>0</v>
          </cell>
          <cell r="P3408">
            <v>40</v>
          </cell>
          <cell r="V3408" t="str">
            <v>Available</v>
          </cell>
        </row>
        <row r="3409">
          <cell r="E3409">
            <v>10130073</v>
          </cell>
          <cell r="H3409">
            <v>16.610000000000003</v>
          </cell>
          <cell r="I3409">
            <v>777.9</v>
          </cell>
          <cell r="J3409">
            <v>0</v>
          </cell>
          <cell r="K3409">
            <v>0</v>
          </cell>
          <cell r="M3409">
            <v>0</v>
          </cell>
          <cell r="P3409">
            <v>778</v>
          </cell>
          <cell r="V3409" t="str">
            <v>Not Available</v>
          </cell>
        </row>
        <row r="3410">
          <cell r="E3410">
            <v>10130073</v>
          </cell>
          <cell r="H3410">
            <v>29.939999999999998</v>
          </cell>
          <cell r="I3410">
            <v>1273.42</v>
          </cell>
          <cell r="J3410">
            <v>0</v>
          </cell>
          <cell r="K3410">
            <v>0</v>
          </cell>
          <cell r="M3410">
            <v>0</v>
          </cell>
          <cell r="P3410">
            <v>1273</v>
          </cell>
          <cell r="V3410" t="str">
            <v>Not Available</v>
          </cell>
        </row>
        <row r="3411">
          <cell r="E3411">
            <v>10130073</v>
          </cell>
          <cell r="H3411">
            <v>12.490000000000002</v>
          </cell>
          <cell r="I3411">
            <v>514.80999999999995</v>
          </cell>
          <cell r="J3411">
            <v>0</v>
          </cell>
          <cell r="K3411">
            <v>0</v>
          </cell>
          <cell r="M3411">
            <v>0</v>
          </cell>
          <cell r="P3411">
            <v>515</v>
          </cell>
          <cell r="V3411" t="str">
            <v>Not Available</v>
          </cell>
        </row>
        <row r="3412">
          <cell r="E3412">
            <v>10130073</v>
          </cell>
          <cell r="H3412">
            <v>18.64</v>
          </cell>
          <cell r="I3412">
            <v>817.00000000000011</v>
          </cell>
          <cell r="J3412">
            <v>0</v>
          </cell>
          <cell r="K3412">
            <v>0</v>
          </cell>
          <cell r="M3412">
            <v>0</v>
          </cell>
          <cell r="P3412">
            <v>817</v>
          </cell>
          <cell r="V3412" t="str">
            <v>Not Available</v>
          </cell>
        </row>
        <row r="3413">
          <cell r="E3413">
            <v>10130073</v>
          </cell>
          <cell r="H3413">
            <v>21.110000000000003</v>
          </cell>
          <cell r="I3413">
            <v>893.09</v>
          </cell>
          <cell r="J3413">
            <v>0</v>
          </cell>
          <cell r="K3413">
            <v>0</v>
          </cell>
          <cell r="M3413">
            <v>0</v>
          </cell>
          <cell r="P3413">
            <v>893</v>
          </cell>
          <cell r="V3413" t="str">
            <v>Not Available</v>
          </cell>
        </row>
        <row r="3414">
          <cell r="E3414">
            <v>10130073</v>
          </cell>
          <cell r="H3414">
            <v>17.3</v>
          </cell>
          <cell r="I3414">
            <v>659.52</v>
          </cell>
          <cell r="J3414">
            <v>0</v>
          </cell>
          <cell r="K3414">
            <v>0</v>
          </cell>
          <cell r="M3414">
            <v>0</v>
          </cell>
          <cell r="P3414">
            <v>660</v>
          </cell>
          <cell r="V3414" t="str">
            <v>Not Available</v>
          </cell>
        </row>
        <row r="3415">
          <cell r="E3415">
            <v>10130073</v>
          </cell>
          <cell r="H3415">
            <v>40.660000000000004</v>
          </cell>
          <cell r="I3415">
            <v>1659.39</v>
          </cell>
          <cell r="J3415">
            <v>0</v>
          </cell>
          <cell r="K3415">
            <v>0</v>
          </cell>
          <cell r="M3415">
            <v>0</v>
          </cell>
          <cell r="P3415">
            <v>1659</v>
          </cell>
          <cell r="V3415" t="str">
            <v>Not Available</v>
          </cell>
        </row>
        <row r="3416">
          <cell r="E3416">
            <v>10130073</v>
          </cell>
          <cell r="H3416">
            <v>26.71</v>
          </cell>
          <cell r="I3416">
            <v>1138.8500000000001</v>
          </cell>
          <cell r="J3416">
            <v>0</v>
          </cell>
          <cell r="K3416">
            <v>0</v>
          </cell>
          <cell r="M3416">
            <v>0</v>
          </cell>
          <cell r="P3416">
            <v>1139</v>
          </cell>
          <cell r="V3416" t="str">
            <v>Not Available</v>
          </cell>
        </row>
        <row r="3417">
          <cell r="E3417">
            <v>10130073</v>
          </cell>
          <cell r="H3417">
            <v>18.59</v>
          </cell>
          <cell r="I3417">
            <v>884.53</v>
          </cell>
          <cell r="J3417">
            <v>0</v>
          </cell>
          <cell r="K3417">
            <v>0</v>
          </cell>
          <cell r="M3417">
            <v>0</v>
          </cell>
          <cell r="P3417">
            <v>885</v>
          </cell>
          <cell r="V3417" t="str">
            <v>Not Available</v>
          </cell>
        </row>
        <row r="3418">
          <cell r="E3418">
            <v>10130073</v>
          </cell>
          <cell r="H3418">
            <v>27.38</v>
          </cell>
          <cell r="I3418">
            <v>1133.8399999999999</v>
          </cell>
          <cell r="J3418">
            <v>0</v>
          </cell>
          <cell r="K3418">
            <v>0</v>
          </cell>
          <cell r="M3418">
            <v>0</v>
          </cell>
          <cell r="P3418">
            <v>1134</v>
          </cell>
          <cell r="V3418" t="str">
            <v>Not Available</v>
          </cell>
        </row>
        <row r="3419">
          <cell r="E3419">
            <v>10130073</v>
          </cell>
          <cell r="H3419">
            <v>37.97</v>
          </cell>
          <cell r="I3419">
            <v>1425.9299999999998</v>
          </cell>
          <cell r="J3419">
            <v>0</v>
          </cell>
          <cell r="K3419">
            <v>0</v>
          </cell>
          <cell r="M3419">
            <v>0</v>
          </cell>
          <cell r="P3419">
            <v>1426</v>
          </cell>
          <cell r="V3419" t="str">
            <v>Not Available</v>
          </cell>
        </row>
        <row r="3420">
          <cell r="E3420">
            <v>10130073</v>
          </cell>
          <cell r="H3420">
            <v>15.68</v>
          </cell>
          <cell r="I3420">
            <v>734.16000000000008</v>
          </cell>
          <cell r="J3420">
            <v>0</v>
          </cell>
          <cell r="K3420">
            <v>0</v>
          </cell>
          <cell r="M3420">
            <v>0</v>
          </cell>
          <cell r="P3420">
            <v>734</v>
          </cell>
          <cell r="V3420" t="str">
            <v>Not Available</v>
          </cell>
        </row>
        <row r="3421">
          <cell r="E3421">
            <v>10130073</v>
          </cell>
          <cell r="H3421">
            <v>10.08</v>
          </cell>
          <cell r="I3421">
            <v>433.74</v>
          </cell>
          <cell r="J3421">
            <v>0</v>
          </cell>
          <cell r="K3421">
            <v>0</v>
          </cell>
          <cell r="M3421">
            <v>0</v>
          </cell>
          <cell r="P3421">
            <v>434</v>
          </cell>
          <cell r="V3421" t="str">
            <v>Not Available</v>
          </cell>
        </row>
        <row r="3422">
          <cell r="E3422">
            <v>10130073</v>
          </cell>
          <cell r="H3422">
            <v>16.5</v>
          </cell>
          <cell r="I3422">
            <v>695.40000000000009</v>
          </cell>
          <cell r="J3422">
            <v>0</v>
          </cell>
          <cell r="K3422">
            <v>0</v>
          </cell>
          <cell r="M3422">
            <v>0</v>
          </cell>
          <cell r="P3422">
            <v>695</v>
          </cell>
          <cell r="V3422" t="str">
            <v>Not Available</v>
          </cell>
        </row>
        <row r="3423">
          <cell r="E3423">
            <v>10130073</v>
          </cell>
          <cell r="H3423">
            <v>8.5</v>
          </cell>
          <cell r="I3423">
            <v>355.64</v>
          </cell>
          <cell r="J3423">
            <v>0</v>
          </cell>
          <cell r="K3423">
            <v>0</v>
          </cell>
          <cell r="M3423">
            <v>0</v>
          </cell>
          <cell r="P3423">
            <v>356</v>
          </cell>
          <cell r="V3423" t="str">
            <v>Not Available</v>
          </cell>
        </row>
        <row r="3424">
          <cell r="E3424">
            <v>10130074</v>
          </cell>
          <cell r="H3424">
            <v>4.0399999999999991</v>
          </cell>
          <cell r="I3424">
            <v>152.47999999999996</v>
          </cell>
          <cell r="J3424">
            <v>0</v>
          </cell>
          <cell r="K3424">
            <v>152.47999999999996</v>
          </cell>
          <cell r="M3424">
            <v>0</v>
          </cell>
          <cell r="P3424">
            <v>0</v>
          </cell>
          <cell r="V3424" t="str">
            <v>Not Available</v>
          </cell>
        </row>
        <row r="3425">
          <cell r="E3425">
            <v>10130074</v>
          </cell>
          <cell r="H3425">
            <v>2.5</v>
          </cell>
          <cell r="I3425">
            <v>100.78</v>
          </cell>
          <cell r="J3425">
            <v>0</v>
          </cell>
          <cell r="K3425">
            <v>0</v>
          </cell>
          <cell r="M3425">
            <v>0</v>
          </cell>
          <cell r="P3425">
            <v>101</v>
          </cell>
          <cell r="V3425" t="str">
            <v>Available</v>
          </cell>
        </row>
        <row r="3426">
          <cell r="E3426">
            <v>10130074</v>
          </cell>
          <cell r="H3426">
            <v>48.720000000000006</v>
          </cell>
          <cell r="I3426">
            <v>2106.8099999999995</v>
          </cell>
          <cell r="J3426">
            <v>0</v>
          </cell>
          <cell r="K3426">
            <v>0</v>
          </cell>
          <cell r="M3426">
            <v>0</v>
          </cell>
          <cell r="P3426">
            <v>2107</v>
          </cell>
          <cell r="V3426" t="str">
            <v>Available</v>
          </cell>
        </row>
        <row r="3427">
          <cell r="E3427">
            <v>10130074</v>
          </cell>
          <cell r="H3427">
            <v>22.61</v>
          </cell>
          <cell r="I3427">
            <v>1086.74</v>
          </cell>
          <cell r="J3427">
            <v>0</v>
          </cell>
          <cell r="K3427">
            <v>0</v>
          </cell>
          <cell r="M3427">
            <v>0</v>
          </cell>
          <cell r="P3427">
            <v>1087</v>
          </cell>
          <cell r="V3427" t="str">
            <v>Available</v>
          </cell>
        </row>
        <row r="3428">
          <cell r="E3428">
            <v>10130074</v>
          </cell>
          <cell r="H3428">
            <v>7.34</v>
          </cell>
          <cell r="I3428">
            <v>294.45000000000005</v>
          </cell>
          <cell r="J3428">
            <v>0</v>
          </cell>
          <cell r="K3428">
            <v>0</v>
          </cell>
          <cell r="M3428">
            <v>0</v>
          </cell>
          <cell r="P3428">
            <v>294</v>
          </cell>
          <cell r="V3428" t="str">
            <v>Available</v>
          </cell>
        </row>
        <row r="3429">
          <cell r="E3429">
            <v>10130074</v>
          </cell>
          <cell r="H3429">
            <v>18.25</v>
          </cell>
          <cell r="I3429">
            <v>691.41</v>
          </cell>
          <cell r="J3429">
            <v>0</v>
          </cell>
          <cell r="K3429">
            <v>0</v>
          </cell>
          <cell r="M3429">
            <v>0</v>
          </cell>
          <cell r="P3429">
            <v>691</v>
          </cell>
          <cell r="V3429" t="str">
            <v>Not Available</v>
          </cell>
        </row>
        <row r="3430">
          <cell r="E3430">
            <v>10130074</v>
          </cell>
          <cell r="H3430">
            <v>30.3</v>
          </cell>
          <cell r="I3430">
            <v>954.75</v>
          </cell>
          <cell r="J3430">
            <v>0</v>
          </cell>
          <cell r="K3430">
            <v>0</v>
          </cell>
          <cell r="M3430">
            <v>0</v>
          </cell>
          <cell r="P3430">
            <v>955</v>
          </cell>
          <cell r="V3430" t="str">
            <v>Not Available</v>
          </cell>
        </row>
        <row r="3431">
          <cell r="E3431">
            <v>10130074</v>
          </cell>
          <cell r="H3431">
            <v>17.309999999999999</v>
          </cell>
          <cell r="I3431">
            <v>604.65</v>
          </cell>
          <cell r="J3431">
            <v>0</v>
          </cell>
          <cell r="K3431">
            <v>0</v>
          </cell>
          <cell r="M3431">
            <v>0</v>
          </cell>
          <cell r="P3431">
            <v>605</v>
          </cell>
          <cell r="V3431" t="str">
            <v>Not Available</v>
          </cell>
        </row>
        <row r="3432">
          <cell r="E3432">
            <v>10130074</v>
          </cell>
          <cell r="H3432">
            <v>26.21</v>
          </cell>
          <cell r="I3432">
            <v>1274.6000000000001</v>
          </cell>
          <cell r="J3432">
            <v>0</v>
          </cell>
          <cell r="K3432">
            <v>0</v>
          </cell>
          <cell r="M3432">
            <v>0</v>
          </cell>
          <cell r="P3432">
            <v>1275</v>
          </cell>
          <cell r="V3432" t="str">
            <v>Not Available</v>
          </cell>
        </row>
        <row r="3433">
          <cell r="E3433">
            <v>10130074</v>
          </cell>
          <cell r="H3433">
            <v>1.56</v>
          </cell>
          <cell r="I3433">
            <v>46.49</v>
          </cell>
          <cell r="J3433">
            <v>0</v>
          </cell>
          <cell r="K3433">
            <v>0</v>
          </cell>
          <cell r="M3433">
            <v>0</v>
          </cell>
          <cell r="P3433">
            <v>46</v>
          </cell>
          <cell r="V3433" t="str">
            <v>Not Available</v>
          </cell>
        </row>
        <row r="3434">
          <cell r="E3434">
            <v>10130077</v>
          </cell>
          <cell r="H3434">
            <v>1.4600000000000004</v>
          </cell>
          <cell r="I3434">
            <v>50.239999999999995</v>
          </cell>
          <cell r="J3434">
            <v>0</v>
          </cell>
          <cell r="K3434">
            <v>50.239999999999995</v>
          </cell>
          <cell r="M3434">
            <v>0</v>
          </cell>
          <cell r="P3434">
            <v>0</v>
          </cell>
          <cell r="V3434" t="str">
            <v>Not Available</v>
          </cell>
        </row>
        <row r="3435">
          <cell r="E3435">
            <v>10130077</v>
          </cell>
          <cell r="H3435">
            <v>129.69</v>
          </cell>
          <cell r="I3435">
            <v>4858.4800000000005</v>
          </cell>
          <cell r="J3435">
            <v>0</v>
          </cell>
          <cell r="K3435">
            <v>0</v>
          </cell>
          <cell r="M3435">
            <v>0</v>
          </cell>
          <cell r="P3435">
            <v>4358</v>
          </cell>
          <cell r="V3435" t="str">
            <v>Available</v>
          </cell>
        </row>
        <row r="3436">
          <cell r="E3436">
            <v>10130077</v>
          </cell>
          <cell r="H3436">
            <v>55.22999999999999</v>
          </cell>
          <cell r="I3436">
            <v>1804.2700000000002</v>
          </cell>
          <cell r="J3436">
            <v>0</v>
          </cell>
          <cell r="K3436">
            <v>0</v>
          </cell>
          <cell r="M3436">
            <v>0</v>
          </cell>
          <cell r="P3436">
            <v>1804</v>
          </cell>
          <cell r="V3436" t="str">
            <v>Available</v>
          </cell>
        </row>
        <row r="3437">
          <cell r="E3437">
            <v>10130077</v>
          </cell>
          <cell r="H3437">
            <v>20.11</v>
          </cell>
          <cell r="I3437">
            <v>893.93999999999994</v>
          </cell>
          <cell r="J3437">
            <v>0</v>
          </cell>
          <cell r="K3437">
            <v>0</v>
          </cell>
          <cell r="M3437">
            <v>0</v>
          </cell>
          <cell r="P3437">
            <v>894</v>
          </cell>
          <cell r="V3437" t="str">
            <v>Not Available</v>
          </cell>
        </row>
        <row r="3438">
          <cell r="E3438">
            <v>10130077</v>
          </cell>
          <cell r="H3438">
            <v>18.52</v>
          </cell>
          <cell r="I3438">
            <v>804.96</v>
          </cell>
          <cell r="J3438">
            <v>0</v>
          </cell>
          <cell r="K3438">
            <v>0</v>
          </cell>
          <cell r="M3438">
            <v>0</v>
          </cell>
          <cell r="P3438">
            <v>805</v>
          </cell>
          <cell r="V3438" t="str">
            <v>Not Available</v>
          </cell>
        </row>
        <row r="3439">
          <cell r="E3439">
            <v>10130077</v>
          </cell>
          <cell r="H3439">
            <v>9.4500000000000011</v>
          </cell>
          <cell r="I3439">
            <v>315.45</v>
          </cell>
          <cell r="J3439">
            <v>0</v>
          </cell>
          <cell r="K3439">
            <v>0</v>
          </cell>
          <cell r="M3439">
            <v>0</v>
          </cell>
          <cell r="P3439">
            <v>315</v>
          </cell>
          <cell r="V3439" t="str">
            <v>Not Available</v>
          </cell>
        </row>
        <row r="3440">
          <cell r="E3440">
            <v>10130077</v>
          </cell>
          <cell r="H3440">
            <v>37.129999999999995</v>
          </cell>
          <cell r="I3440">
            <v>1568.23</v>
          </cell>
          <cell r="J3440">
            <v>0</v>
          </cell>
          <cell r="K3440">
            <v>0</v>
          </cell>
          <cell r="M3440">
            <v>0</v>
          </cell>
          <cell r="P3440">
            <v>1568</v>
          </cell>
          <cell r="V3440" t="str">
            <v>Not Available</v>
          </cell>
        </row>
        <row r="3441">
          <cell r="E3441">
            <v>10130077</v>
          </cell>
          <cell r="H3441">
            <v>47.329999999999991</v>
          </cell>
          <cell r="I3441">
            <v>1611.31</v>
          </cell>
          <cell r="J3441">
            <v>0</v>
          </cell>
          <cell r="K3441">
            <v>0</v>
          </cell>
          <cell r="M3441">
            <v>0</v>
          </cell>
          <cell r="P3441">
            <v>1611</v>
          </cell>
          <cell r="V3441" t="str">
            <v>Available</v>
          </cell>
        </row>
        <row r="3442">
          <cell r="E3442">
            <v>10130090</v>
          </cell>
          <cell r="H3442">
            <v>9</v>
          </cell>
          <cell r="I3442">
            <v>346.77</v>
          </cell>
          <cell r="J3442">
            <v>0</v>
          </cell>
          <cell r="K3442">
            <v>0</v>
          </cell>
          <cell r="M3442">
            <v>0</v>
          </cell>
          <cell r="P3442">
            <v>347</v>
          </cell>
          <cell r="V3442" t="str">
            <v>Available</v>
          </cell>
        </row>
        <row r="3443">
          <cell r="E3443">
            <v>10130093</v>
          </cell>
          <cell r="H3443">
            <v>93.589999999999989</v>
          </cell>
          <cell r="I3443">
            <v>3713.34</v>
          </cell>
          <cell r="J3443">
            <v>0</v>
          </cell>
          <cell r="K3443">
            <v>0</v>
          </cell>
          <cell r="M3443">
            <v>0</v>
          </cell>
          <cell r="P3443">
            <v>3713</v>
          </cell>
          <cell r="V3443" t="str">
            <v>Available</v>
          </cell>
        </row>
        <row r="3444">
          <cell r="E3444">
            <v>10130093</v>
          </cell>
          <cell r="H3444">
            <v>7.6900000000000013</v>
          </cell>
          <cell r="I3444">
            <v>621.01999999999987</v>
          </cell>
          <cell r="J3444">
            <v>0</v>
          </cell>
          <cell r="K3444">
            <v>0</v>
          </cell>
          <cell r="M3444">
            <v>0</v>
          </cell>
          <cell r="P3444">
            <v>621</v>
          </cell>
          <cell r="V3444" t="str">
            <v>Not Available</v>
          </cell>
        </row>
        <row r="3445">
          <cell r="E3445">
            <v>10130093</v>
          </cell>
          <cell r="H3445">
            <v>19.87</v>
          </cell>
          <cell r="I3445">
            <v>757.6400000000001</v>
          </cell>
          <cell r="J3445">
            <v>0</v>
          </cell>
          <cell r="K3445">
            <v>0</v>
          </cell>
          <cell r="M3445">
            <v>0</v>
          </cell>
          <cell r="P3445">
            <v>758</v>
          </cell>
          <cell r="V3445" t="str">
            <v>Not Available</v>
          </cell>
        </row>
        <row r="3446">
          <cell r="E3446">
            <v>10130093</v>
          </cell>
          <cell r="H3446">
            <v>32.269999999999996</v>
          </cell>
          <cell r="I3446">
            <v>2122.48</v>
          </cell>
          <cell r="J3446">
            <v>0</v>
          </cell>
          <cell r="K3446">
            <v>0</v>
          </cell>
          <cell r="M3446">
            <v>0</v>
          </cell>
          <cell r="P3446">
            <v>2122</v>
          </cell>
          <cell r="V3446" t="str">
            <v>Not Available</v>
          </cell>
        </row>
        <row r="3447">
          <cell r="E3447">
            <v>10130093</v>
          </cell>
          <cell r="H3447">
            <v>30.620000000000005</v>
          </cell>
          <cell r="I3447">
            <v>1159.8700000000001</v>
          </cell>
          <cell r="J3447">
            <v>0</v>
          </cell>
          <cell r="K3447">
            <v>0</v>
          </cell>
          <cell r="M3447">
            <v>0</v>
          </cell>
          <cell r="P3447">
            <v>1160</v>
          </cell>
          <cell r="V3447" t="str">
            <v>Not Available</v>
          </cell>
        </row>
        <row r="3448">
          <cell r="E3448">
            <v>10130093</v>
          </cell>
          <cell r="H3448">
            <v>18.28</v>
          </cell>
          <cell r="I3448">
            <v>792.41000000000008</v>
          </cell>
          <cell r="J3448">
            <v>0</v>
          </cell>
          <cell r="K3448">
            <v>0</v>
          </cell>
          <cell r="M3448">
            <v>0</v>
          </cell>
          <cell r="P3448">
            <v>792</v>
          </cell>
          <cell r="V3448" t="str">
            <v>Not Available</v>
          </cell>
        </row>
        <row r="3449">
          <cell r="E3449">
            <v>10130093</v>
          </cell>
          <cell r="H3449">
            <v>70.210000000000008</v>
          </cell>
          <cell r="I3449">
            <v>2974.09</v>
          </cell>
          <cell r="J3449">
            <v>0</v>
          </cell>
          <cell r="K3449">
            <v>0</v>
          </cell>
          <cell r="M3449">
            <v>0</v>
          </cell>
          <cell r="P3449">
            <v>2974</v>
          </cell>
          <cell r="V3449" t="str">
            <v>Available</v>
          </cell>
        </row>
        <row r="3450">
          <cell r="E3450">
            <v>10130097</v>
          </cell>
          <cell r="H3450">
            <v>33.200000000000003</v>
          </cell>
          <cell r="I3450">
            <v>1053.27</v>
          </cell>
          <cell r="J3450">
            <v>0</v>
          </cell>
          <cell r="K3450">
            <v>0</v>
          </cell>
          <cell r="M3450">
            <v>0</v>
          </cell>
          <cell r="P3450">
            <v>553</v>
          </cell>
          <cell r="V3450" t="str">
            <v>Available</v>
          </cell>
        </row>
        <row r="3451">
          <cell r="E3451">
            <v>10130098</v>
          </cell>
          <cell r="H3451">
            <v>0.3</v>
          </cell>
          <cell r="I3451">
            <v>11.68</v>
          </cell>
          <cell r="J3451">
            <v>0</v>
          </cell>
          <cell r="K3451">
            <v>11.68</v>
          </cell>
          <cell r="M3451">
            <v>0</v>
          </cell>
          <cell r="P3451">
            <v>0</v>
          </cell>
          <cell r="V3451" t="str">
            <v>Not Available</v>
          </cell>
        </row>
        <row r="3452">
          <cell r="E3452">
            <v>10130098</v>
          </cell>
          <cell r="H3452">
            <v>112.12</v>
          </cell>
          <cell r="I3452">
            <v>4842.8899999999994</v>
          </cell>
          <cell r="J3452">
            <v>0</v>
          </cell>
          <cell r="K3452">
            <v>0</v>
          </cell>
          <cell r="M3452">
            <v>0</v>
          </cell>
          <cell r="P3452">
            <v>4843</v>
          </cell>
          <cell r="V3452" t="str">
            <v>Available</v>
          </cell>
        </row>
        <row r="3453">
          <cell r="E3453">
            <v>10130098</v>
          </cell>
          <cell r="H3453">
            <v>0.1</v>
          </cell>
          <cell r="I3453">
            <v>2.69</v>
          </cell>
          <cell r="J3453">
            <v>0</v>
          </cell>
          <cell r="K3453">
            <v>0</v>
          </cell>
          <cell r="M3453">
            <v>0</v>
          </cell>
          <cell r="P3453">
            <v>3</v>
          </cell>
          <cell r="V3453" t="str">
            <v>Available</v>
          </cell>
        </row>
        <row r="3454">
          <cell r="E3454">
            <v>10130098</v>
          </cell>
          <cell r="H3454">
            <v>106.39000000000001</v>
          </cell>
          <cell r="I3454">
            <v>4822.33</v>
          </cell>
          <cell r="J3454">
            <v>0</v>
          </cell>
          <cell r="K3454">
            <v>0</v>
          </cell>
          <cell r="M3454">
            <v>0</v>
          </cell>
          <cell r="P3454">
            <v>4822</v>
          </cell>
          <cell r="V3454" t="str">
            <v>Available</v>
          </cell>
        </row>
        <row r="3455">
          <cell r="E3455">
            <v>10130098</v>
          </cell>
          <cell r="H3455">
            <v>75.69</v>
          </cell>
          <cell r="I3455">
            <v>3913.09</v>
          </cell>
          <cell r="J3455">
            <v>0</v>
          </cell>
          <cell r="K3455">
            <v>0</v>
          </cell>
          <cell r="M3455">
            <v>0</v>
          </cell>
          <cell r="P3455">
            <v>3913</v>
          </cell>
          <cell r="V3455" t="str">
            <v>Available</v>
          </cell>
        </row>
        <row r="3456">
          <cell r="E3456">
            <v>10130098</v>
          </cell>
          <cell r="H3456">
            <v>52.839999999999996</v>
          </cell>
          <cell r="I3456">
            <v>2810.0399999999995</v>
          </cell>
          <cell r="J3456">
            <v>0</v>
          </cell>
          <cell r="K3456">
            <v>0</v>
          </cell>
          <cell r="M3456">
            <v>0</v>
          </cell>
          <cell r="P3456">
            <v>2810</v>
          </cell>
          <cell r="V3456" t="str">
            <v>Available</v>
          </cell>
        </row>
        <row r="3457">
          <cell r="E3457">
            <v>10130100</v>
          </cell>
          <cell r="H3457">
            <v>0.6</v>
          </cell>
          <cell r="I3457">
            <v>23.36</v>
          </cell>
          <cell r="J3457">
            <v>0</v>
          </cell>
          <cell r="K3457">
            <v>23.36</v>
          </cell>
          <cell r="M3457">
            <v>0</v>
          </cell>
          <cell r="P3457">
            <v>0</v>
          </cell>
          <cell r="V3457" t="str">
            <v>Not Available</v>
          </cell>
        </row>
        <row r="3458">
          <cell r="E3458">
            <v>10130100</v>
          </cell>
          <cell r="H3458">
            <v>78.860000000000014</v>
          </cell>
          <cell r="I3458">
            <v>3154.0400000000004</v>
          </cell>
          <cell r="J3458">
            <v>0</v>
          </cell>
          <cell r="K3458">
            <v>0</v>
          </cell>
          <cell r="M3458">
            <v>0</v>
          </cell>
          <cell r="P3458">
            <v>2654</v>
          </cell>
          <cell r="V3458" t="str">
            <v>Available</v>
          </cell>
        </row>
        <row r="3459">
          <cell r="E3459">
            <v>10130100</v>
          </cell>
          <cell r="H3459">
            <v>0.2</v>
          </cell>
          <cell r="I3459">
            <v>5.6099999999999994</v>
          </cell>
          <cell r="J3459">
            <v>0</v>
          </cell>
          <cell r="K3459">
            <v>0</v>
          </cell>
          <cell r="M3459">
            <v>0</v>
          </cell>
          <cell r="P3459">
            <v>6</v>
          </cell>
          <cell r="V3459" t="str">
            <v>Available</v>
          </cell>
        </row>
        <row r="3460">
          <cell r="E3460">
            <v>10130115</v>
          </cell>
          <cell r="H3460">
            <v>304.60000000000002</v>
          </cell>
          <cell r="I3460">
            <v>15912.609999999999</v>
          </cell>
          <cell r="J3460">
            <v>0</v>
          </cell>
          <cell r="K3460">
            <v>0</v>
          </cell>
          <cell r="M3460">
            <v>0</v>
          </cell>
          <cell r="P3460">
            <v>15913</v>
          </cell>
          <cell r="V3460" t="str">
            <v>Available</v>
          </cell>
        </row>
        <row r="3461">
          <cell r="E3461">
            <v>10130115</v>
          </cell>
          <cell r="H3461">
            <v>97.6</v>
          </cell>
          <cell r="I3461">
            <v>4128.71</v>
          </cell>
          <cell r="J3461">
            <v>0</v>
          </cell>
          <cell r="K3461">
            <v>0</v>
          </cell>
          <cell r="M3461">
            <v>0</v>
          </cell>
          <cell r="P3461">
            <v>4129</v>
          </cell>
          <cell r="V3461" t="str">
            <v>Available</v>
          </cell>
        </row>
        <row r="3462">
          <cell r="E3462">
            <v>10130115</v>
          </cell>
          <cell r="H3462">
            <v>5</v>
          </cell>
          <cell r="I3462">
            <v>184.2</v>
          </cell>
          <cell r="J3462">
            <v>0</v>
          </cell>
          <cell r="K3462">
            <v>0</v>
          </cell>
          <cell r="M3462">
            <v>0</v>
          </cell>
          <cell r="P3462">
            <v>184</v>
          </cell>
          <cell r="V3462" t="str">
            <v>Not Available</v>
          </cell>
        </row>
        <row r="3463">
          <cell r="E3463">
            <v>10130115</v>
          </cell>
          <cell r="H3463">
            <v>2</v>
          </cell>
          <cell r="I3463">
            <v>69.5</v>
          </cell>
          <cell r="J3463">
            <v>0</v>
          </cell>
          <cell r="K3463">
            <v>0</v>
          </cell>
          <cell r="M3463">
            <v>0</v>
          </cell>
          <cell r="P3463">
            <v>70</v>
          </cell>
          <cell r="V3463" t="str">
            <v>Not Available</v>
          </cell>
        </row>
        <row r="3464">
          <cell r="E3464">
            <v>10130115</v>
          </cell>
          <cell r="H3464">
            <v>2</v>
          </cell>
          <cell r="I3464">
            <v>69.5</v>
          </cell>
          <cell r="J3464">
            <v>0</v>
          </cell>
          <cell r="K3464">
            <v>0</v>
          </cell>
          <cell r="M3464">
            <v>0</v>
          </cell>
          <cell r="P3464">
            <v>70</v>
          </cell>
          <cell r="V3464" t="str">
            <v>Not Available</v>
          </cell>
        </row>
        <row r="3465">
          <cell r="E3465">
            <v>10130115</v>
          </cell>
          <cell r="H3465">
            <v>1</v>
          </cell>
          <cell r="I3465">
            <v>34.75</v>
          </cell>
          <cell r="J3465">
            <v>0</v>
          </cell>
          <cell r="K3465">
            <v>0</v>
          </cell>
          <cell r="M3465">
            <v>0</v>
          </cell>
          <cell r="P3465">
            <v>35</v>
          </cell>
          <cell r="V3465" t="str">
            <v>Not Available</v>
          </cell>
        </row>
        <row r="3466">
          <cell r="E3466">
            <v>10130115</v>
          </cell>
          <cell r="H3466">
            <v>1</v>
          </cell>
          <cell r="I3466">
            <v>34.75</v>
          </cell>
          <cell r="J3466">
            <v>0</v>
          </cell>
          <cell r="K3466">
            <v>0</v>
          </cell>
          <cell r="M3466">
            <v>0</v>
          </cell>
          <cell r="P3466">
            <v>35</v>
          </cell>
          <cell r="V3466" t="str">
            <v>Not Available</v>
          </cell>
        </row>
        <row r="3467">
          <cell r="E3467">
            <v>10130117</v>
          </cell>
          <cell r="H3467">
            <v>240.90000000000003</v>
          </cell>
          <cell r="I3467">
            <v>7739.6399999999994</v>
          </cell>
          <cell r="J3467">
            <v>0</v>
          </cell>
          <cell r="K3467">
            <v>0</v>
          </cell>
          <cell r="M3467">
            <v>0</v>
          </cell>
          <cell r="P3467">
            <v>7740</v>
          </cell>
          <cell r="V3467" t="str">
            <v>Available</v>
          </cell>
        </row>
        <row r="3468">
          <cell r="E3468">
            <v>10130120</v>
          </cell>
          <cell r="H3468">
            <v>8.26</v>
          </cell>
          <cell r="I3468">
            <v>365.69</v>
          </cell>
          <cell r="J3468">
            <v>0</v>
          </cell>
          <cell r="K3468">
            <v>365.69</v>
          </cell>
          <cell r="M3468">
            <v>0</v>
          </cell>
          <cell r="P3468">
            <v>0</v>
          </cell>
          <cell r="V3468" t="str">
            <v>Not Available</v>
          </cell>
        </row>
        <row r="3469">
          <cell r="E3469">
            <v>10130120</v>
          </cell>
          <cell r="H3469">
            <v>196.83</v>
          </cell>
          <cell r="I3469">
            <v>7375.0599999999986</v>
          </cell>
          <cell r="J3469">
            <v>0</v>
          </cell>
          <cell r="K3469">
            <v>0</v>
          </cell>
          <cell r="M3469">
            <v>0</v>
          </cell>
          <cell r="P3469">
            <v>7375</v>
          </cell>
          <cell r="V3469" t="str">
            <v>Available</v>
          </cell>
        </row>
        <row r="3470">
          <cell r="E3470">
            <v>10130120</v>
          </cell>
          <cell r="H3470">
            <v>88.35</v>
          </cell>
          <cell r="I3470">
            <v>3888.3300000000004</v>
          </cell>
          <cell r="J3470">
            <v>0</v>
          </cell>
          <cell r="K3470">
            <v>0</v>
          </cell>
          <cell r="M3470">
            <v>0</v>
          </cell>
          <cell r="P3470">
            <v>3888</v>
          </cell>
          <cell r="V3470" t="str">
            <v>Available</v>
          </cell>
        </row>
        <row r="3471">
          <cell r="E3471">
            <v>10130120</v>
          </cell>
          <cell r="H3471">
            <v>8.7899999999999991</v>
          </cell>
          <cell r="I3471">
            <v>432.09999999999997</v>
          </cell>
          <cell r="J3471">
            <v>0</v>
          </cell>
          <cell r="K3471">
            <v>0</v>
          </cell>
          <cell r="M3471">
            <v>0</v>
          </cell>
          <cell r="P3471">
            <v>432</v>
          </cell>
          <cell r="V3471" t="str">
            <v>Available</v>
          </cell>
        </row>
        <row r="3472">
          <cell r="E3472">
            <v>10130120</v>
          </cell>
          <cell r="H3472">
            <v>200.89</v>
          </cell>
          <cell r="I3472">
            <v>8814.260000000002</v>
          </cell>
          <cell r="J3472">
            <v>0</v>
          </cell>
          <cell r="K3472">
            <v>0</v>
          </cell>
          <cell r="M3472">
            <v>0</v>
          </cell>
          <cell r="P3472">
            <v>8814</v>
          </cell>
          <cell r="V3472" t="str">
            <v>Available</v>
          </cell>
        </row>
        <row r="3473">
          <cell r="E3473">
            <v>10130120</v>
          </cell>
          <cell r="H3473">
            <v>55.690000000000005</v>
          </cell>
          <cell r="I3473">
            <v>2626.0200000000009</v>
          </cell>
          <cell r="J3473">
            <v>0</v>
          </cell>
          <cell r="K3473">
            <v>0</v>
          </cell>
          <cell r="M3473">
            <v>0</v>
          </cell>
          <cell r="P3473">
            <v>2626</v>
          </cell>
          <cell r="V3473" t="str">
            <v>Available</v>
          </cell>
        </row>
        <row r="3474">
          <cell r="E3474">
            <v>10130120</v>
          </cell>
          <cell r="H3474">
            <v>4.5</v>
          </cell>
          <cell r="I3474">
            <v>295.42</v>
          </cell>
          <cell r="J3474">
            <v>0</v>
          </cell>
          <cell r="K3474">
            <v>0</v>
          </cell>
          <cell r="M3474">
            <v>0</v>
          </cell>
          <cell r="P3474">
            <v>295</v>
          </cell>
          <cell r="V3474" t="str">
            <v>Not Available</v>
          </cell>
        </row>
        <row r="3475">
          <cell r="E3475">
            <v>10130120</v>
          </cell>
          <cell r="H3475">
            <v>19.510000000000002</v>
          </cell>
          <cell r="I3475">
            <v>1101.8899999999999</v>
          </cell>
          <cell r="J3475">
            <v>0</v>
          </cell>
          <cell r="K3475">
            <v>0</v>
          </cell>
          <cell r="M3475">
            <v>0</v>
          </cell>
          <cell r="P3475">
            <v>1102</v>
          </cell>
          <cell r="V3475" t="str">
            <v>Not Available</v>
          </cell>
        </row>
        <row r="3476">
          <cell r="E3476">
            <v>10130120</v>
          </cell>
          <cell r="H3476">
            <v>2</v>
          </cell>
          <cell r="I3476">
            <v>123.12</v>
          </cell>
          <cell r="J3476">
            <v>0</v>
          </cell>
          <cell r="K3476">
            <v>0</v>
          </cell>
          <cell r="M3476">
            <v>0</v>
          </cell>
          <cell r="P3476">
            <v>123</v>
          </cell>
          <cell r="V3476" t="str">
            <v>Not Available</v>
          </cell>
        </row>
        <row r="3477">
          <cell r="E3477">
            <v>10130120</v>
          </cell>
          <cell r="H3477">
            <v>2.5</v>
          </cell>
          <cell r="I3477">
            <v>162.05000000000001</v>
          </cell>
          <cell r="J3477">
            <v>0</v>
          </cell>
          <cell r="K3477">
            <v>0</v>
          </cell>
          <cell r="M3477">
            <v>0</v>
          </cell>
          <cell r="P3477">
            <v>162</v>
          </cell>
          <cell r="V3477" t="str">
            <v>Not Available</v>
          </cell>
        </row>
        <row r="3478">
          <cell r="E3478">
            <v>10130120</v>
          </cell>
          <cell r="H3478">
            <v>2</v>
          </cell>
          <cell r="I3478">
            <v>92.58</v>
          </cell>
          <cell r="J3478">
            <v>0</v>
          </cell>
          <cell r="K3478">
            <v>0</v>
          </cell>
          <cell r="M3478">
            <v>0</v>
          </cell>
          <cell r="P3478">
            <v>93</v>
          </cell>
          <cell r="V3478" t="str">
            <v>Not Available</v>
          </cell>
        </row>
        <row r="3479">
          <cell r="E3479">
            <v>10140001</v>
          </cell>
          <cell r="H3479">
            <v>26.1</v>
          </cell>
          <cell r="I3479">
            <v>1102.93</v>
          </cell>
          <cell r="J3479">
            <v>0</v>
          </cell>
          <cell r="K3479">
            <v>0</v>
          </cell>
          <cell r="M3479">
            <v>0</v>
          </cell>
          <cell r="P3479">
            <v>1103</v>
          </cell>
          <cell r="V3479" t="str">
            <v>Available</v>
          </cell>
        </row>
        <row r="3480">
          <cell r="E3480">
            <v>10140001</v>
          </cell>
          <cell r="H3480">
            <v>50.599999999999994</v>
          </cell>
          <cell r="I3480">
            <v>1857.13</v>
          </cell>
          <cell r="J3480">
            <v>0</v>
          </cell>
          <cell r="K3480">
            <v>0</v>
          </cell>
          <cell r="M3480">
            <v>0</v>
          </cell>
          <cell r="P3480">
            <v>1857</v>
          </cell>
          <cell r="V3480" t="str">
            <v>Available</v>
          </cell>
        </row>
        <row r="3481">
          <cell r="E3481">
            <v>10140001</v>
          </cell>
          <cell r="H3481">
            <v>296.50000000000006</v>
          </cell>
          <cell r="I3481">
            <v>15336.359999999999</v>
          </cell>
          <cell r="J3481">
            <v>0</v>
          </cell>
          <cell r="K3481">
            <v>0</v>
          </cell>
          <cell r="M3481">
            <v>6650</v>
          </cell>
          <cell r="P3481">
            <v>8686</v>
          </cell>
          <cell r="V3481" t="str">
            <v>Available</v>
          </cell>
        </row>
        <row r="3482">
          <cell r="E3482">
            <v>10140001</v>
          </cell>
          <cell r="H3482">
            <v>1.1000000000000001</v>
          </cell>
          <cell r="I3482">
            <v>50.3</v>
          </cell>
          <cell r="J3482">
            <v>0</v>
          </cell>
          <cell r="K3482">
            <v>0</v>
          </cell>
          <cell r="M3482">
            <v>0</v>
          </cell>
          <cell r="P3482">
            <v>50</v>
          </cell>
          <cell r="V3482" t="str">
            <v>Available</v>
          </cell>
        </row>
        <row r="3483">
          <cell r="E3483">
            <v>10140002</v>
          </cell>
          <cell r="H3483">
            <v>246.12</v>
          </cell>
          <cell r="I3483">
            <v>9988.57</v>
          </cell>
          <cell r="J3483">
            <v>0</v>
          </cell>
          <cell r="K3483">
            <v>0</v>
          </cell>
          <cell r="M3483">
            <v>0</v>
          </cell>
          <cell r="P3483">
            <v>7821</v>
          </cell>
          <cell r="V3483" t="str">
            <v>Available</v>
          </cell>
        </row>
        <row r="3484">
          <cell r="E3484">
            <v>10140002</v>
          </cell>
          <cell r="H3484">
            <v>24.459999999999997</v>
          </cell>
          <cell r="I3484">
            <v>1009.7599999999999</v>
          </cell>
          <cell r="J3484">
            <v>0</v>
          </cell>
          <cell r="K3484">
            <v>0</v>
          </cell>
          <cell r="M3484">
            <v>0</v>
          </cell>
          <cell r="P3484">
            <v>1010</v>
          </cell>
          <cell r="V3484" t="str">
            <v>Available</v>
          </cell>
        </row>
        <row r="3485">
          <cell r="E3485">
            <v>10140002</v>
          </cell>
          <cell r="H3485">
            <v>8.57</v>
          </cell>
          <cell r="I3485">
            <v>301.48</v>
          </cell>
          <cell r="J3485">
            <v>0</v>
          </cell>
          <cell r="K3485">
            <v>0</v>
          </cell>
          <cell r="M3485">
            <v>0</v>
          </cell>
          <cell r="P3485">
            <v>301</v>
          </cell>
          <cell r="V3485" t="str">
            <v>Available</v>
          </cell>
        </row>
        <row r="3486">
          <cell r="E3486">
            <v>10140002</v>
          </cell>
          <cell r="H3486">
            <v>18.3</v>
          </cell>
          <cell r="I3486">
            <v>696.01</v>
          </cell>
          <cell r="J3486">
            <v>0</v>
          </cell>
          <cell r="K3486">
            <v>0</v>
          </cell>
          <cell r="M3486">
            <v>0</v>
          </cell>
          <cell r="P3486">
            <v>696</v>
          </cell>
          <cell r="V3486" t="str">
            <v>Available</v>
          </cell>
        </row>
        <row r="3487">
          <cell r="E3487">
            <v>10140002</v>
          </cell>
          <cell r="H3487">
            <v>43.589999999999989</v>
          </cell>
          <cell r="I3487">
            <v>1718.8600000000001</v>
          </cell>
          <cell r="J3487">
            <v>0</v>
          </cell>
          <cell r="K3487">
            <v>0</v>
          </cell>
          <cell r="M3487">
            <v>0</v>
          </cell>
          <cell r="P3487">
            <v>1719</v>
          </cell>
          <cell r="V3487" t="str">
            <v>Available</v>
          </cell>
        </row>
        <row r="3488">
          <cell r="E3488">
            <v>10140002</v>
          </cell>
          <cell r="H3488">
            <v>39.389999999999993</v>
          </cell>
          <cell r="I3488">
            <v>1438.53</v>
          </cell>
          <cell r="J3488">
            <v>0</v>
          </cell>
          <cell r="K3488">
            <v>0</v>
          </cell>
          <cell r="M3488">
            <v>0</v>
          </cell>
          <cell r="P3488">
            <v>1439</v>
          </cell>
          <cell r="V3488" t="str">
            <v>Available</v>
          </cell>
        </row>
        <row r="3489">
          <cell r="E3489">
            <v>10140002</v>
          </cell>
          <cell r="H3489">
            <v>5.6400000000000006</v>
          </cell>
          <cell r="I3489">
            <v>211.64999999999998</v>
          </cell>
          <cell r="J3489">
            <v>0</v>
          </cell>
          <cell r="K3489">
            <v>0</v>
          </cell>
          <cell r="M3489">
            <v>0</v>
          </cell>
          <cell r="P3489">
            <v>212</v>
          </cell>
          <cell r="V3489" t="str">
            <v>Available</v>
          </cell>
        </row>
        <row r="3490">
          <cell r="E3490">
            <v>10140002</v>
          </cell>
          <cell r="H3490">
            <v>32.599999999999994</v>
          </cell>
          <cell r="I3490">
            <v>1235.21</v>
          </cell>
          <cell r="J3490">
            <v>0</v>
          </cell>
          <cell r="K3490">
            <v>0</v>
          </cell>
          <cell r="M3490">
            <v>0</v>
          </cell>
          <cell r="P3490">
            <v>1235</v>
          </cell>
          <cell r="V3490" t="str">
            <v>Available</v>
          </cell>
        </row>
        <row r="3491">
          <cell r="E3491">
            <v>10140002</v>
          </cell>
          <cell r="H3491">
            <v>44.9</v>
          </cell>
          <cell r="I3491">
            <v>1822.43</v>
          </cell>
          <cell r="J3491">
            <v>0</v>
          </cell>
          <cell r="K3491">
            <v>0</v>
          </cell>
          <cell r="M3491">
            <v>0</v>
          </cell>
          <cell r="P3491">
            <v>1822</v>
          </cell>
          <cell r="V3491" t="str">
            <v>Available</v>
          </cell>
        </row>
        <row r="3492">
          <cell r="E3492">
            <v>10140002</v>
          </cell>
          <cell r="H3492">
            <v>39.739999999999988</v>
          </cell>
          <cell r="I3492">
            <v>1629.5200000000002</v>
          </cell>
          <cell r="J3492">
            <v>0</v>
          </cell>
          <cell r="K3492">
            <v>0</v>
          </cell>
          <cell r="M3492">
            <v>0</v>
          </cell>
          <cell r="P3492">
            <v>1630</v>
          </cell>
          <cell r="V3492" t="str">
            <v>Available</v>
          </cell>
        </row>
        <row r="3493">
          <cell r="E3493">
            <v>10140002</v>
          </cell>
          <cell r="H3493">
            <v>87.38</v>
          </cell>
          <cell r="I3493">
            <v>3124.3399999999997</v>
          </cell>
          <cell r="J3493">
            <v>0</v>
          </cell>
          <cell r="K3493">
            <v>0</v>
          </cell>
          <cell r="M3493">
            <v>0</v>
          </cell>
          <cell r="P3493">
            <v>3124</v>
          </cell>
          <cell r="V3493" t="str">
            <v>Available</v>
          </cell>
        </row>
        <row r="3494">
          <cell r="E3494">
            <v>10140003</v>
          </cell>
          <cell r="H3494">
            <v>34.9</v>
          </cell>
          <cell r="I3494">
            <v>1487.6799999999998</v>
          </cell>
          <cell r="J3494">
            <v>0</v>
          </cell>
          <cell r="K3494">
            <v>1487.6799999999998</v>
          </cell>
          <cell r="M3494">
            <v>0</v>
          </cell>
          <cell r="P3494">
            <v>0</v>
          </cell>
          <cell r="V3494" t="str">
            <v>Not Available</v>
          </cell>
        </row>
        <row r="3495">
          <cell r="E3495">
            <v>10140003</v>
          </cell>
          <cell r="H3495">
            <v>123.2</v>
          </cell>
          <cell r="I3495">
            <v>5432.37</v>
          </cell>
          <cell r="J3495">
            <v>0</v>
          </cell>
          <cell r="K3495">
            <v>0</v>
          </cell>
          <cell r="M3495">
            <v>0</v>
          </cell>
          <cell r="P3495">
            <v>4515</v>
          </cell>
          <cell r="V3495" t="str">
            <v>Available</v>
          </cell>
        </row>
        <row r="3496">
          <cell r="E3496">
            <v>10140003</v>
          </cell>
          <cell r="H3496">
            <v>28.9</v>
          </cell>
          <cell r="I3496">
            <v>1082.8499999999999</v>
          </cell>
          <cell r="J3496">
            <v>0</v>
          </cell>
          <cell r="K3496">
            <v>0</v>
          </cell>
          <cell r="M3496">
            <v>0</v>
          </cell>
          <cell r="P3496">
            <v>1083</v>
          </cell>
          <cell r="V3496" t="str">
            <v>Available</v>
          </cell>
        </row>
        <row r="3497">
          <cell r="E3497">
            <v>10140003</v>
          </cell>
          <cell r="H3497">
            <v>39.6</v>
          </cell>
          <cell r="I3497">
            <v>1446.8899999999999</v>
          </cell>
          <cell r="J3497">
            <v>0</v>
          </cell>
          <cell r="K3497">
            <v>0</v>
          </cell>
          <cell r="M3497">
            <v>0</v>
          </cell>
          <cell r="P3497">
            <v>1447</v>
          </cell>
          <cell r="V3497" t="str">
            <v>Available</v>
          </cell>
        </row>
        <row r="3498">
          <cell r="E3498">
            <v>10140003</v>
          </cell>
          <cell r="H3498">
            <v>14.299999999999999</v>
          </cell>
          <cell r="I3498">
            <v>586.24</v>
          </cell>
          <cell r="J3498">
            <v>0</v>
          </cell>
          <cell r="K3498">
            <v>0</v>
          </cell>
          <cell r="M3498">
            <v>0</v>
          </cell>
          <cell r="P3498">
            <v>586</v>
          </cell>
          <cell r="V3498" t="str">
            <v>Available</v>
          </cell>
        </row>
        <row r="3499">
          <cell r="E3499">
            <v>10140003</v>
          </cell>
          <cell r="H3499">
            <v>146.19999999999999</v>
          </cell>
          <cell r="I3499">
            <v>6465.69</v>
          </cell>
          <cell r="J3499">
            <v>0</v>
          </cell>
          <cell r="K3499">
            <v>0</v>
          </cell>
          <cell r="M3499">
            <v>0</v>
          </cell>
          <cell r="P3499">
            <v>6466</v>
          </cell>
          <cell r="V3499" t="str">
            <v>Available</v>
          </cell>
        </row>
        <row r="3500">
          <cell r="E3500">
            <v>10140003</v>
          </cell>
          <cell r="H3500">
            <v>13.4</v>
          </cell>
          <cell r="I3500">
            <v>501.17</v>
          </cell>
          <cell r="J3500">
            <v>0</v>
          </cell>
          <cell r="K3500">
            <v>0</v>
          </cell>
          <cell r="M3500">
            <v>0</v>
          </cell>
          <cell r="P3500">
            <v>501</v>
          </cell>
          <cell r="V3500" t="str">
            <v>Available</v>
          </cell>
        </row>
        <row r="3501">
          <cell r="E3501">
            <v>10140003</v>
          </cell>
          <cell r="H3501">
            <v>8.3000000000000007</v>
          </cell>
          <cell r="I3501">
            <v>700.71</v>
          </cell>
          <cell r="J3501">
            <v>0</v>
          </cell>
          <cell r="K3501">
            <v>0</v>
          </cell>
          <cell r="M3501">
            <v>0</v>
          </cell>
          <cell r="P3501">
            <v>701</v>
          </cell>
          <cell r="V3501" t="str">
            <v>Available</v>
          </cell>
        </row>
        <row r="3502">
          <cell r="E3502">
            <v>10140003</v>
          </cell>
          <cell r="H3502">
            <v>26.6</v>
          </cell>
          <cell r="I3502">
            <v>995.76999999999987</v>
          </cell>
          <cell r="J3502">
            <v>0</v>
          </cell>
          <cell r="K3502">
            <v>0</v>
          </cell>
          <cell r="M3502">
            <v>0</v>
          </cell>
          <cell r="P3502">
            <v>996</v>
          </cell>
          <cell r="V3502" t="str">
            <v>Available</v>
          </cell>
        </row>
        <row r="3503">
          <cell r="E3503">
            <v>10140003</v>
          </cell>
          <cell r="H3503">
            <v>10.1</v>
          </cell>
          <cell r="I3503">
            <v>413.58000000000004</v>
          </cell>
          <cell r="J3503">
            <v>0</v>
          </cell>
          <cell r="K3503">
            <v>0</v>
          </cell>
          <cell r="M3503">
            <v>0</v>
          </cell>
          <cell r="P3503">
            <v>414</v>
          </cell>
          <cell r="V3503" t="str">
            <v>Available</v>
          </cell>
        </row>
        <row r="3504">
          <cell r="E3504">
            <v>10140003</v>
          </cell>
          <cell r="H3504">
            <v>31.4</v>
          </cell>
          <cell r="I3504">
            <v>1157.3999999999999</v>
          </cell>
          <cell r="J3504">
            <v>0</v>
          </cell>
          <cell r="K3504">
            <v>0</v>
          </cell>
          <cell r="M3504">
            <v>0</v>
          </cell>
          <cell r="P3504">
            <v>1157</v>
          </cell>
          <cell r="V3504" t="str">
            <v>Available</v>
          </cell>
        </row>
        <row r="3505">
          <cell r="E3505">
            <v>10140003</v>
          </cell>
          <cell r="H3505">
            <v>43.800000000000004</v>
          </cell>
          <cell r="I3505">
            <v>2418.0300000000002</v>
          </cell>
          <cell r="J3505">
            <v>0</v>
          </cell>
          <cell r="K3505">
            <v>0</v>
          </cell>
          <cell r="M3505">
            <v>0</v>
          </cell>
          <cell r="P3505">
            <v>2418</v>
          </cell>
          <cell r="V3505" t="str">
            <v>Available</v>
          </cell>
        </row>
        <row r="3506">
          <cell r="E3506">
            <v>10140003</v>
          </cell>
          <cell r="H3506">
            <v>34.700000000000003</v>
          </cell>
          <cell r="I3506">
            <v>1499.87</v>
          </cell>
          <cell r="J3506">
            <v>0</v>
          </cell>
          <cell r="K3506">
            <v>0</v>
          </cell>
          <cell r="M3506">
            <v>0</v>
          </cell>
          <cell r="P3506">
            <v>1500</v>
          </cell>
          <cell r="V3506" t="str">
            <v>Available</v>
          </cell>
        </row>
        <row r="3507">
          <cell r="E3507">
            <v>10140003</v>
          </cell>
          <cell r="H3507">
            <v>8.5000000000000018</v>
          </cell>
          <cell r="I3507">
            <v>484.71</v>
          </cell>
          <cell r="J3507">
            <v>0</v>
          </cell>
          <cell r="K3507">
            <v>0</v>
          </cell>
          <cell r="M3507">
            <v>0</v>
          </cell>
          <cell r="P3507">
            <v>485</v>
          </cell>
          <cell r="V3507" t="str">
            <v>Available</v>
          </cell>
        </row>
        <row r="3508">
          <cell r="E3508">
            <v>10140003</v>
          </cell>
          <cell r="H3508">
            <v>0.5</v>
          </cell>
          <cell r="I3508">
            <v>30.74</v>
          </cell>
          <cell r="J3508">
            <v>0</v>
          </cell>
          <cell r="K3508">
            <v>0</v>
          </cell>
          <cell r="M3508">
            <v>0</v>
          </cell>
          <cell r="P3508">
            <v>31</v>
          </cell>
          <cell r="V3508" t="str">
            <v>Available</v>
          </cell>
        </row>
        <row r="3509">
          <cell r="E3509">
            <v>10140003</v>
          </cell>
          <cell r="H3509">
            <v>80</v>
          </cell>
          <cell r="I3509">
            <v>3492</v>
          </cell>
          <cell r="J3509">
            <v>0</v>
          </cell>
          <cell r="K3509">
            <v>0</v>
          </cell>
          <cell r="M3509">
            <v>0</v>
          </cell>
          <cell r="P3509">
            <v>3492</v>
          </cell>
          <cell r="V3509" t="str">
            <v>Available</v>
          </cell>
        </row>
        <row r="3510">
          <cell r="E3510">
            <v>10140003</v>
          </cell>
          <cell r="H3510">
            <v>103.2</v>
          </cell>
          <cell r="I3510">
            <v>4777.1099999999997</v>
          </cell>
          <cell r="J3510">
            <v>0</v>
          </cell>
          <cell r="K3510">
            <v>0</v>
          </cell>
          <cell r="M3510">
            <v>0</v>
          </cell>
          <cell r="P3510">
            <v>4777</v>
          </cell>
          <cell r="V3510" t="str">
            <v>Available</v>
          </cell>
        </row>
        <row r="3511">
          <cell r="E3511">
            <v>10140003</v>
          </cell>
          <cell r="H3511">
            <v>31.800000000000004</v>
          </cell>
          <cell r="I3511">
            <v>1161.1699999999998</v>
          </cell>
          <cell r="J3511">
            <v>0</v>
          </cell>
          <cell r="K3511">
            <v>0</v>
          </cell>
          <cell r="M3511">
            <v>0</v>
          </cell>
          <cell r="P3511">
            <v>1161</v>
          </cell>
          <cell r="V3511" t="str">
            <v>Available</v>
          </cell>
        </row>
        <row r="3512">
          <cell r="E3512">
            <v>10140003</v>
          </cell>
          <cell r="H3512">
            <v>32.700000000000003</v>
          </cell>
          <cell r="I3512">
            <v>1458.4600000000003</v>
          </cell>
          <cell r="J3512">
            <v>0</v>
          </cell>
          <cell r="K3512">
            <v>0</v>
          </cell>
          <cell r="M3512">
            <v>0</v>
          </cell>
          <cell r="P3512">
            <v>1458</v>
          </cell>
          <cell r="V3512" t="str">
            <v>Available</v>
          </cell>
        </row>
        <row r="3513">
          <cell r="E3513">
            <v>10140003</v>
          </cell>
          <cell r="H3513">
            <v>2.4</v>
          </cell>
          <cell r="I3513">
            <v>99.07</v>
          </cell>
          <cell r="J3513">
            <v>0</v>
          </cell>
          <cell r="K3513">
            <v>0</v>
          </cell>
          <cell r="M3513">
            <v>0</v>
          </cell>
          <cell r="P3513">
            <v>99</v>
          </cell>
          <cell r="V3513" t="str">
            <v>Available</v>
          </cell>
        </row>
        <row r="3514">
          <cell r="E3514">
            <v>10140003</v>
          </cell>
          <cell r="H3514">
            <v>26.099999999999998</v>
          </cell>
          <cell r="I3514">
            <v>1044.68</v>
          </cell>
          <cell r="J3514">
            <v>0</v>
          </cell>
          <cell r="K3514">
            <v>0</v>
          </cell>
          <cell r="M3514">
            <v>0</v>
          </cell>
          <cell r="P3514">
            <v>1045</v>
          </cell>
          <cell r="V3514" t="str">
            <v>Available</v>
          </cell>
        </row>
        <row r="3515">
          <cell r="E3515">
            <v>10140003</v>
          </cell>
          <cell r="H3515">
            <v>10.600000000000001</v>
          </cell>
          <cell r="I3515">
            <v>373.1</v>
          </cell>
          <cell r="J3515">
            <v>0</v>
          </cell>
          <cell r="K3515">
            <v>0</v>
          </cell>
          <cell r="M3515">
            <v>0</v>
          </cell>
          <cell r="P3515">
            <v>373</v>
          </cell>
          <cell r="V3515" t="str">
            <v>Available</v>
          </cell>
        </row>
        <row r="3516">
          <cell r="E3516">
            <v>10140003</v>
          </cell>
          <cell r="H3516">
            <v>5.9</v>
          </cell>
          <cell r="I3516">
            <v>220.64000000000001</v>
          </cell>
          <cell r="J3516">
            <v>0</v>
          </cell>
          <cell r="K3516">
            <v>0</v>
          </cell>
          <cell r="M3516">
            <v>0</v>
          </cell>
          <cell r="P3516">
            <v>221</v>
          </cell>
          <cell r="V3516" t="str">
            <v>Available</v>
          </cell>
        </row>
        <row r="3517">
          <cell r="E3517">
            <v>10140007</v>
          </cell>
          <cell r="H3517">
            <v>28.44</v>
          </cell>
          <cell r="I3517">
            <v>1410.5300000000002</v>
          </cell>
          <cell r="J3517">
            <v>0</v>
          </cell>
          <cell r="K3517">
            <v>1410.5300000000002</v>
          </cell>
          <cell r="M3517">
            <v>0</v>
          </cell>
          <cell r="P3517">
            <v>0</v>
          </cell>
          <cell r="V3517" t="str">
            <v>Not Available</v>
          </cell>
        </row>
        <row r="3518">
          <cell r="E3518">
            <v>10140007</v>
          </cell>
          <cell r="H3518">
            <v>25.05</v>
          </cell>
          <cell r="I3518">
            <v>892.03</v>
          </cell>
          <cell r="J3518">
            <v>0</v>
          </cell>
          <cell r="K3518">
            <v>0</v>
          </cell>
          <cell r="M3518">
            <v>0</v>
          </cell>
          <cell r="P3518">
            <v>60</v>
          </cell>
          <cell r="V3518" t="str">
            <v>Available</v>
          </cell>
        </row>
        <row r="3519">
          <cell r="E3519">
            <v>10140007</v>
          </cell>
          <cell r="H3519">
            <v>14.919999999999998</v>
          </cell>
          <cell r="I3519">
            <v>745.95</v>
          </cell>
          <cell r="J3519">
            <v>0</v>
          </cell>
          <cell r="K3519">
            <v>0</v>
          </cell>
          <cell r="M3519">
            <v>100</v>
          </cell>
          <cell r="P3519">
            <v>646</v>
          </cell>
          <cell r="V3519" t="str">
            <v>Available</v>
          </cell>
        </row>
        <row r="3520">
          <cell r="E3520">
            <v>10140007</v>
          </cell>
          <cell r="H3520">
            <v>9.35</v>
          </cell>
          <cell r="I3520">
            <v>387.68000000000006</v>
          </cell>
          <cell r="J3520">
            <v>0</v>
          </cell>
          <cell r="K3520">
            <v>0</v>
          </cell>
          <cell r="M3520">
            <v>50</v>
          </cell>
          <cell r="P3520">
            <v>338</v>
          </cell>
          <cell r="V3520" t="str">
            <v>Available</v>
          </cell>
        </row>
        <row r="3521">
          <cell r="E3521">
            <v>10140007</v>
          </cell>
          <cell r="H3521">
            <v>15.549999999999999</v>
          </cell>
          <cell r="I3521">
            <v>592.46999999999991</v>
          </cell>
          <cell r="J3521">
            <v>0</v>
          </cell>
          <cell r="K3521">
            <v>0</v>
          </cell>
          <cell r="M3521">
            <v>150</v>
          </cell>
          <cell r="P3521">
            <v>442</v>
          </cell>
          <cell r="V3521" t="str">
            <v>Available</v>
          </cell>
        </row>
        <row r="3522">
          <cell r="E3522">
            <v>10140007</v>
          </cell>
          <cell r="H3522">
            <v>8.3800000000000008</v>
          </cell>
          <cell r="I3522">
            <v>317</v>
          </cell>
          <cell r="J3522">
            <v>0</v>
          </cell>
          <cell r="K3522">
            <v>0</v>
          </cell>
          <cell r="M3522">
            <v>0</v>
          </cell>
          <cell r="P3522">
            <v>317</v>
          </cell>
          <cell r="V3522" t="str">
            <v>Available</v>
          </cell>
        </row>
        <row r="3523">
          <cell r="E3523">
            <v>10140007</v>
          </cell>
          <cell r="H3523">
            <v>11.95</v>
          </cell>
          <cell r="I3523">
            <v>654.38</v>
          </cell>
          <cell r="J3523">
            <v>0</v>
          </cell>
          <cell r="K3523">
            <v>0</v>
          </cell>
          <cell r="M3523">
            <v>100</v>
          </cell>
          <cell r="P3523">
            <v>554</v>
          </cell>
          <cell r="V3523" t="str">
            <v>Available</v>
          </cell>
        </row>
        <row r="3524">
          <cell r="E3524">
            <v>10140007</v>
          </cell>
          <cell r="H3524">
            <v>18.52</v>
          </cell>
          <cell r="I3524">
            <v>713.57</v>
          </cell>
          <cell r="J3524">
            <v>0</v>
          </cell>
          <cell r="K3524">
            <v>0</v>
          </cell>
          <cell r="M3524">
            <v>700</v>
          </cell>
          <cell r="P3524">
            <v>14</v>
          </cell>
          <cell r="V3524" t="str">
            <v>Available</v>
          </cell>
        </row>
        <row r="3525">
          <cell r="E3525">
            <v>10140007</v>
          </cell>
          <cell r="H3525">
            <v>128.04000000000002</v>
          </cell>
          <cell r="I3525">
            <v>4819.0200000000004</v>
          </cell>
          <cell r="J3525">
            <v>0</v>
          </cell>
          <cell r="K3525">
            <v>0</v>
          </cell>
          <cell r="M3525">
            <v>0</v>
          </cell>
          <cell r="P3525">
            <v>4819</v>
          </cell>
          <cell r="V3525" t="str">
            <v>Available</v>
          </cell>
        </row>
        <row r="3526">
          <cell r="E3526">
            <v>10140007</v>
          </cell>
          <cell r="H3526">
            <v>196.27</v>
          </cell>
          <cell r="I3526">
            <v>7490.61</v>
          </cell>
          <cell r="J3526">
            <v>0</v>
          </cell>
          <cell r="K3526">
            <v>0</v>
          </cell>
          <cell r="M3526">
            <v>0</v>
          </cell>
          <cell r="P3526">
            <v>7491</v>
          </cell>
          <cell r="V3526" t="str">
            <v>Available</v>
          </cell>
        </row>
        <row r="3527">
          <cell r="E3527">
            <v>10140007</v>
          </cell>
          <cell r="H3527">
            <v>24.75</v>
          </cell>
          <cell r="I3527">
            <v>935.49000000000012</v>
          </cell>
          <cell r="J3527">
            <v>0</v>
          </cell>
          <cell r="K3527">
            <v>0</v>
          </cell>
          <cell r="M3527">
            <v>100</v>
          </cell>
          <cell r="P3527">
            <v>835</v>
          </cell>
          <cell r="V3527" t="str">
            <v>Available</v>
          </cell>
        </row>
        <row r="3528">
          <cell r="E3528">
            <v>10140007</v>
          </cell>
          <cell r="H3528">
            <v>24.63</v>
          </cell>
          <cell r="I3528">
            <v>1018.8600000000001</v>
          </cell>
          <cell r="J3528">
            <v>0</v>
          </cell>
          <cell r="K3528">
            <v>0</v>
          </cell>
          <cell r="M3528">
            <v>100</v>
          </cell>
          <cell r="P3528">
            <v>919</v>
          </cell>
          <cell r="V3528" t="str">
            <v>Available</v>
          </cell>
        </row>
        <row r="3529">
          <cell r="E3529">
            <v>10140007</v>
          </cell>
          <cell r="H3529">
            <v>7.160000000000001</v>
          </cell>
          <cell r="I3529">
            <v>272.68</v>
          </cell>
          <cell r="J3529">
            <v>0</v>
          </cell>
          <cell r="K3529">
            <v>0</v>
          </cell>
          <cell r="M3529">
            <v>50</v>
          </cell>
          <cell r="P3529">
            <v>223</v>
          </cell>
          <cell r="V3529" t="str">
            <v>Available</v>
          </cell>
        </row>
        <row r="3530">
          <cell r="E3530">
            <v>10140007</v>
          </cell>
          <cell r="H3530">
            <v>32.78</v>
          </cell>
          <cell r="I3530">
            <v>1393.47</v>
          </cell>
          <cell r="J3530">
            <v>0</v>
          </cell>
          <cell r="K3530">
            <v>0</v>
          </cell>
          <cell r="M3530">
            <v>100</v>
          </cell>
          <cell r="P3530">
            <v>1293</v>
          </cell>
          <cell r="V3530" t="str">
            <v>Available</v>
          </cell>
        </row>
        <row r="3531">
          <cell r="E3531">
            <v>10140007</v>
          </cell>
          <cell r="H3531">
            <v>113.01000000000003</v>
          </cell>
          <cell r="I3531">
            <v>5178.1000000000022</v>
          </cell>
          <cell r="J3531">
            <v>0</v>
          </cell>
          <cell r="K3531">
            <v>0</v>
          </cell>
          <cell r="M3531">
            <v>1800</v>
          </cell>
          <cell r="P3531">
            <v>3378</v>
          </cell>
          <cell r="V3531" t="str">
            <v>Available</v>
          </cell>
        </row>
        <row r="3532">
          <cell r="E3532">
            <v>10140008</v>
          </cell>
          <cell r="H3532">
            <v>51.6</v>
          </cell>
          <cell r="I3532">
            <v>1751.3</v>
          </cell>
          <cell r="J3532">
            <v>0</v>
          </cell>
          <cell r="K3532">
            <v>0</v>
          </cell>
          <cell r="M3532">
            <v>0</v>
          </cell>
          <cell r="P3532">
            <v>1751</v>
          </cell>
          <cell r="V3532" t="str">
            <v>Available</v>
          </cell>
        </row>
        <row r="3533">
          <cell r="E3533">
            <v>10140008</v>
          </cell>
          <cell r="H3533">
            <v>30.07</v>
          </cell>
          <cell r="I3533">
            <v>1140.6300000000001</v>
          </cell>
          <cell r="J3533">
            <v>0</v>
          </cell>
          <cell r="K3533">
            <v>0</v>
          </cell>
          <cell r="M3533">
            <v>0</v>
          </cell>
          <cell r="P3533">
            <v>1141</v>
          </cell>
          <cell r="V3533" t="str">
            <v>Available</v>
          </cell>
        </row>
        <row r="3534">
          <cell r="E3534">
            <v>10140008</v>
          </cell>
          <cell r="H3534">
            <v>28.590000000000003</v>
          </cell>
          <cell r="I3534">
            <v>1073.26</v>
          </cell>
          <cell r="J3534">
            <v>0</v>
          </cell>
          <cell r="K3534">
            <v>0</v>
          </cell>
          <cell r="M3534">
            <v>0</v>
          </cell>
          <cell r="P3534">
            <v>1073</v>
          </cell>
          <cell r="V3534" t="str">
            <v>Available</v>
          </cell>
        </row>
        <row r="3535">
          <cell r="E3535">
            <v>10140008</v>
          </cell>
          <cell r="H3535">
            <v>15.489999999999998</v>
          </cell>
          <cell r="I3535">
            <v>528.52</v>
          </cell>
          <cell r="J3535">
            <v>0</v>
          </cell>
          <cell r="K3535">
            <v>0</v>
          </cell>
          <cell r="M3535">
            <v>0</v>
          </cell>
          <cell r="P3535">
            <v>529</v>
          </cell>
          <cell r="V3535" t="str">
            <v>Available</v>
          </cell>
        </row>
        <row r="3536">
          <cell r="E3536">
            <v>10140008</v>
          </cell>
          <cell r="H3536">
            <v>20.65</v>
          </cell>
          <cell r="I3536">
            <v>998.88</v>
          </cell>
          <cell r="J3536">
            <v>0</v>
          </cell>
          <cell r="K3536">
            <v>0</v>
          </cell>
          <cell r="M3536">
            <v>0</v>
          </cell>
          <cell r="P3536">
            <v>999</v>
          </cell>
          <cell r="V3536" t="str">
            <v>Available</v>
          </cell>
        </row>
        <row r="3537">
          <cell r="E3537">
            <v>10140008</v>
          </cell>
          <cell r="H3537">
            <v>189.24999999999997</v>
          </cell>
          <cell r="I3537">
            <v>7568.9</v>
          </cell>
          <cell r="J3537">
            <v>0</v>
          </cell>
          <cell r="K3537">
            <v>0</v>
          </cell>
          <cell r="M3537">
            <v>0</v>
          </cell>
          <cell r="P3537">
            <v>7569</v>
          </cell>
          <cell r="V3537" t="str">
            <v>Available</v>
          </cell>
        </row>
        <row r="3538">
          <cell r="E3538">
            <v>10140008</v>
          </cell>
          <cell r="H3538">
            <v>8.85</v>
          </cell>
          <cell r="I3538">
            <v>298.53999999999996</v>
          </cell>
          <cell r="J3538">
            <v>0</v>
          </cell>
          <cell r="K3538">
            <v>0</v>
          </cell>
          <cell r="M3538">
            <v>0</v>
          </cell>
          <cell r="P3538">
            <v>299</v>
          </cell>
          <cell r="V3538" t="str">
            <v>Available</v>
          </cell>
        </row>
        <row r="3539">
          <cell r="E3539">
            <v>10140008</v>
          </cell>
          <cell r="H3539">
            <v>9.9699999999999989</v>
          </cell>
          <cell r="I3539">
            <v>334.28</v>
          </cell>
          <cell r="J3539">
            <v>0</v>
          </cell>
          <cell r="K3539">
            <v>0</v>
          </cell>
          <cell r="M3539">
            <v>0</v>
          </cell>
          <cell r="P3539">
            <v>334</v>
          </cell>
          <cell r="V3539" t="str">
            <v>Available</v>
          </cell>
        </row>
        <row r="3540">
          <cell r="E3540">
            <v>10140008</v>
          </cell>
          <cell r="H3540">
            <v>6.56</v>
          </cell>
          <cell r="I3540">
            <v>293.03000000000003</v>
          </cell>
          <cell r="J3540">
            <v>0</v>
          </cell>
          <cell r="K3540">
            <v>0</v>
          </cell>
          <cell r="M3540">
            <v>0</v>
          </cell>
          <cell r="P3540">
            <v>293</v>
          </cell>
          <cell r="V3540" t="str">
            <v>Available</v>
          </cell>
        </row>
        <row r="3541">
          <cell r="E3541">
            <v>10140008</v>
          </cell>
          <cell r="H3541">
            <v>11.15</v>
          </cell>
          <cell r="I3541">
            <v>400.15</v>
          </cell>
          <cell r="J3541">
            <v>0</v>
          </cell>
          <cell r="K3541">
            <v>0</v>
          </cell>
          <cell r="M3541">
            <v>0</v>
          </cell>
          <cell r="P3541">
            <v>400</v>
          </cell>
          <cell r="V3541" t="str">
            <v>Available</v>
          </cell>
        </row>
        <row r="3542">
          <cell r="E3542">
            <v>10140008</v>
          </cell>
          <cell r="H3542">
            <v>15.1</v>
          </cell>
          <cell r="I3542">
            <v>548.04000000000008</v>
          </cell>
          <cell r="J3542">
            <v>0</v>
          </cell>
          <cell r="K3542">
            <v>0</v>
          </cell>
          <cell r="M3542">
            <v>0</v>
          </cell>
          <cell r="P3542">
            <v>548</v>
          </cell>
          <cell r="V3542" t="str">
            <v>Available</v>
          </cell>
        </row>
        <row r="3543">
          <cell r="E3543">
            <v>10140009</v>
          </cell>
          <cell r="H3543">
            <v>530.53</v>
          </cell>
          <cell r="I3543">
            <v>28371.84</v>
          </cell>
          <cell r="J3543">
            <v>0</v>
          </cell>
          <cell r="K3543">
            <v>0</v>
          </cell>
          <cell r="M3543">
            <v>0</v>
          </cell>
          <cell r="P3543">
            <v>23942</v>
          </cell>
          <cell r="V3543" t="str">
            <v>Available</v>
          </cell>
        </row>
        <row r="3544">
          <cell r="E3544">
            <v>10140009</v>
          </cell>
          <cell r="H3544">
            <v>26.56</v>
          </cell>
          <cell r="I3544">
            <v>1183.6099999999999</v>
          </cell>
          <cell r="J3544">
            <v>0</v>
          </cell>
          <cell r="K3544">
            <v>0</v>
          </cell>
          <cell r="M3544">
            <v>0</v>
          </cell>
          <cell r="P3544">
            <v>1184</v>
          </cell>
          <cell r="V3544" t="str">
            <v>Available</v>
          </cell>
        </row>
        <row r="3545">
          <cell r="E3545">
            <v>10140009</v>
          </cell>
          <cell r="H3545">
            <v>45.69</v>
          </cell>
          <cell r="I3545">
            <v>2208.9100000000003</v>
          </cell>
          <cell r="J3545">
            <v>0</v>
          </cell>
          <cell r="K3545">
            <v>0</v>
          </cell>
          <cell r="M3545">
            <v>0</v>
          </cell>
          <cell r="P3545">
            <v>2209</v>
          </cell>
          <cell r="V3545" t="str">
            <v>Available</v>
          </cell>
        </row>
        <row r="3546">
          <cell r="E3546">
            <v>10140009</v>
          </cell>
          <cell r="H3546">
            <v>165.5</v>
          </cell>
          <cell r="I3546">
            <v>7086.9400000000014</v>
          </cell>
          <cell r="J3546">
            <v>0</v>
          </cell>
          <cell r="K3546">
            <v>0</v>
          </cell>
          <cell r="M3546">
            <v>0</v>
          </cell>
          <cell r="P3546">
            <v>7087</v>
          </cell>
          <cell r="V3546" t="str">
            <v>Available</v>
          </cell>
        </row>
        <row r="3547">
          <cell r="E3547">
            <v>10140009</v>
          </cell>
          <cell r="H3547">
            <v>161.86000000000001</v>
          </cell>
          <cell r="I3547">
            <v>6688.74</v>
          </cell>
          <cell r="J3547">
            <v>0</v>
          </cell>
          <cell r="K3547">
            <v>0</v>
          </cell>
          <cell r="M3547">
            <v>0</v>
          </cell>
          <cell r="P3547">
            <v>6689</v>
          </cell>
          <cell r="V3547" t="str">
            <v>Available</v>
          </cell>
        </row>
        <row r="3548">
          <cell r="E3548">
            <v>10140011</v>
          </cell>
          <cell r="H3548">
            <v>208</v>
          </cell>
          <cell r="I3548">
            <v>5772</v>
          </cell>
          <cell r="J3548">
            <v>0</v>
          </cell>
          <cell r="K3548">
            <v>0</v>
          </cell>
          <cell r="M3548">
            <v>3990</v>
          </cell>
          <cell r="P3548">
            <v>1782</v>
          </cell>
          <cell r="V3548" t="str">
            <v>Available</v>
          </cell>
        </row>
        <row r="3549">
          <cell r="E3549">
            <v>10140012</v>
          </cell>
          <cell r="H3549">
            <v>7.8500000000000005</v>
          </cell>
          <cell r="I3549">
            <v>297.04000000000002</v>
          </cell>
          <cell r="J3549">
            <v>0</v>
          </cell>
          <cell r="K3549">
            <v>297.04000000000002</v>
          </cell>
          <cell r="M3549">
            <v>0</v>
          </cell>
          <cell r="P3549">
            <v>0</v>
          </cell>
          <cell r="V3549" t="str">
            <v>Not Available</v>
          </cell>
        </row>
        <row r="3550">
          <cell r="E3550">
            <v>10140012</v>
          </cell>
          <cell r="H3550">
            <v>5.77</v>
          </cell>
          <cell r="I3550">
            <v>235.93</v>
          </cell>
          <cell r="J3550">
            <v>0</v>
          </cell>
          <cell r="K3550">
            <v>0</v>
          </cell>
          <cell r="M3550">
            <v>0</v>
          </cell>
          <cell r="P3550">
            <v>46</v>
          </cell>
          <cell r="V3550" t="str">
            <v>Available</v>
          </cell>
        </row>
        <row r="3551">
          <cell r="E3551">
            <v>10140012</v>
          </cell>
          <cell r="H3551">
            <v>28.04</v>
          </cell>
          <cell r="I3551">
            <v>1224.96</v>
          </cell>
          <cell r="J3551">
            <v>0</v>
          </cell>
          <cell r="K3551">
            <v>0</v>
          </cell>
          <cell r="M3551">
            <v>0</v>
          </cell>
          <cell r="P3551">
            <v>1225</v>
          </cell>
          <cell r="V3551" t="str">
            <v>Available</v>
          </cell>
        </row>
        <row r="3552">
          <cell r="E3552">
            <v>10140012</v>
          </cell>
          <cell r="H3552">
            <v>11.650000000000002</v>
          </cell>
          <cell r="I3552">
            <v>485.44</v>
          </cell>
          <cell r="J3552">
            <v>0</v>
          </cell>
          <cell r="K3552">
            <v>0</v>
          </cell>
          <cell r="M3552">
            <v>0</v>
          </cell>
          <cell r="P3552">
            <v>485</v>
          </cell>
          <cell r="V3552" t="str">
            <v>Available</v>
          </cell>
        </row>
        <row r="3553">
          <cell r="E3553">
            <v>10140012</v>
          </cell>
          <cell r="H3553">
            <v>559.54999999999995</v>
          </cell>
          <cell r="I3553">
            <v>29261.870000000006</v>
          </cell>
          <cell r="J3553">
            <v>0</v>
          </cell>
          <cell r="K3553">
            <v>0</v>
          </cell>
          <cell r="M3553">
            <v>0</v>
          </cell>
          <cell r="P3553">
            <v>29262</v>
          </cell>
          <cell r="V3553" t="str">
            <v>Available</v>
          </cell>
        </row>
        <row r="3554">
          <cell r="E3554">
            <v>10140012</v>
          </cell>
          <cell r="H3554">
            <v>35.690000000000005</v>
          </cell>
          <cell r="I3554">
            <v>1212.48</v>
          </cell>
          <cell r="J3554">
            <v>0</v>
          </cell>
          <cell r="K3554">
            <v>0</v>
          </cell>
          <cell r="M3554">
            <v>0</v>
          </cell>
          <cell r="P3554">
            <v>1212</v>
          </cell>
          <cell r="V3554" t="str">
            <v>Available</v>
          </cell>
        </row>
        <row r="3555">
          <cell r="E3555">
            <v>10140012</v>
          </cell>
          <cell r="H3555">
            <v>5.51</v>
          </cell>
          <cell r="I3555">
            <v>399.51</v>
          </cell>
          <cell r="J3555">
            <v>0</v>
          </cell>
          <cell r="K3555">
            <v>0</v>
          </cell>
          <cell r="M3555">
            <v>0</v>
          </cell>
          <cell r="P3555">
            <v>400</v>
          </cell>
          <cell r="V3555" t="str">
            <v>Available</v>
          </cell>
        </row>
        <row r="3556">
          <cell r="E3556">
            <v>10140012</v>
          </cell>
          <cell r="H3556">
            <v>15.709999999999999</v>
          </cell>
          <cell r="I3556">
            <v>1004.1600000000001</v>
          </cell>
          <cell r="J3556">
            <v>0</v>
          </cell>
          <cell r="K3556">
            <v>0</v>
          </cell>
          <cell r="M3556">
            <v>0</v>
          </cell>
          <cell r="P3556">
            <v>1004</v>
          </cell>
          <cell r="V3556" t="str">
            <v>Available</v>
          </cell>
        </row>
        <row r="3557">
          <cell r="E3557">
            <v>10140012</v>
          </cell>
          <cell r="H3557">
            <v>6.18</v>
          </cell>
          <cell r="I3557">
            <v>226.68</v>
          </cell>
          <cell r="J3557">
            <v>0</v>
          </cell>
          <cell r="K3557">
            <v>0</v>
          </cell>
          <cell r="M3557">
            <v>0</v>
          </cell>
          <cell r="P3557">
            <v>227</v>
          </cell>
          <cell r="V3557" t="str">
            <v>Available</v>
          </cell>
        </row>
        <row r="3558">
          <cell r="E3558">
            <v>10140012</v>
          </cell>
          <cell r="H3558">
            <v>6.9999999999999991</v>
          </cell>
          <cell r="I3558">
            <v>306.41999999999996</v>
          </cell>
          <cell r="J3558">
            <v>0</v>
          </cell>
          <cell r="K3558">
            <v>0</v>
          </cell>
          <cell r="M3558">
            <v>0</v>
          </cell>
          <cell r="P3558">
            <v>306</v>
          </cell>
          <cell r="V3558" t="str">
            <v>Available</v>
          </cell>
        </row>
        <row r="3559">
          <cell r="E3559">
            <v>10140012</v>
          </cell>
          <cell r="H3559">
            <v>46.69</v>
          </cell>
          <cell r="I3559">
            <v>1731.56</v>
          </cell>
          <cell r="J3559">
            <v>0</v>
          </cell>
          <cell r="K3559">
            <v>0</v>
          </cell>
          <cell r="M3559">
            <v>0</v>
          </cell>
          <cell r="P3559">
            <v>1732</v>
          </cell>
          <cell r="V3559" t="str">
            <v>Available</v>
          </cell>
        </row>
        <row r="3560">
          <cell r="E3560">
            <v>10140012</v>
          </cell>
          <cell r="H3560">
            <v>26.93</v>
          </cell>
          <cell r="I3560">
            <v>1944.3599999999997</v>
          </cell>
          <cell r="J3560">
            <v>0</v>
          </cell>
          <cell r="K3560">
            <v>0</v>
          </cell>
          <cell r="M3560">
            <v>0</v>
          </cell>
          <cell r="P3560">
            <v>1944</v>
          </cell>
          <cell r="V3560" t="str">
            <v>Available</v>
          </cell>
        </row>
        <row r="3561">
          <cell r="E3561">
            <v>10140012</v>
          </cell>
          <cell r="H3561">
            <v>29.15</v>
          </cell>
          <cell r="I3561">
            <v>1622.7699999999998</v>
          </cell>
          <cell r="J3561">
            <v>0</v>
          </cell>
          <cell r="K3561">
            <v>0</v>
          </cell>
          <cell r="M3561">
            <v>0</v>
          </cell>
          <cell r="P3561">
            <v>1623</v>
          </cell>
          <cell r="V3561" t="str">
            <v>Available</v>
          </cell>
        </row>
        <row r="3562">
          <cell r="E3562">
            <v>10140012</v>
          </cell>
          <cell r="H3562">
            <v>19.72</v>
          </cell>
          <cell r="I3562">
            <v>1119.81</v>
          </cell>
          <cell r="J3562">
            <v>0</v>
          </cell>
          <cell r="K3562">
            <v>0</v>
          </cell>
          <cell r="M3562">
            <v>0</v>
          </cell>
          <cell r="P3562">
            <v>1120</v>
          </cell>
          <cell r="V3562" t="str">
            <v>Available</v>
          </cell>
        </row>
        <row r="3563">
          <cell r="E3563">
            <v>10140012</v>
          </cell>
          <cell r="H3563">
            <v>11.04</v>
          </cell>
          <cell r="I3563">
            <v>447.38</v>
          </cell>
          <cell r="J3563">
            <v>0</v>
          </cell>
          <cell r="K3563">
            <v>0</v>
          </cell>
          <cell r="M3563">
            <v>0</v>
          </cell>
          <cell r="P3563">
            <v>447</v>
          </cell>
          <cell r="V3563" t="str">
            <v>Available</v>
          </cell>
        </row>
        <row r="3564">
          <cell r="E3564">
            <v>10140012</v>
          </cell>
          <cell r="H3564">
            <v>28.78</v>
          </cell>
          <cell r="I3564">
            <v>1005.2800000000001</v>
          </cell>
          <cell r="J3564">
            <v>0</v>
          </cell>
          <cell r="K3564">
            <v>0</v>
          </cell>
          <cell r="M3564">
            <v>0</v>
          </cell>
          <cell r="P3564">
            <v>1005</v>
          </cell>
          <cell r="V3564" t="str">
            <v>Available</v>
          </cell>
        </row>
        <row r="3565">
          <cell r="E3565">
            <v>10140012</v>
          </cell>
          <cell r="H3565">
            <v>106.18</v>
          </cell>
          <cell r="I3565">
            <v>4328.63</v>
          </cell>
          <cell r="J3565">
            <v>0</v>
          </cell>
          <cell r="K3565">
            <v>0</v>
          </cell>
          <cell r="M3565">
            <v>0</v>
          </cell>
          <cell r="P3565">
            <v>4329</v>
          </cell>
          <cell r="V3565" t="str">
            <v>Available</v>
          </cell>
        </row>
        <row r="3566">
          <cell r="E3566">
            <v>10140012</v>
          </cell>
          <cell r="H3566">
            <v>143.97999999999999</v>
          </cell>
          <cell r="I3566">
            <v>7322.55</v>
          </cell>
          <cell r="J3566">
            <v>0</v>
          </cell>
          <cell r="K3566">
            <v>0</v>
          </cell>
          <cell r="M3566">
            <v>0</v>
          </cell>
          <cell r="P3566">
            <v>7323</v>
          </cell>
          <cell r="V3566" t="str">
            <v>Available</v>
          </cell>
        </row>
        <row r="3567">
          <cell r="E3567">
            <v>10140012</v>
          </cell>
          <cell r="H3567">
            <v>19.709999999999997</v>
          </cell>
          <cell r="I3567">
            <v>1497.5500000000002</v>
          </cell>
          <cell r="J3567">
            <v>0</v>
          </cell>
          <cell r="K3567">
            <v>0</v>
          </cell>
          <cell r="M3567">
            <v>0</v>
          </cell>
          <cell r="P3567">
            <v>1498</v>
          </cell>
          <cell r="V3567" t="str">
            <v>Available</v>
          </cell>
        </row>
        <row r="3568">
          <cell r="E3568">
            <v>10140012</v>
          </cell>
          <cell r="H3568">
            <v>18.63</v>
          </cell>
          <cell r="I3568">
            <v>1482.1899999999998</v>
          </cell>
          <cell r="J3568">
            <v>0</v>
          </cell>
          <cell r="K3568">
            <v>0</v>
          </cell>
          <cell r="M3568">
            <v>0</v>
          </cell>
          <cell r="P3568">
            <v>1482</v>
          </cell>
          <cell r="V3568" t="str">
            <v>Available</v>
          </cell>
        </row>
        <row r="3569">
          <cell r="E3569">
            <v>10140012</v>
          </cell>
          <cell r="H3569">
            <v>97.2</v>
          </cell>
          <cell r="I3569">
            <v>5351.69</v>
          </cell>
          <cell r="J3569">
            <v>0</v>
          </cell>
          <cell r="K3569">
            <v>0</v>
          </cell>
          <cell r="M3569">
            <v>0</v>
          </cell>
          <cell r="P3569">
            <v>5352</v>
          </cell>
          <cell r="V3569" t="str">
            <v>Available</v>
          </cell>
        </row>
        <row r="3570">
          <cell r="E3570">
            <v>10140013</v>
          </cell>
          <cell r="H3570">
            <v>5</v>
          </cell>
          <cell r="I3570">
            <v>170.3</v>
          </cell>
          <cell r="J3570">
            <v>0</v>
          </cell>
          <cell r="K3570">
            <v>170.3</v>
          </cell>
          <cell r="M3570">
            <v>0</v>
          </cell>
          <cell r="P3570">
            <v>0</v>
          </cell>
          <cell r="V3570" t="str">
            <v>Not Available</v>
          </cell>
        </row>
        <row r="3571">
          <cell r="E3571">
            <v>10140013</v>
          </cell>
          <cell r="H3571">
            <v>68.199999999999989</v>
          </cell>
          <cell r="I3571">
            <v>2481.7600000000002</v>
          </cell>
          <cell r="J3571">
            <v>0</v>
          </cell>
          <cell r="K3571">
            <v>0</v>
          </cell>
          <cell r="M3571">
            <v>0</v>
          </cell>
          <cell r="P3571">
            <v>2482</v>
          </cell>
          <cell r="V3571" t="str">
            <v>Available</v>
          </cell>
        </row>
        <row r="3572">
          <cell r="E3572">
            <v>10140013</v>
          </cell>
          <cell r="H3572">
            <v>583</v>
          </cell>
          <cell r="I3572">
            <v>19856.980000000003</v>
          </cell>
          <cell r="J3572">
            <v>0</v>
          </cell>
          <cell r="K3572">
            <v>0</v>
          </cell>
          <cell r="M3572">
            <v>0</v>
          </cell>
          <cell r="P3572">
            <v>19857</v>
          </cell>
          <cell r="V3572" t="str">
            <v>Available</v>
          </cell>
        </row>
        <row r="3573">
          <cell r="E3573">
            <v>10140013</v>
          </cell>
          <cell r="H3573">
            <v>920.8</v>
          </cell>
          <cell r="I3573">
            <v>37526.78</v>
          </cell>
          <cell r="J3573">
            <v>0</v>
          </cell>
          <cell r="K3573">
            <v>0</v>
          </cell>
          <cell r="M3573">
            <v>0</v>
          </cell>
          <cell r="P3573">
            <v>37527</v>
          </cell>
          <cell r="V3573" t="str">
            <v>Available</v>
          </cell>
        </row>
        <row r="3574">
          <cell r="E3574">
            <v>10140018</v>
          </cell>
          <cell r="H3574">
            <v>200</v>
          </cell>
          <cell r="I3574">
            <v>12414</v>
          </cell>
          <cell r="J3574">
            <v>0</v>
          </cell>
          <cell r="K3574">
            <v>0</v>
          </cell>
          <cell r="M3574">
            <v>0</v>
          </cell>
          <cell r="P3574">
            <v>12414</v>
          </cell>
          <cell r="V3574" t="str">
            <v>Available</v>
          </cell>
        </row>
        <row r="3575">
          <cell r="E3575">
            <v>10140018</v>
          </cell>
          <cell r="H3575">
            <v>27</v>
          </cell>
          <cell r="I3575">
            <v>1675.89</v>
          </cell>
          <cell r="J3575">
            <v>0</v>
          </cell>
          <cell r="K3575">
            <v>0</v>
          </cell>
          <cell r="M3575">
            <v>0</v>
          </cell>
          <cell r="P3575">
            <v>1676</v>
          </cell>
          <cell r="V3575" t="str">
            <v>Available</v>
          </cell>
        </row>
        <row r="3576">
          <cell r="E3576">
            <v>10140022</v>
          </cell>
          <cell r="H3576">
            <v>78.64</v>
          </cell>
          <cell r="I3576">
            <v>2841.0199999999991</v>
          </cell>
          <cell r="J3576">
            <v>0</v>
          </cell>
          <cell r="K3576">
            <v>0</v>
          </cell>
          <cell r="M3576">
            <v>0</v>
          </cell>
          <cell r="P3576">
            <v>2492</v>
          </cell>
          <cell r="V3576" t="str">
            <v>Available</v>
          </cell>
        </row>
        <row r="3577">
          <cell r="E3577">
            <v>10140022</v>
          </cell>
          <cell r="H3577">
            <v>186.25</v>
          </cell>
          <cell r="I3577">
            <v>7513.83</v>
          </cell>
          <cell r="J3577">
            <v>0</v>
          </cell>
          <cell r="K3577">
            <v>0</v>
          </cell>
          <cell r="M3577">
            <v>0</v>
          </cell>
          <cell r="P3577">
            <v>7514</v>
          </cell>
          <cell r="V3577" t="str">
            <v>Available</v>
          </cell>
        </row>
        <row r="3578">
          <cell r="E3578">
            <v>10140022</v>
          </cell>
          <cell r="H3578">
            <v>10</v>
          </cell>
          <cell r="I3578">
            <v>383.7</v>
          </cell>
          <cell r="J3578">
            <v>0</v>
          </cell>
          <cell r="K3578">
            <v>0</v>
          </cell>
          <cell r="M3578">
            <v>0</v>
          </cell>
          <cell r="P3578">
            <v>384</v>
          </cell>
          <cell r="V3578" t="str">
            <v>Available</v>
          </cell>
        </row>
        <row r="3579">
          <cell r="E3579">
            <v>10140022</v>
          </cell>
          <cell r="H3579">
            <v>166.69</v>
          </cell>
          <cell r="I3579">
            <v>6471.7000000000007</v>
          </cell>
          <cell r="J3579">
            <v>0</v>
          </cell>
          <cell r="K3579">
            <v>0</v>
          </cell>
          <cell r="M3579">
            <v>0</v>
          </cell>
          <cell r="P3579">
            <v>6472</v>
          </cell>
          <cell r="V3579" t="str">
            <v>Available</v>
          </cell>
        </row>
        <row r="3580">
          <cell r="E3580">
            <v>10140032</v>
          </cell>
          <cell r="H3580">
            <v>40</v>
          </cell>
          <cell r="I3580">
            <v>1230.4000000000001</v>
          </cell>
          <cell r="J3580">
            <v>0</v>
          </cell>
          <cell r="K3580">
            <v>0</v>
          </cell>
          <cell r="M3580">
            <v>0</v>
          </cell>
          <cell r="P3580">
            <v>730</v>
          </cell>
          <cell r="V3580" t="str">
            <v>Available</v>
          </cell>
        </row>
        <row r="3581">
          <cell r="E3581">
            <v>10140032</v>
          </cell>
          <cell r="H3581">
            <v>13</v>
          </cell>
          <cell r="I3581">
            <v>399.88</v>
          </cell>
          <cell r="J3581">
            <v>0</v>
          </cell>
          <cell r="K3581">
            <v>0</v>
          </cell>
          <cell r="M3581">
            <v>0</v>
          </cell>
          <cell r="P3581">
            <v>400</v>
          </cell>
          <cell r="V3581" t="str">
            <v>Available</v>
          </cell>
        </row>
        <row r="3582">
          <cell r="E3582">
            <v>10140033</v>
          </cell>
          <cell r="H3582">
            <v>30.5</v>
          </cell>
          <cell r="I3582">
            <v>1021.75</v>
          </cell>
          <cell r="J3582">
            <v>0</v>
          </cell>
          <cell r="K3582">
            <v>0</v>
          </cell>
          <cell r="M3582">
            <v>0</v>
          </cell>
          <cell r="P3582">
            <v>1022</v>
          </cell>
          <cell r="V3582" t="str">
            <v>Available</v>
          </cell>
        </row>
        <row r="3583">
          <cell r="E3583">
            <v>10140034</v>
          </cell>
          <cell r="H3583">
            <v>2.5</v>
          </cell>
          <cell r="I3583">
            <v>92.06</v>
          </cell>
          <cell r="J3583">
            <v>0</v>
          </cell>
          <cell r="K3583">
            <v>92.06</v>
          </cell>
          <cell r="M3583">
            <v>0</v>
          </cell>
          <cell r="P3583">
            <v>0</v>
          </cell>
          <cell r="V3583" t="str">
            <v>Not Available</v>
          </cell>
        </row>
        <row r="3584">
          <cell r="E3584">
            <v>10140034</v>
          </cell>
          <cell r="H3584">
            <v>201.4</v>
          </cell>
          <cell r="I3584">
            <v>8565.4700000000012</v>
          </cell>
          <cell r="J3584">
            <v>0</v>
          </cell>
          <cell r="K3584">
            <v>0</v>
          </cell>
          <cell r="M3584">
            <v>0</v>
          </cell>
          <cell r="P3584">
            <v>5988</v>
          </cell>
          <cell r="V3584" t="str">
            <v>Available</v>
          </cell>
        </row>
        <row r="3585">
          <cell r="E3585">
            <v>10140034</v>
          </cell>
          <cell r="H3585">
            <v>183.90000000000003</v>
          </cell>
          <cell r="I3585">
            <v>6950.34</v>
          </cell>
          <cell r="J3585">
            <v>0</v>
          </cell>
          <cell r="K3585">
            <v>0</v>
          </cell>
          <cell r="M3585">
            <v>0</v>
          </cell>
          <cell r="P3585">
            <v>6950</v>
          </cell>
          <cell r="V3585" t="str">
            <v>Available</v>
          </cell>
        </row>
        <row r="3586">
          <cell r="E3586">
            <v>10140034</v>
          </cell>
          <cell r="H3586">
            <v>144.70000000000002</v>
          </cell>
          <cell r="I3586">
            <v>5473.4000000000005</v>
          </cell>
          <cell r="J3586">
            <v>0</v>
          </cell>
          <cell r="K3586">
            <v>0</v>
          </cell>
          <cell r="M3586">
            <v>0</v>
          </cell>
          <cell r="P3586">
            <v>5473</v>
          </cell>
          <cell r="V3586" t="str">
            <v>Available</v>
          </cell>
        </row>
        <row r="3587">
          <cell r="E3587">
            <v>10140039</v>
          </cell>
          <cell r="H3587">
            <v>3.3000000000000003</v>
          </cell>
          <cell r="I3587">
            <v>121.10000000000001</v>
          </cell>
          <cell r="J3587">
            <v>0</v>
          </cell>
          <cell r="K3587">
            <v>121.10000000000001</v>
          </cell>
          <cell r="M3587">
            <v>0</v>
          </cell>
          <cell r="P3587">
            <v>0</v>
          </cell>
          <cell r="V3587" t="str">
            <v>Not Available</v>
          </cell>
        </row>
        <row r="3588">
          <cell r="E3588">
            <v>10140039</v>
          </cell>
          <cell r="H3588">
            <v>8.9</v>
          </cell>
          <cell r="I3588">
            <v>336.28</v>
          </cell>
          <cell r="J3588">
            <v>0</v>
          </cell>
          <cell r="K3588">
            <v>0</v>
          </cell>
          <cell r="M3588">
            <v>0</v>
          </cell>
          <cell r="P3588">
            <v>336</v>
          </cell>
          <cell r="V3588" t="str">
            <v>Available</v>
          </cell>
        </row>
        <row r="3589">
          <cell r="E3589">
            <v>10140039</v>
          </cell>
          <cell r="H3589">
            <v>32.299999999999997</v>
          </cell>
          <cell r="I3589">
            <v>1272.78</v>
          </cell>
          <cell r="J3589">
            <v>0</v>
          </cell>
          <cell r="K3589">
            <v>0</v>
          </cell>
          <cell r="M3589">
            <v>0</v>
          </cell>
          <cell r="P3589">
            <v>1273</v>
          </cell>
          <cell r="V3589" t="str">
            <v>Available</v>
          </cell>
        </row>
        <row r="3590">
          <cell r="E3590">
            <v>10140039</v>
          </cell>
          <cell r="H3590">
            <v>3.8</v>
          </cell>
          <cell r="I3590">
            <v>121.64</v>
          </cell>
          <cell r="J3590">
            <v>0</v>
          </cell>
          <cell r="K3590">
            <v>0</v>
          </cell>
          <cell r="M3590">
            <v>0</v>
          </cell>
          <cell r="P3590">
            <v>122</v>
          </cell>
          <cell r="V3590" t="str">
            <v>Available</v>
          </cell>
        </row>
        <row r="3591">
          <cell r="E3591">
            <v>10140039</v>
          </cell>
          <cell r="H3591">
            <v>6.7</v>
          </cell>
          <cell r="I3591">
            <v>280.32</v>
          </cell>
          <cell r="J3591">
            <v>0</v>
          </cell>
          <cell r="K3591">
            <v>0</v>
          </cell>
          <cell r="M3591">
            <v>0</v>
          </cell>
          <cell r="P3591">
            <v>280</v>
          </cell>
          <cell r="V3591" t="str">
            <v>Available</v>
          </cell>
        </row>
        <row r="3592">
          <cell r="E3592">
            <v>10140039</v>
          </cell>
          <cell r="H3592">
            <v>5.8000000000000007</v>
          </cell>
          <cell r="I3592">
            <v>255.74</v>
          </cell>
          <cell r="J3592">
            <v>0</v>
          </cell>
          <cell r="K3592">
            <v>0</v>
          </cell>
          <cell r="M3592">
            <v>0</v>
          </cell>
          <cell r="P3592">
            <v>256</v>
          </cell>
          <cell r="V3592" t="str">
            <v>Available</v>
          </cell>
        </row>
        <row r="3593">
          <cell r="E3593">
            <v>10140039</v>
          </cell>
          <cell r="H3593">
            <v>75.699999999999989</v>
          </cell>
          <cell r="I3593">
            <v>2533.5499999999993</v>
          </cell>
          <cell r="J3593">
            <v>0</v>
          </cell>
          <cell r="K3593">
            <v>0</v>
          </cell>
          <cell r="M3593">
            <v>0</v>
          </cell>
          <cell r="P3593">
            <v>2534</v>
          </cell>
          <cell r="V3593" t="str">
            <v>Available</v>
          </cell>
        </row>
        <row r="3594">
          <cell r="E3594">
            <v>10140039</v>
          </cell>
          <cell r="H3594">
            <v>14.7</v>
          </cell>
          <cell r="I3594">
            <v>495.87</v>
          </cell>
          <cell r="J3594">
            <v>0</v>
          </cell>
          <cell r="K3594">
            <v>0</v>
          </cell>
          <cell r="M3594">
            <v>0</v>
          </cell>
          <cell r="P3594">
            <v>496</v>
          </cell>
          <cell r="V3594" t="str">
            <v>Available</v>
          </cell>
        </row>
        <row r="3595">
          <cell r="E3595">
            <v>10140039</v>
          </cell>
          <cell r="H3595">
            <v>21.2</v>
          </cell>
          <cell r="I3595">
            <v>1319.55</v>
          </cell>
          <cell r="J3595">
            <v>0</v>
          </cell>
          <cell r="K3595">
            <v>0</v>
          </cell>
          <cell r="M3595">
            <v>0</v>
          </cell>
          <cell r="P3595">
            <v>1320</v>
          </cell>
          <cell r="V3595" t="str">
            <v>Available</v>
          </cell>
        </row>
        <row r="3596">
          <cell r="E3596">
            <v>10140041</v>
          </cell>
          <cell r="H3596">
            <v>343</v>
          </cell>
          <cell r="I3596">
            <v>12787.04</v>
          </cell>
          <cell r="J3596">
            <v>0</v>
          </cell>
          <cell r="K3596">
            <v>0</v>
          </cell>
          <cell r="M3596">
            <v>0</v>
          </cell>
          <cell r="P3596">
            <v>12287</v>
          </cell>
          <cell r="V3596" t="str">
            <v>Available</v>
          </cell>
        </row>
        <row r="3597">
          <cell r="E3597">
            <v>10140043</v>
          </cell>
          <cell r="H3597">
            <v>19.5</v>
          </cell>
          <cell r="I3597">
            <v>886.28</v>
          </cell>
          <cell r="J3597">
            <v>0</v>
          </cell>
          <cell r="K3597">
            <v>0</v>
          </cell>
          <cell r="M3597">
            <v>0</v>
          </cell>
          <cell r="P3597">
            <v>386</v>
          </cell>
          <cell r="V3597" t="str">
            <v>Available</v>
          </cell>
        </row>
        <row r="3598">
          <cell r="E3598">
            <v>10140043</v>
          </cell>
          <cell r="H3598">
            <v>100</v>
          </cell>
          <cell r="I3598">
            <v>4545</v>
          </cell>
          <cell r="J3598">
            <v>0</v>
          </cell>
          <cell r="K3598">
            <v>0</v>
          </cell>
          <cell r="M3598">
            <v>0</v>
          </cell>
          <cell r="P3598">
            <v>4545</v>
          </cell>
          <cell r="V3598" t="str">
            <v>Available</v>
          </cell>
        </row>
        <row r="3599">
          <cell r="E3599">
            <v>10140045</v>
          </cell>
          <cell r="H3599">
            <v>100</v>
          </cell>
          <cell r="I3599">
            <v>3989</v>
          </cell>
          <cell r="J3599">
            <v>0</v>
          </cell>
          <cell r="K3599">
            <v>0</v>
          </cell>
          <cell r="M3599">
            <v>0</v>
          </cell>
          <cell r="P3599">
            <v>3989</v>
          </cell>
          <cell r="V3599" t="str">
            <v>Available</v>
          </cell>
        </row>
        <row r="3600">
          <cell r="E3600">
            <v>10140045</v>
          </cell>
          <cell r="H3600">
            <v>26</v>
          </cell>
          <cell r="I3600">
            <v>1037.1400000000001</v>
          </cell>
          <cell r="J3600">
            <v>0</v>
          </cell>
          <cell r="K3600">
            <v>0</v>
          </cell>
          <cell r="M3600">
            <v>0</v>
          </cell>
          <cell r="P3600">
            <v>1037</v>
          </cell>
          <cell r="V3600" t="str">
            <v>Available</v>
          </cell>
        </row>
        <row r="3601">
          <cell r="E3601">
            <v>10140047</v>
          </cell>
          <cell r="H3601">
            <v>2.0900000000000003</v>
          </cell>
          <cell r="I3601">
            <v>87.56</v>
          </cell>
          <cell r="J3601">
            <v>0</v>
          </cell>
          <cell r="K3601">
            <v>87.56</v>
          </cell>
          <cell r="M3601">
            <v>0</v>
          </cell>
          <cell r="P3601">
            <v>0</v>
          </cell>
          <cell r="V3601" t="str">
            <v>Not Available</v>
          </cell>
        </row>
        <row r="3602">
          <cell r="E3602">
            <v>10140047</v>
          </cell>
          <cell r="H3602">
            <v>152.17000000000002</v>
          </cell>
          <cell r="I3602">
            <v>6070.5199999999995</v>
          </cell>
          <cell r="J3602">
            <v>0</v>
          </cell>
          <cell r="K3602">
            <v>0</v>
          </cell>
          <cell r="M3602">
            <v>0</v>
          </cell>
          <cell r="P3602">
            <v>4323</v>
          </cell>
          <cell r="V3602" t="str">
            <v>Available</v>
          </cell>
        </row>
        <row r="3603">
          <cell r="E3603">
            <v>10140047</v>
          </cell>
          <cell r="H3603">
            <v>15.77</v>
          </cell>
          <cell r="I3603">
            <v>661.38</v>
          </cell>
          <cell r="J3603">
            <v>0</v>
          </cell>
          <cell r="K3603">
            <v>0</v>
          </cell>
          <cell r="M3603">
            <v>0</v>
          </cell>
          <cell r="P3603">
            <v>661</v>
          </cell>
          <cell r="V3603" t="str">
            <v>Available</v>
          </cell>
        </row>
        <row r="3604">
          <cell r="E3604">
            <v>10140047</v>
          </cell>
          <cell r="H3604">
            <v>103.33</v>
          </cell>
          <cell r="I3604">
            <v>4123.1799999999994</v>
          </cell>
          <cell r="J3604">
            <v>0</v>
          </cell>
          <cell r="K3604">
            <v>0</v>
          </cell>
          <cell r="M3604">
            <v>0</v>
          </cell>
          <cell r="P3604">
            <v>4123</v>
          </cell>
          <cell r="V3604" t="str">
            <v>Available</v>
          </cell>
        </row>
        <row r="3605">
          <cell r="E3605">
            <v>10140047</v>
          </cell>
          <cell r="H3605">
            <v>38.1</v>
          </cell>
          <cell r="I3605">
            <v>2041.69</v>
          </cell>
          <cell r="J3605">
            <v>0</v>
          </cell>
          <cell r="K3605">
            <v>0</v>
          </cell>
          <cell r="M3605">
            <v>0</v>
          </cell>
          <cell r="P3605">
            <v>2042</v>
          </cell>
          <cell r="V3605" t="str">
            <v>Available</v>
          </cell>
        </row>
        <row r="3606">
          <cell r="E3606">
            <v>10140048</v>
          </cell>
          <cell r="H3606">
            <v>115.78000000000002</v>
          </cell>
          <cell r="I3606">
            <v>4926.6200000000008</v>
          </cell>
          <cell r="J3606">
            <v>0</v>
          </cell>
          <cell r="K3606">
            <v>0</v>
          </cell>
          <cell r="M3606">
            <v>0</v>
          </cell>
          <cell r="P3606">
            <v>4927</v>
          </cell>
          <cell r="V3606" t="str">
            <v>Available</v>
          </cell>
        </row>
        <row r="3607">
          <cell r="E3607">
            <v>10140054</v>
          </cell>
          <cell r="H3607">
            <v>2.1999999999999997</v>
          </cell>
          <cell r="I3607">
            <v>103</v>
          </cell>
          <cell r="J3607">
            <v>0</v>
          </cell>
          <cell r="K3607">
            <v>103</v>
          </cell>
          <cell r="M3607">
            <v>0</v>
          </cell>
          <cell r="P3607">
            <v>0</v>
          </cell>
          <cell r="V3607" t="str">
            <v>Not Available</v>
          </cell>
        </row>
        <row r="3608">
          <cell r="E3608">
            <v>10140054</v>
          </cell>
          <cell r="H3608">
            <v>36.18</v>
          </cell>
          <cell r="I3608">
            <v>1686.09</v>
          </cell>
          <cell r="J3608">
            <v>0</v>
          </cell>
          <cell r="K3608">
            <v>0</v>
          </cell>
          <cell r="M3608">
            <v>0</v>
          </cell>
          <cell r="P3608">
            <v>1564</v>
          </cell>
          <cell r="V3608" t="str">
            <v>Available</v>
          </cell>
        </row>
        <row r="3609">
          <cell r="E3609">
            <v>10140054</v>
          </cell>
          <cell r="H3609">
            <v>10.72</v>
          </cell>
          <cell r="I3609">
            <v>906.91000000000008</v>
          </cell>
          <cell r="J3609">
            <v>0</v>
          </cell>
          <cell r="K3609">
            <v>0</v>
          </cell>
          <cell r="M3609">
            <v>0</v>
          </cell>
          <cell r="P3609">
            <v>907</v>
          </cell>
          <cell r="V3609" t="str">
            <v>Available</v>
          </cell>
        </row>
        <row r="3610">
          <cell r="E3610">
            <v>10140054</v>
          </cell>
          <cell r="H3610">
            <v>25.99</v>
          </cell>
          <cell r="I3610">
            <v>1232.6299999999999</v>
          </cell>
          <cell r="J3610">
            <v>0</v>
          </cell>
          <cell r="K3610">
            <v>0</v>
          </cell>
          <cell r="M3610">
            <v>0</v>
          </cell>
          <cell r="P3610">
            <v>1233</v>
          </cell>
          <cell r="V3610" t="str">
            <v>Available</v>
          </cell>
        </row>
        <row r="3611">
          <cell r="E3611">
            <v>10140054</v>
          </cell>
          <cell r="H3611">
            <v>21.82</v>
          </cell>
          <cell r="I3611">
            <v>1067.53</v>
          </cell>
          <cell r="J3611">
            <v>0</v>
          </cell>
          <cell r="K3611">
            <v>0</v>
          </cell>
          <cell r="M3611">
            <v>0</v>
          </cell>
          <cell r="P3611">
            <v>1068</v>
          </cell>
          <cell r="V3611" t="str">
            <v>Available</v>
          </cell>
        </row>
        <row r="3612">
          <cell r="E3612">
            <v>10140054</v>
          </cell>
          <cell r="H3612">
            <v>28.18</v>
          </cell>
          <cell r="I3612">
            <v>957.48</v>
          </cell>
          <cell r="J3612">
            <v>0</v>
          </cell>
          <cell r="K3612">
            <v>0</v>
          </cell>
          <cell r="M3612">
            <v>0</v>
          </cell>
          <cell r="P3612">
            <v>957</v>
          </cell>
          <cell r="V3612" t="str">
            <v>Available</v>
          </cell>
        </row>
        <row r="3613">
          <cell r="E3613">
            <v>10140055</v>
          </cell>
          <cell r="H3613">
            <v>120</v>
          </cell>
          <cell r="I3613">
            <v>4570.8</v>
          </cell>
          <cell r="J3613">
            <v>0</v>
          </cell>
          <cell r="K3613">
            <v>0</v>
          </cell>
          <cell r="M3613">
            <v>0</v>
          </cell>
          <cell r="P3613">
            <v>4571</v>
          </cell>
          <cell r="V3613" t="str">
            <v>Available</v>
          </cell>
        </row>
        <row r="3614">
          <cell r="E3614">
            <v>10140055</v>
          </cell>
          <cell r="H3614">
            <v>20</v>
          </cell>
          <cell r="I3614">
            <v>761.8</v>
          </cell>
          <cell r="J3614">
            <v>0</v>
          </cell>
          <cell r="K3614">
            <v>0</v>
          </cell>
          <cell r="M3614">
            <v>0</v>
          </cell>
          <cell r="P3614">
            <v>762</v>
          </cell>
          <cell r="V3614" t="str">
            <v>Available</v>
          </cell>
        </row>
        <row r="3615">
          <cell r="E3615">
            <v>10140058</v>
          </cell>
          <cell r="H3615">
            <v>51.7</v>
          </cell>
          <cell r="I3615">
            <v>1925.83</v>
          </cell>
          <cell r="J3615">
            <v>0</v>
          </cell>
          <cell r="K3615">
            <v>0</v>
          </cell>
          <cell r="M3615">
            <v>0</v>
          </cell>
          <cell r="P3615">
            <v>1926</v>
          </cell>
          <cell r="V3615" t="str">
            <v>Available</v>
          </cell>
        </row>
        <row r="3616">
          <cell r="E3616">
            <v>10140058</v>
          </cell>
          <cell r="H3616">
            <v>100</v>
          </cell>
          <cell r="I3616">
            <v>3725</v>
          </cell>
          <cell r="J3616">
            <v>0</v>
          </cell>
          <cell r="K3616">
            <v>0</v>
          </cell>
          <cell r="M3616">
            <v>0</v>
          </cell>
          <cell r="P3616">
            <v>3725</v>
          </cell>
          <cell r="V3616" t="str">
            <v>Available</v>
          </cell>
        </row>
        <row r="3617">
          <cell r="E3617">
            <v>10140068</v>
          </cell>
          <cell r="H3617">
            <v>271.01</v>
          </cell>
          <cell r="I3617">
            <v>10487.77</v>
          </cell>
          <cell r="J3617">
            <v>0</v>
          </cell>
          <cell r="K3617">
            <v>0</v>
          </cell>
          <cell r="M3617">
            <v>0</v>
          </cell>
          <cell r="P3617">
            <v>10100</v>
          </cell>
          <cell r="V3617" t="str">
            <v>Available</v>
          </cell>
        </row>
        <row r="3618">
          <cell r="E3618">
            <v>10140068</v>
          </cell>
          <cell r="H3618">
            <v>16.549999999999997</v>
          </cell>
          <cell r="I3618">
            <v>715.86</v>
          </cell>
          <cell r="J3618">
            <v>0</v>
          </cell>
          <cell r="K3618">
            <v>0</v>
          </cell>
          <cell r="M3618">
            <v>0</v>
          </cell>
          <cell r="P3618">
            <v>716</v>
          </cell>
          <cell r="V3618" t="str">
            <v>Available</v>
          </cell>
        </row>
        <row r="3619">
          <cell r="E3619">
            <v>10140069</v>
          </cell>
          <cell r="H3619">
            <v>184.40000000000003</v>
          </cell>
          <cell r="I3619">
            <v>6838.96</v>
          </cell>
          <cell r="J3619">
            <v>0</v>
          </cell>
          <cell r="K3619">
            <v>0</v>
          </cell>
          <cell r="M3619">
            <v>0</v>
          </cell>
          <cell r="P3619">
            <v>6839</v>
          </cell>
          <cell r="V3619" t="str">
            <v>Available</v>
          </cell>
        </row>
        <row r="3620">
          <cell r="E3620">
            <v>10140069</v>
          </cell>
          <cell r="H3620">
            <v>122.7</v>
          </cell>
          <cell r="I3620">
            <v>5194.5199999999986</v>
          </cell>
          <cell r="J3620">
            <v>0</v>
          </cell>
          <cell r="K3620">
            <v>0</v>
          </cell>
          <cell r="M3620">
            <v>0</v>
          </cell>
          <cell r="P3620">
            <v>5195</v>
          </cell>
          <cell r="V3620" t="str">
            <v>Available</v>
          </cell>
        </row>
        <row r="3621">
          <cell r="E3621">
            <v>10140083</v>
          </cell>
          <cell r="H3621">
            <v>4.5</v>
          </cell>
          <cell r="I3621">
            <v>196.86</v>
          </cell>
          <cell r="J3621">
            <v>0</v>
          </cell>
          <cell r="K3621">
            <v>196.86</v>
          </cell>
          <cell r="M3621">
            <v>0</v>
          </cell>
          <cell r="P3621">
            <v>0</v>
          </cell>
          <cell r="V3621" t="str">
            <v>Not Available</v>
          </cell>
        </row>
        <row r="3622">
          <cell r="E3622">
            <v>10140083</v>
          </cell>
          <cell r="H3622">
            <v>506.99999999999994</v>
          </cell>
          <cell r="I3622">
            <v>21469.119999999999</v>
          </cell>
          <cell r="J3622">
            <v>0</v>
          </cell>
          <cell r="K3622">
            <v>0</v>
          </cell>
          <cell r="M3622">
            <v>0</v>
          </cell>
          <cell r="P3622">
            <v>11971</v>
          </cell>
          <cell r="V3622" t="str">
            <v>Available</v>
          </cell>
        </row>
        <row r="3623">
          <cell r="E3623">
            <v>10140083</v>
          </cell>
          <cell r="H3623">
            <v>23</v>
          </cell>
          <cell r="I3623">
            <v>838.98</v>
          </cell>
          <cell r="J3623">
            <v>0</v>
          </cell>
          <cell r="K3623">
            <v>0</v>
          </cell>
          <cell r="M3623">
            <v>0</v>
          </cell>
          <cell r="P3623">
            <v>839</v>
          </cell>
          <cell r="V3623" t="str">
            <v>Not Available</v>
          </cell>
        </row>
        <row r="3624">
          <cell r="E3624">
            <v>10140083</v>
          </cell>
          <cell r="H3624">
            <v>7.1</v>
          </cell>
          <cell r="I3624">
            <v>389.15</v>
          </cell>
          <cell r="J3624">
            <v>0</v>
          </cell>
          <cell r="K3624">
            <v>0</v>
          </cell>
          <cell r="M3624">
            <v>0</v>
          </cell>
          <cell r="P3624">
            <v>389</v>
          </cell>
          <cell r="V3624" t="str">
            <v>Not Available</v>
          </cell>
        </row>
        <row r="3625">
          <cell r="E3625">
            <v>10140083</v>
          </cell>
          <cell r="H3625">
            <v>7.3</v>
          </cell>
          <cell r="I3625">
            <v>321.64</v>
          </cell>
          <cell r="J3625">
            <v>0</v>
          </cell>
          <cell r="K3625">
            <v>0</v>
          </cell>
          <cell r="M3625">
            <v>0</v>
          </cell>
          <cell r="P3625">
            <v>322</v>
          </cell>
          <cell r="V3625" t="str">
            <v>Not Available</v>
          </cell>
        </row>
        <row r="3626">
          <cell r="E3626">
            <v>10140083</v>
          </cell>
          <cell r="H3626">
            <v>14.4</v>
          </cell>
          <cell r="I3626">
            <v>695.24</v>
          </cell>
          <cell r="J3626">
            <v>0</v>
          </cell>
          <cell r="K3626">
            <v>0</v>
          </cell>
          <cell r="M3626">
            <v>0</v>
          </cell>
          <cell r="P3626">
            <v>695</v>
          </cell>
          <cell r="V3626" t="str">
            <v>Not Available</v>
          </cell>
        </row>
        <row r="3627">
          <cell r="E3627">
            <v>10140083</v>
          </cell>
          <cell r="H3627">
            <v>13.4</v>
          </cell>
          <cell r="I3627">
            <v>475.14</v>
          </cell>
          <cell r="J3627">
            <v>0</v>
          </cell>
          <cell r="K3627">
            <v>0</v>
          </cell>
          <cell r="M3627">
            <v>0</v>
          </cell>
          <cell r="P3627">
            <v>475</v>
          </cell>
          <cell r="V3627" t="str">
            <v>Not Available</v>
          </cell>
        </row>
        <row r="3628">
          <cell r="E3628">
            <v>10140083</v>
          </cell>
          <cell r="H3628">
            <v>45.1</v>
          </cell>
          <cell r="I3628">
            <v>2062.13</v>
          </cell>
          <cell r="J3628">
            <v>0</v>
          </cell>
          <cell r="K3628">
            <v>0</v>
          </cell>
          <cell r="M3628">
            <v>0</v>
          </cell>
          <cell r="P3628">
            <v>2062</v>
          </cell>
          <cell r="V3628" t="str">
            <v>Not Available</v>
          </cell>
        </row>
        <row r="3629">
          <cell r="E3629">
            <v>10140083</v>
          </cell>
          <cell r="H3629">
            <v>12.3</v>
          </cell>
          <cell r="I3629">
            <v>578.99</v>
          </cell>
          <cell r="J3629">
            <v>0</v>
          </cell>
          <cell r="K3629">
            <v>0</v>
          </cell>
          <cell r="M3629">
            <v>0</v>
          </cell>
          <cell r="P3629">
            <v>579</v>
          </cell>
          <cell r="V3629" t="str">
            <v>Not Available</v>
          </cell>
        </row>
        <row r="3630">
          <cell r="E3630">
            <v>10140083</v>
          </cell>
          <cell r="H3630">
            <v>57.100000000000009</v>
          </cell>
          <cell r="I3630">
            <v>2771.03</v>
          </cell>
          <cell r="J3630">
            <v>0</v>
          </cell>
          <cell r="K3630">
            <v>0</v>
          </cell>
          <cell r="M3630">
            <v>0</v>
          </cell>
          <cell r="P3630">
            <v>2771</v>
          </cell>
          <cell r="V3630" t="str">
            <v>Not Available</v>
          </cell>
        </row>
        <row r="3631">
          <cell r="E3631">
            <v>10140083</v>
          </cell>
          <cell r="H3631">
            <v>33.1</v>
          </cell>
          <cell r="I3631">
            <v>1530.15</v>
          </cell>
          <cell r="J3631">
            <v>0</v>
          </cell>
          <cell r="K3631">
            <v>0</v>
          </cell>
          <cell r="M3631">
            <v>0</v>
          </cell>
          <cell r="P3631">
            <v>1530</v>
          </cell>
          <cell r="V3631" t="str">
            <v>Not Available</v>
          </cell>
        </row>
        <row r="3632">
          <cell r="E3632">
            <v>10140083</v>
          </cell>
          <cell r="H3632">
            <v>7.7</v>
          </cell>
          <cell r="I3632">
            <v>377.84</v>
          </cell>
          <cell r="J3632">
            <v>0</v>
          </cell>
          <cell r="K3632">
            <v>0</v>
          </cell>
          <cell r="M3632">
            <v>0</v>
          </cell>
          <cell r="P3632">
            <v>378</v>
          </cell>
          <cell r="V3632" t="str">
            <v>Not Available</v>
          </cell>
        </row>
        <row r="3633">
          <cell r="E3633">
            <v>10140087</v>
          </cell>
          <cell r="H3633">
            <v>150.72999999999999</v>
          </cell>
          <cell r="I3633">
            <v>6233</v>
          </cell>
          <cell r="J3633">
            <v>0</v>
          </cell>
          <cell r="K3633">
            <v>0</v>
          </cell>
          <cell r="M3633">
            <v>0</v>
          </cell>
          <cell r="P3633">
            <v>6233</v>
          </cell>
          <cell r="V3633" t="str">
            <v>Available</v>
          </cell>
        </row>
        <row r="3634">
          <cell r="E3634">
            <v>10140087</v>
          </cell>
          <cell r="H3634">
            <v>21.009999999999998</v>
          </cell>
          <cell r="I3634">
            <v>763.8900000000001</v>
          </cell>
          <cell r="J3634">
            <v>0</v>
          </cell>
          <cell r="K3634">
            <v>0</v>
          </cell>
          <cell r="M3634">
            <v>0</v>
          </cell>
          <cell r="P3634">
            <v>764</v>
          </cell>
          <cell r="V3634" t="str">
            <v>Available</v>
          </cell>
        </row>
        <row r="3635">
          <cell r="E3635">
            <v>10140087</v>
          </cell>
          <cell r="H3635">
            <v>32.809999999999995</v>
          </cell>
          <cell r="I3635">
            <v>2486.1999999999998</v>
          </cell>
          <cell r="J3635">
            <v>0</v>
          </cell>
          <cell r="K3635">
            <v>0</v>
          </cell>
          <cell r="M3635">
            <v>0</v>
          </cell>
          <cell r="P3635">
            <v>2486</v>
          </cell>
          <cell r="V3635" t="str">
            <v>Available</v>
          </cell>
        </row>
        <row r="3636">
          <cell r="E3636">
            <v>10140095</v>
          </cell>
          <cell r="H3636">
            <v>3.8</v>
          </cell>
          <cell r="I3636">
            <v>143.44999999999999</v>
          </cell>
          <cell r="J3636">
            <v>0</v>
          </cell>
          <cell r="K3636">
            <v>0</v>
          </cell>
          <cell r="M3636">
            <v>0</v>
          </cell>
          <cell r="P3636">
            <v>0</v>
          </cell>
          <cell r="V3636" t="str">
            <v>Available</v>
          </cell>
        </row>
        <row r="3637">
          <cell r="E3637">
            <v>10140095</v>
          </cell>
          <cell r="H3637">
            <v>4.2</v>
          </cell>
          <cell r="I3637">
            <v>120.04</v>
          </cell>
          <cell r="J3637">
            <v>0</v>
          </cell>
          <cell r="K3637">
            <v>0</v>
          </cell>
          <cell r="M3637">
            <v>0</v>
          </cell>
          <cell r="P3637">
            <v>120</v>
          </cell>
          <cell r="V3637" t="str">
            <v>Not Available</v>
          </cell>
        </row>
        <row r="3638">
          <cell r="E3638">
            <v>10140095</v>
          </cell>
          <cell r="H3638">
            <v>4.5</v>
          </cell>
          <cell r="I3638">
            <v>194.54</v>
          </cell>
          <cell r="J3638">
            <v>0</v>
          </cell>
          <cell r="K3638">
            <v>0</v>
          </cell>
          <cell r="M3638">
            <v>0</v>
          </cell>
          <cell r="P3638">
            <v>195</v>
          </cell>
          <cell r="V3638" t="str">
            <v>Available</v>
          </cell>
        </row>
        <row r="3639">
          <cell r="E3639">
            <v>10140098</v>
          </cell>
          <cell r="H3639">
            <v>10.91</v>
          </cell>
          <cell r="I3639">
            <v>444.87</v>
          </cell>
          <cell r="J3639">
            <v>0</v>
          </cell>
          <cell r="K3639">
            <v>444.87</v>
          </cell>
          <cell r="M3639">
            <v>0</v>
          </cell>
          <cell r="P3639">
            <v>0</v>
          </cell>
          <cell r="V3639" t="str">
            <v>Not Available</v>
          </cell>
        </row>
        <row r="3640">
          <cell r="E3640">
            <v>10140098</v>
          </cell>
          <cell r="H3640">
            <v>536.67000000000007</v>
          </cell>
          <cell r="I3640">
            <v>22912.989999999998</v>
          </cell>
          <cell r="J3640">
            <v>0</v>
          </cell>
          <cell r="K3640">
            <v>0</v>
          </cell>
          <cell r="M3640">
            <v>0</v>
          </cell>
          <cell r="P3640">
            <v>22913</v>
          </cell>
          <cell r="V3640" t="str">
            <v>Available</v>
          </cell>
        </row>
        <row r="3641">
          <cell r="E3641">
            <v>10140098</v>
          </cell>
          <cell r="H3641">
            <v>318.15999999999997</v>
          </cell>
          <cell r="I3641">
            <v>12623.130000000001</v>
          </cell>
          <cell r="J3641">
            <v>0</v>
          </cell>
          <cell r="K3641">
            <v>0</v>
          </cell>
          <cell r="M3641">
            <v>0</v>
          </cell>
          <cell r="P3641">
            <v>12623</v>
          </cell>
          <cell r="V3641" t="str">
            <v>Available</v>
          </cell>
        </row>
        <row r="3642">
          <cell r="E3642">
            <v>10140098</v>
          </cell>
          <cell r="H3642">
            <v>28.31</v>
          </cell>
          <cell r="I3642">
            <v>1123.8000000000002</v>
          </cell>
          <cell r="J3642">
            <v>0</v>
          </cell>
          <cell r="K3642">
            <v>0</v>
          </cell>
          <cell r="M3642">
            <v>0</v>
          </cell>
          <cell r="P3642">
            <v>1124</v>
          </cell>
          <cell r="V3642" t="str">
            <v>Available</v>
          </cell>
        </row>
        <row r="3643">
          <cell r="E3643">
            <v>10140099</v>
          </cell>
          <cell r="H3643">
            <v>27.830000000000002</v>
          </cell>
          <cell r="I3643">
            <v>1102.1499999999999</v>
          </cell>
          <cell r="J3643">
            <v>0</v>
          </cell>
          <cell r="K3643">
            <v>0</v>
          </cell>
          <cell r="M3643">
            <v>0</v>
          </cell>
          <cell r="P3643">
            <v>977</v>
          </cell>
          <cell r="V3643" t="str">
            <v>Available</v>
          </cell>
        </row>
        <row r="3644">
          <cell r="E3644">
            <v>10140099</v>
          </cell>
          <cell r="H3644">
            <v>17.889999999999997</v>
          </cell>
          <cell r="I3644">
            <v>618.85</v>
          </cell>
          <cell r="J3644">
            <v>0</v>
          </cell>
          <cell r="K3644">
            <v>0</v>
          </cell>
          <cell r="M3644">
            <v>0</v>
          </cell>
          <cell r="P3644">
            <v>619</v>
          </cell>
          <cell r="V3644" t="str">
            <v>Available</v>
          </cell>
        </row>
        <row r="3645">
          <cell r="E3645">
            <v>10140099</v>
          </cell>
          <cell r="H3645">
            <v>23.97</v>
          </cell>
          <cell r="I3645">
            <v>827.28000000000009</v>
          </cell>
          <cell r="J3645">
            <v>0</v>
          </cell>
          <cell r="K3645">
            <v>0</v>
          </cell>
          <cell r="M3645">
            <v>0</v>
          </cell>
          <cell r="P3645">
            <v>827</v>
          </cell>
          <cell r="V3645" t="str">
            <v>Available</v>
          </cell>
        </row>
        <row r="3646">
          <cell r="E3646">
            <v>10140099</v>
          </cell>
          <cell r="H3646">
            <v>21.44</v>
          </cell>
          <cell r="I3646">
            <v>961.11000000000013</v>
          </cell>
          <cell r="J3646">
            <v>0</v>
          </cell>
          <cell r="K3646">
            <v>0</v>
          </cell>
          <cell r="M3646">
            <v>0</v>
          </cell>
          <cell r="P3646">
            <v>961</v>
          </cell>
          <cell r="V3646" t="str">
            <v>Available</v>
          </cell>
        </row>
        <row r="3647">
          <cell r="E3647">
            <v>10140099</v>
          </cell>
          <cell r="H3647">
            <v>16.420000000000002</v>
          </cell>
          <cell r="I3647">
            <v>590.44000000000005</v>
          </cell>
          <cell r="J3647">
            <v>0</v>
          </cell>
          <cell r="K3647">
            <v>0</v>
          </cell>
          <cell r="M3647">
            <v>0</v>
          </cell>
          <cell r="P3647">
            <v>590</v>
          </cell>
          <cell r="V3647" t="str">
            <v>Available</v>
          </cell>
        </row>
        <row r="3648">
          <cell r="E3648">
            <v>10140120</v>
          </cell>
          <cell r="H3648">
            <v>9.02</v>
          </cell>
          <cell r="I3648">
            <v>354.96999999999997</v>
          </cell>
          <cell r="J3648">
            <v>0</v>
          </cell>
          <cell r="K3648">
            <v>354.96999999999997</v>
          </cell>
          <cell r="M3648">
            <v>0</v>
          </cell>
          <cell r="P3648">
            <v>0</v>
          </cell>
          <cell r="V3648" t="str">
            <v>Not Available</v>
          </cell>
        </row>
        <row r="3649">
          <cell r="E3649">
            <v>10140120</v>
          </cell>
          <cell r="H3649">
            <v>551.54</v>
          </cell>
          <cell r="I3649">
            <v>22605.84</v>
          </cell>
          <cell r="J3649">
            <v>0</v>
          </cell>
          <cell r="K3649">
            <v>0</v>
          </cell>
          <cell r="M3649">
            <v>0</v>
          </cell>
          <cell r="P3649">
            <v>22606</v>
          </cell>
          <cell r="V3649" t="str">
            <v>Available</v>
          </cell>
        </row>
        <row r="3650">
          <cell r="E3650">
            <v>10140126</v>
          </cell>
          <cell r="H3650">
            <v>1.4</v>
          </cell>
          <cell r="I3650">
            <v>50.730000000000004</v>
          </cell>
          <cell r="J3650">
            <v>0</v>
          </cell>
          <cell r="K3650">
            <v>50.730000000000004</v>
          </cell>
          <cell r="M3650">
            <v>0</v>
          </cell>
          <cell r="P3650">
            <v>0</v>
          </cell>
          <cell r="V3650" t="str">
            <v>Not Available</v>
          </cell>
        </row>
        <row r="3651">
          <cell r="E3651">
            <v>10140126</v>
          </cell>
          <cell r="H3651">
            <v>46.1</v>
          </cell>
          <cell r="I3651">
            <v>1584.3600000000004</v>
          </cell>
          <cell r="J3651">
            <v>0</v>
          </cell>
          <cell r="K3651">
            <v>0</v>
          </cell>
          <cell r="M3651">
            <v>0</v>
          </cell>
          <cell r="P3651">
            <v>1584</v>
          </cell>
          <cell r="V3651" t="str">
            <v>Available</v>
          </cell>
        </row>
        <row r="3652">
          <cell r="E3652">
            <v>10140126</v>
          </cell>
          <cell r="H3652">
            <v>8.1</v>
          </cell>
          <cell r="I3652">
            <v>387.35000000000008</v>
          </cell>
          <cell r="J3652">
            <v>0</v>
          </cell>
          <cell r="K3652">
            <v>0</v>
          </cell>
          <cell r="M3652">
            <v>0</v>
          </cell>
          <cell r="P3652">
            <v>387</v>
          </cell>
          <cell r="V3652" t="str">
            <v>Available</v>
          </cell>
        </row>
        <row r="3653">
          <cell r="E3653">
            <v>10140126</v>
          </cell>
          <cell r="H3653">
            <v>1</v>
          </cell>
          <cell r="I3653">
            <v>36.25</v>
          </cell>
          <cell r="J3653">
            <v>0</v>
          </cell>
          <cell r="K3653">
            <v>0</v>
          </cell>
          <cell r="M3653">
            <v>0</v>
          </cell>
          <cell r="P3653">
            <v>36</v>
          </cell>
          <cell r="V3653" t="str">
            <v>Available</v>
          </cell>
        </row>
        <row r="3654">
          <cell r="E3654">
            <v>10140126</v>
          </cell>
          <cell r="H3654">
            <v>89</v>
          </cell>
          <cell r="I3654">
            <v>3009.9799999999996</v>
          </cell>
          <cell r="J3654">
            <v>0</v>
          </cell>
          <cell r="K3654">
            <v>0</v>
          </cell>
          <cell r="M3654">
            <v>0</v>
          </cell>
          <cell r="P3654">
            <v>3010</v>
          </cell>
          <cell r="V3654" t="str">
            <v>Available</v>
          </cell>
        </row>
        <row r="3655">
          <cell r="E3655">
            <v>10140126</v>
          </cell>
          <cell r="H3655">
            <v>6</v>
          </cell>
          <cell r="I3655">
            <v>200.22</v>
          </cell>
          <cell r="J3655">
            <v>0</v>
          </cell>
          <cell r="K3655">
            <v>0</v>
          </cell>
          <cell r="M3655">
            <v>0</v>
          </cell>
          <cell r="P3655">
            <v>200</v>
          </cell>
          <cell r="V3655" t="str">
            <v>Available</v>
          </cell>
        </row>
        <row r="3656">
          <cell r="E3656">
            <v>10140129</v>
          </cell>
          <cell r="H3656">
            <v>94.5</v>
          </cell>
          <cell r="I3656">
            <v>3469.1</v>
          </cell>
          <cell r="J3656">
            <v>0</v>
          </cell>
          <cell r="K3656">
            <v>0</v>
          </cell>
          <cell r="M3656">
            <v>0</v>
          </cell>
          <cell r="P3656">
            <v>2969</v>
          </cell>
          <cell r="V3656" t="str">
            <v>Available</v>
          </cell>
        </row>
        <row r="3657">
          <cell r="E3657">
            <v>10140129</v>
          </cell>
          <cell r="H3657">
            <v>10</v>
          </cell>
          <cell r="I3657">
            <v>367.1</v>
          </cell>
          <cell r="J3657">
            <v>0</v>
          </cell>
          <cell r="K3657">
            <v>0</v>
          </cell>
          <cell r="M3657">
            <v>0</v>
          </cell>
          <cell r="P3657">
            <v>367</v>
          </cell>
          <cell r="V3657" t="str">
            <v>Available</v>
          </cell>
        </row>
        <row r="3658">
          <cell r="E3658">
            <v>10140131</v>
          </cell>
          <cell r="H3658">
            <v>53.599999999999994</v>
          </cell>
          <cell r="I3658">
            <v>1984.0499999999997</v>
          </cell>
          <cell r="J3658">
            <v>0</v>
          </cell>
          <cell r="K3658">
            <v>0</v>
          </cell>
          <cell r="M3658">
            <v>0</v>
          </cell>
          <cell r="P3658">
            <v>1984</v>
          </cell>
          <cell r="V3658" t="str">
            <v>Available</v>
          </cell>
        </row>
        <row r="3659">
          <cell r="E3659">
            <v>10140132</v>
          </cell>
          <cell r="H3659">
            <v>5.8999999999999995</v>
          </cell>
          <cell r="I3659">
            <v>203.83999999999997</v>
          </cell>
          <cell r="J3659">
            <v>0</v>
          </cell>
          <cell r="K3659">
            <v>203.83999999999997</v>
          </cell>
          <cell r="M3659">
            <v>0</v>
          </cell>
          <cell r="P3659">
            <v>0</v>
          </cell>
          <cell r="V3659" t="str">
            <v>Not Available</v>
          </cell>
        </row>
        <row r="3660">
          <cell r="E3660">
            <v>10140132</v>
          </cell>
          <cell r="H3660">
            <v>27.499999999999996</v>
          </cell>
          <cell r="I3660">
            <v>922.72</v>
          </cell>
          <cell r="J3660">
            <v>0</v>
          </cell>
          <cell r="K3660">
            <v>0</v>
          </cell>
          <cell r="M3660">
            <v>0</v>
          </cell>
          <cell r="P3660">
            <v>923</v>
          </cell>
          <cell r="V3660" t="str">
            <v>Available</v>
          </cell>
        </row>
        <row r="3661">
          <cell r="E3661">
            <v>10140132</v>
          </cell>
          <cell r="H3661">
            <v>61.900000000000006</v>
          </cell>
          <cell r="I3661">
            <v>2098</v>
          </cell>
          <cell r="J3661">
            <v>0</v>
          </cell>
          <cell r="K3661">
            <v>0</v>
          </cell>
          <cell r="M3661">
            <v>0</v>
          </cell>
          <cell r="P3661">
            <v>2098</v>
          </cell>
          <cell r="V3661" t="str">
            <v>Available</v>
          </cell>
        </row>
        <row r="3662">
          <cell r="E3662">
            <v>10140132</v>
          </cell>
          <cell r="H3662">
            <v>18.900000000000002</v>
          </cell>
          <cell r="I3662">
            <v>596.07999999999993</v>
          </cell>
          <cell r="J3662">
            <v>0</v>
          </cell>
          <cell r="K3662">
            <v>0</v>
          </cell>
          <cell r="M3662">
            <v>0</v>
          </cell>
          <cell r="P3662">
            <v>596</v>
          </cell>
          <cell r="V3662" t="str">
            <v>Available</v>
          </cell>
        </row>
        <row r="3663">
          <cell r="E3663">
            <v>10140132</v>
          </cell>
          <cell r="H3663">
            <v>82.600000000000009</v>
          </cell>
          <cell r="I3663">
            <v>2957.03</v>
          </cell>
          <cell r="J3663">
            <v>0</v>
          </cell>
          <cell r="K3663">
            <v>0</v>
          </cell>
          <cell r="M3663">
            <v>0</v>
          </cell>
          <cell r="P3663">
            <v>2957</v>
          </cell>
          <cell r="V3663" t="str">
            <v>Available</v>
          </cell>
        </row>
        <row r="3664">
          <cell r="E3664">
            <v>10140132</v>
          </cell>
          <cell r="H3664">
            <v>65.100000000000009</v>
          </cell>
          <cell r="I3664">
            <v>2157.06</v>
          </cell>
          <cell r="J3664">
            <v>0</v>
          </cell>
          <cell r="K3664">
            <v>0</v>
          </cell>
          <cell r="M3664">
            <v>0</v>
          </cell>
          <cell r="P3664">
            <v>2157</v>
          </cell>
          <cell r="V3664" t="str">
            <v>Available</v>
          </cell>
        </row>
        <row r="3665">
          <cell r="E3665">
            <v>10140132</v>
          </cell>
          <cell r="H3665">
            <v>10</v>
          </cell>
          <cell r="I3665">
            <v>525.96</v>
          </cell>
          <cell r="J3665">
            <v>0</v>
          </cell>
          <cell r="K3665">
            <v>0</v>
          </cell>
          <cell r="M3665">
            <v>0</v>
          </cell>
          <cell r="P3665">
            <v>526</v>
          </cell>
          <cell r="V3665" t="str">
            <v>Available</v>
          </cell>
        </row>
        <row r="3666">
          <cell r="E3666">
            <v>10140132</v>
          </cell>
          <cell r="H3666">
            <v>106.2</v>
          </cell>
          <cell r="I3666">
            <v>3723.63</v>
          </cell>
          <cell r="J3666">
            <v>0</v>
          </cell>
          <cell r="K3666">
            <v>0</v>
          </cell>
          <cell r="M3666">
            <v>0</v>
          </cell>
          <cell r="P3666">
            <v>3724</v>
          </cell>
          <cell r="V3666" t="str">
            <v>Available</v>
          </cell>
        </row>
        <row r="3667">
          <cell r="E3667">
            <v>10140132</v>
          </cell>
          <cell r="H3667">
            <v>9.4</v>
          </cell>
          <cell r="I3667">
            <v>320.15000000000003</v>
          </cell>
          <cell r="J3667">
            <v>0</v>
          </cell>
          <cell r="K3667">
            <v>0</v>
          </cell>
          <cell r="M3667">
            <v>0</v>
          </cell>
          <cell r="P3667">
            <v>320</v>
          </cell>
          <cell r="V3667" t="str">
            <v>Available</v>
          </cell>
        </row>
        <row r="3668">
          <cell r="E3668">
            <v>10140135</v>
          </cell>
          <cell r="H3668">
            <v>263.77</v>
          </cell>
          <cell r="I3668">
            <v>9774.4299999999985</v>
          </cell>
          <cell r="J3668">
            <v>0</v>
          </cell>
          <cell r="K3668">
            <v>0</v>
          </cell>
          <cell r="M3668">
            <v>0</v>
          </cell>
          <cell r="P3668">
            <v>8852</v>
          </cell>
          <cell r="V3668" t="str">
            <v>Available</v>
          </cell>
        </row>
        <row r="3669">
          <cell r="E3669">
            <v>10140135</v>
          </cell>
          <cell r="H3669">
            <v>76.610000000000014</v>
          </cell>
          <cell r="I3669">
            <v>4448.93</v>
          </cell>
          <cell r="J3669">
            <v>0</v>
          </cell>
          <cell r="K3669">
            <v>0</v>
          </cell>
          <cell r="M3669">
            <v>0</v>
          </cell>
          <cell r="P3669">
            <v>4449</v>
          </cell>
          <cell r="V3669" t="str">
            <v>Available</v>
          </cell>
        </row>
        <row r="3670">
          <cell r="E3670">
            <v>10140135</v>
          </cell>
          <cell r="H3670">
            <v>3.3</v>
          </cell>
          <cell r="I3670">
            <v>126.3</v>
          </cell>
          <cell r="J3670">
            <v>0</v>
          </cell>
          <cell r="K3670">
            <v>0</v>
          </cell>
          <cell r="M3670">
            <v>0</v>
          </cell>
          <cell r="P3670">
            <v>126</v>
          </cell>
          <cell r="V3670" t="str">
            <v>Available</v>
          </cell>
        </row>
        <row r="3671">
          <cell r="E3671">
            <v>10140137</v>
          </cell>
          <cell r="H3671">
            <v>49.8</v>
          </cell>
          <cell r="I3671">
            <v>2141.54</v>
          </cell>
          <cell r="J3671">
            <v>0</v>
          </cell>
          <cell r="K3671">
            <v>0</v>
          </cell>
          <cell r="M3671">
            <v>795</v>
          </cell>
          <cell r="P3671">
            <v>0</v>
          </cell>
          <cell r="V3671" t="str">
            <v>Available</v>
          </cell>
        </row>
        <row r="3672">
          <cell r="E3672">
            <v>10140137</v>
          </cell>
          <cell r="H3672">
            <v>91.199999999999989</v>
          </cell>
          <cell r="I3672">
            <v>3905.17</v>
          </cell>
          <cell r="J3672">
            <v>0</v>
          </cell>
          <cell r="K3672">
            <v>0</v>
          </cell>
          <cell r="M3672">
            <v>3905.17</v>
          </cell>
          <cell r="P3672">
            <v>0</v>
          </cell>
          <cell r="V3672" t="str">
            <v>Available</v>
          </cell>
        </row>
        <row r="3673">
          <cell r="E3673">
            <v>10140139</v>
          </cell>
          <cell r="H3673">
            <v>495.5</v>
          </cell>
          <cell r="I3673">
            <v>13319.04</v>
          </cell>
          <cell r="J3673">
            <v>0</v>
          </cell>
          <cell r="K3673">
            <v>0</v>
          </cell>
          <cell r="M3673">
            <v>0</v>
          </cell>
          <cell r="P3673">
            <v>12819</v>
          </cell>
          <cell r="V3673" t="str">
            <v>Available</v>
          </cell>
        </row>
        <row r="3674">
          <cell r="E3674">
            <v>10140139</v>
          </cell>
          <cell r="H3674">
            <v>5.37</v>
          </cell>
          <cell r="I3674">
            <v>191.82</v>
          </cell>
          <cell r="J3674">
            <v>0</v>
          </cell>
          <cell r="K3674">
            <v>0</v>
          </cell>
          <cell r="M3674">
            <v>0</v>
          </cell>
          <cell r="P3674">
            <v>192</v>
          </cell>
          <cell r="V3674" t="str">
            <v>Available</v>
          </cell>
        </row>
        <row r="3675">
          <cell r="E3675">
            <v>10140153</v>
          </cell>
          <cell r="H3675">
            <v>25.830000000000002</v>
          </cell>
          <cell r="I3675">
            <v>978.84999999999991</v>
          </cell>
          <cell r="J3675">
            <v>0</v>
          </cell>
          <cell r="K3675">
            <v>0</v>
          </cell>
          <cell r="M3675">
            <v>0</v>
          </cell>
          <cell r="P3675">
            <v>0</v>
          </cell>
          <cell r="V3675" t="str">
            <v>Available</v>
          </cell>
        </row>
        <row r="3676">
          <cell r="E3676">
            <v>10140153</v>
          </cell>
          <cell r="H3676">
            <v>37.19</v>
          </cell>
          <cell r="I3676">
            <v>1608.62</v>
          </cell>
          <cell r="J3676">
            <v>0</v>
          </cell>
          <cell r="K3676">
            <v>0</v>
          </cell>
          <cell r="M3676">
            <v>0</v>
          </cell>
          <cell r="P3676">
            <v>382</v>
          </cell>
          <cell r="V3676" t="str">
            <v>Available</v>
          </cell>
        </row>
        <row r="3677">
          <cell r="E3677">
            <v>10140156</v>
          </cell>
          <cell r="H3677">
            <v>28.79</v>
          </cell>
          <cell r="I3677">
            <v>1138.3199999999997</v>
          </cell>
          <cell r="J3677">
            <v>0</v>
          </cell>
          <cell r="K3677">
            <v>1138.3199999999997</v>
          </cell>
          <cell r="M3677">
            <v>0</v>
          </cell>
          <cell r="P3677">
            <v>0</v>
          </cell>
          <cell r="V3677" t="str">
            <v>Not Available</v>
          </cell>
        </row>
        <row r="3678">
          <cell r="E3678">
            <v>10140156</v>
          </cell>
          <cell r="H3678">
            <v>298.19000000000005</v>
          </cell>
          <cell r="I3678">
            <v>11473.220000000001</v>
          </cell>
          <cell r="J3678">
            <v>0</v>
          </cell>
          <cell r="K3678">
            <v>0</v>
          </cell>
          <cell r="M3678">
            <v>0</v>
          </cell>
          <cell r="P3678">
            <v>10154</v>
          </cell>
          <cell r="V3678" t="str">
            <v>Available</v>
          </cell>
        </row>
        <row r="3679">
          <cell r="E3679">
            <v>10140166</v>
          </cell>
          <cell r="H3679">
            <v>224.8</v>
          </cell>
          <cell r="I3679">
            <v>11579.45</v>
          </cell>
          <cell r="J3679">
            <v>0</v>
          </cell>
          <cell r="K3679">
            <v>0</v>
          </cell>
          <cell r="M3679">
            <v>0</v>
          </cell>
          <cell r="P3679">
            <v>11579</v>
          </cell>
          <cell r="V3679" t="str">
            <v>Available</v>
          </cell>
        </row>
        <row r="3680">
          <cell r="E3680">
            <v>10140170</v>
          </cell>
          <cell r="H3680">
            <v>4.92</v>
          </cell>
          <cell r="I3680">
            <v>239.11</v>
          </cell>
          <cell r="J3680">
            <v>0</v>
          </cell>
          <cell r="K3680">
            <v>0</v>
          </cell>
          <cell r="M3680">
            <v>0</v>
          </cell>
          <cell r="P3680">
            <v>239</v>
          </cell>
          <cell r="V3680" t="str">
            <v>Available</v>
          </cell>
        </row>
        <row r="3681">
          <cell r="E3681">
            <v>10140170</v>
          </cell>
          <cell r="H3681">
            <v>238.59999999999994</v>
          </cell>
          <cell r="I3681">
            <v>11140.609999999999</v>
          </cell>
          <cell r="J3681">
            <v>0</v>
          </cell>
          <cell r="K3681">
            <v>0</v>
          </cell>
          <cell r="M3681">
            <v>0</v>
          </cell>
          <cell r="P3681">
            <v>11141</v>
          </cell>
          <cell r="V3681" t="str">
            <v>Available</v>
          </cell>
        </row>
        <row r="3682">
          <cell r="E3682">
            <v>10140173</v>
          </cell>
          <cell r="H3682">
            <v>504.49000000000007</v>
          </cell>
          <cell r="I3682">
            <v>21116.03</v>
          </cell>
          <cell r="J3682">
            <v>0</v>
          </cell>
          <cell r="K3682">
            <v>0</v>
          </cell>
          <cell r="M3682">
            <v>0</v>
          </cell>
          <cell r="P3682">
            <v>16635</v>
          </cell>
          <cell r="V3682" t="str">
            <v>Available</v>
          </cell>
        </row>
        <row r="3683">
          <cell r="E3683">
            <v>10140173</v>
          </cell>
          <cell r="H3683">
            <v>281.2</v>
          </cell>
          <cell r="I3683">
            <v>11575.39</v>
          </cell>
          <cell r="J3683">
            <v>0</v>
          </cell>
          <cell r="K3683">
            <v>0</v>
          </cell>
          <cell r="M3683">
            <v>6650</v>
          </cell>
          <cell r="P3683">
            <v>4925</v>
          </cell>
          <cell r="V3683" t="str">
            <v>Available</v>
          </cell>
        </row>
        <row r="3684">
          <cell r="E3684">
            <v>10140179</v>
          </cell>
          <cell r="H3684">
            <v>6.0999999999999988</v>
          </cell>
          <cell r="I3684">
            <v>255.19</v>
          </cell>
          <cell r="J3684">
            <v>0</v>
          </cell>
          <cell r="K3684">
            <v>255.19</v>
          </cell>
          <cell r="M3684">
            <v>0</v>
          </cell>
          <cell r="P3684">
            <v>0</v>
          </cell>
          <cell r="V3684" t="str">
            <v>Not Available</v>
          </cell>
        </row>
        <row r="3685">
          <cell r="E3685">
            <v>10140179</v>
          </cell>
          <cell r="H3685">
            <v>9.73</v>
          </cell>
          <cell r="I3685">
            <v>413.31</v>
          </cell>
          <cell r="J3685">
            <v>0</v>
          </cell>
          <cell r="K3685">
            <v>0</v>
          </cell>
          <cell r="M3685">
            <v>0</v>
          </cell>
          <cell r="P3685">
            <v>413</v>
          </cell>
          <cell r="V3685" t="str">
            <v>Available</v>
          </cell>
        </row>
        <row r="3686">
          <cell r="E3686">
            <v>10140179</v>
          </cell>
          <cell r="H3686">
            <v>33.54</v>
          </cell>
          <cell r="I3686">
            <v>1330.4899999999998</v>
          </cell>
          <cell r="J3686">
            <v>0</v>
          </cell>
          <cell r="K3686">
            <v>0</v>
          </cell>
          <cell r="M3686">
            <v>0</v>
          </cell>
          <cell r="P3686">
            <v>1330</v>
          </cell>
          <cell r="V3686" t="str">
            <v>Available</v>
          </cell>
        </row>
        <row r="3687">
          <cell r="E3687">
            <v>10140179</v>
          </cell>
          <cell r="H3687">
            <v>12.69</v>
          </cell>
          <cell r="I3687">
            <v>460.78000000000003</v>
          </cell>
          <cell r="J3687">
            <v>0</v>
          </cell>
          <cell r="K3687">
            <v>0</v>
          </cell>
          <cell r="M3687">
            <v>0</v>
          </cell>
          <cell r="P3687">
            <v>461</v>
          </cell>
          <cell r="V3687" t="str">
            <v>Available</v>
          </cell>
        </row>
        <row r="3688">
          <cell r="E3688">
            <v>10140179</v>
          </cell>
          <cell r="H3688">
            <v>57.620000000000005</v>
          </cell>
          <cell r="I3688">
            <v>2309.12</v>
          </cell>
          <cell r="J3688">
            <v>0</v>
          </cell>
          <cell r="K3688">
            <v>0</v>
          </cell>
          <cell r="M3688">
            <v>0</v>
          </cell>
          <cell r="P3688">
            <v>2309</v>
          </cell>
          <cell r="V3688" t="str">
            <v>Available</v>
          </cell>
        </row>
        <row r="3689">
          <cell r="E3689">
            <v>10140179</v>
          </cell>
          <cell r="H3689">
            <v>22.450000000000003</v>
          </cell>
          <cell r="I3689">
            <v>919.21000000000015</v>
          </cell>
          <cell r="J3689">
            <v>0</v>
          </cell>
          <cell r="K3689">
            <v>0</v>
          </cell>
          <cell r="M3689">
            <v>0</v>
          </cell>
          <cell r="P3689">
            <v>919</v>
          </cell>
          <cell r="V3689" t="str">
            <v>Available</v>
          </cell>
        </row>
        <row r="3690">
          <cell r="E3690">
            <v>10140179</v>
          </cell>
          <cell r="H3690">
            <v>8.69</v>
          </cell>
          <cell r="I3690">
            <v>333.24</v>
          </cell>
          <cell r="J3690">
            <v>0</v>
          </cell>
          <cell r="K3690">
            <v>0</v>
          </cell>
          <cell r="M3690">
            <v>0</v>
          </cell>
          <cell r="P3690">
            <v>333</v>
          </cell>
          <cell r="V3690" t="str">
            <v>Available</v>
          </cell>
        </row>
        <row r="3691">
          <cell r="E3691">
            <v>10140179</v>
          </cell>
          <cell r="H3691">
            <v>3.5100000000000002</v>
          </cell>
          <cell r="I3691">
            <v>156.1</v>
          </cell>
          <cell r="J3691">
            <v>0</v>
          </cell>
          <cell r="K3691">
            <v>0</v>
          </cell>
          <cell r="M3691">
            <v>0</v>
          </cell>
          <cell r="P3691">
            <v>156</v>
          </cell>
          <cell r="V3691" t="str">
            <v>Available</v>
          </cell>
        </row>
        <row r="3692">
          <cell r="E3692">
            <v>10140179</v>
          </cell>
          <cell r="H3692">
            <v>35.299999999999997</v>
          </cell>
          <cell r="I3692">
            <v>1744.77</v>
          </cell>
          <cell r="J3692">
            <v>0</v>
          </cell>
          <cell r="K3692">
            <v>0</v>
          </cell>
          <cell r="M3692">
            <v>0</v>
          </cell>
          <cell r="P3692">
            <v>1745</v>
          </cell>
          <cell r="V3692" t="str">
            <v>Available</v>
          </cell>
        </row>
        <row r="3693">
          <cell r="E3693">
            <v>10140179</v>
          </cell>
          <cell r="H3693">
            <v>15.32</v>
          </cell>
          <cell r="I3693">
            <v>862.55</v>
          </cell>
          <cell r="J3693">
            <v>0</v>
          </cell>
          <cell r="K3693">
            <v>0</v>
          </cell>
          <cell r="M3693">
            <v>0</v>
          </cell>
          <cell r="P3693">
            <v>863</v>
          </cell>
          <cell r="V3693" t="str">
            <v>Available</v>
          </cell>
        </row>
        <row r="3694">
          <cell r="E3694">
            <v>10140179</v>
          </cell>
          <cell r="H3694">
            <v>18.790000000000003</v>
          </cell>
          <cell r="I3694">
            <v>786.81000000000006</v>
          </cell>
          <cell r="J3694">
            <v>0</v>
          </cell>
          <cell r="K3694">
            <v>0</v>
          </cell>
          <cell r="M3694">
            <v>0</v>
          </cell>
          <cell r="P3694">
            <v>787</v>
          </cell>
          <cell r="V3694" t="str">
            <v>Available</v>
          </cell>
        </row>
        <row r="3695">
          <cell r="E3695">
            <v>10140179</v>
          </cell>
          <cell r="H3695">
            <v>39.950000000000003</v>
          </cell>
          <cell r="I3695">
            <v>1367.1</v>
          </cell>
          <cell r="J3695">
            <v>0</v>
          </cell>
          <cell r="K3695">
            <v>0</v>
          </cell>
          <cell r="M3695">
            <v>0</v>
          </cell>
          <cell r="P3695">
            <v>1367</v>
          </cell>
          <cell r="V3695" t="str">
            <v>Available</v>
          </cell>
        </row>
        <row r="3696">
          <cell r="E3696">
            <v>10140179</v>
          </cell>
          <cell r="H3696">
            <v>4.7799999999999994</v>
          </cell>
          <cell r="I3696">
            <v>164.26999999999998</v>
          </cell>
          <cell r="J3696">
            <v>0</v>
          </cell>
          <cell r="K3696">
            <v>0</v>
          </cell>
          <cell r="M3696">
            <v>0</v>
          </cell>
          <cell r="P3696">
            <v>164</v>
          </cell>
          <cell r="V3696" t="str">
            <v>Available</v>
          </cell>
        </row>
        <row r="3697">
          <cell r="E3697">
            <v>10140179</v>
          </cell>
          <cell r="H3697">
            <v>47.64</v>
          </cell>
          <cell r="I3697">
            <v>1936.63</v>
          </cell>
          <cell r="J3697">
            <v>0</v>
          </cell>
          <cell r="K3697">
            <v>0</v>
          </cell>
          <cell r="M3697">
            <v>0</v>
          </cell>
          <cell r="P3697">
            <v>1937</v>
          </cell>
          <cell r="V3697" t="str">
            <v>Available</v>
          </cell>
        </row>
        <row r="3698">
          <cell r="E3698">
            <v>10140179</v>
          </cell>
          <cell r="H3698">
            <v>30.17</v>
          </cell>
          <cell r="I3698">
            <v>1159.1199999999999</v>
          </cell>
          <cell r="J3698">
            <v>0</v>
          </cell>
          <cell r="K3698">
            <v>0</v>
          </cell>
          <cell r="M3698">
            <v>0</v>
          </cell>
          <cell r="P3698">
            <v>1159</v>
          </cell>
          <cell r="V3698" t="str">
            <v>Available</v>
          </cell>
        </row>
        <row r="3699">
          <cell r="E3699">
            <v>10140179</v>
          </cell>
          <cell r="H3699">
            <v>15.87</v>
          </cell>
          <cell r="I3699">
            <v>1056.7</v>
          </cell>
          <cell r="J3699">
            <v>0</v>
          </cell>
          <cell r="K3699">
            <v>0</v>
          </cell>
          <cell r="M3699">
            <v>0</v>
          </cell>
          <cell r="P3699">
            <v>1057</v>
          </cell>
          <cell r="V3699" t="str">
            <v>Available</v>
          </cell>
        </row>
        <row r="3700">
          <cell r="E3700">
            <v>10140179</v>
          </cell>
          <cell r="H3700">
            <v>24.56</v>
          </cell>
          <cell r="I3700">
            <v>1179.0100000000002</v>
          </cell>
          <cell r="J3700">
            <v>0</v>
          </cell>
          <cell r="K3700">
            <v>0</v>
          </cell>
          <cell r="M3700">
            <v>0</v>
          </cell>
          <cell r="P3700">
            <v>1179</v>
          </cell>
          <cell r="V3700" t="str">
            <v>Available</v>
          </cell>
        </row>
        <row r="3701">
          <cell r="E3701">
            <v>10140179</v>
          </cell>
          <cell r="H3701">
            <v>12.73</v>
          </cell>
          <cell r="I3701">
            <v>460.09999999999997</v>
          </cell>
          <cell r="J3701">
            <v>0</v>
          </cell>
          <cell r="K3701">
            <v>0</v>
          </cell>
          <cell r="M3701">
            <v>0</v>
          </cell>
          <cell r="P3701">
            <v>460</v>
          </cell>
          <cell r="V3701" t="str">
            <v>Available</v>
          </cell>
        </row>
        <row r="3702">
          <cell r="E3702">
            <v>10140179</v>
          </cell>
          <cell r="H3702">
            <v>6.21</v>
          </cell>
          <cell r="I3702">
            <v>268.91000000000003</v>
          </cell>
          <cell r="J3702">
            <v>0</v>
          </cell>
          <cell r="K3702">
            <v>0</v>
          </cell>
          <cell r="M3702">
            <v>0</v>
          </cell>
          <cell r="P3702">
            <v>269</v>
          </cell>
          <cell r="V3702" t="str">
            <v>Available</v>
          </cell>
        </row>
        <row r="3703">
          <cell r="E3703">
            <v>10140179</v>
          </cell>
          <cell r="H3703">
            <v>13.81</v>
          </cell>
          <cell r="I3703">
            <v>687.35</v>
          </cell>
          <cell r="J3703">
            <v>0</v>
          </cell>
          <cell r="K3703">
            <v>0</v>
          </cell>
          <cell r="M3703">
            <v>0</v>
          </cell>
          <cell r="P3703">
            <v>687</v>
          </cell>
          <cell r="V3703" t="str">
            <v>Available</v>
          </cell>
        </row>
        <row r="3704">
          <cell r="E3704">
            <v>10140179</v>
          </cell>
          <cell r="H3704">
            <v>4.1900000000000004</v>
          </cell>
          <cell r="I3704">
            <v>188.42999999999998</v>
          </cell>
          <cell r="J3704">
            <v>0</v>
          </cell>
          <cell r="K3704">
            <v>0</v>
          </cell>
          <cell r="M3704">
            <v>0</v>
          </cell>
          <cell r="P3704">
            <v>188</v>
          </cell>
          <cell r="V3704" t="str">
            <v>Available</v>
          </cell>
        </row>
        <row r="3705">
          <cell r="E3705">
            <v>10140179</v>
          </cell>
          <cell r="H3705">
            <v>2.5299999999999998</v>
          </cell>
          <cell r="I3705">
            <v>103.76</v>
          </cell>
          <cell r="J3705">
            <v>0</v>
          </cell>
          <cell r="K3705">
            <v>0</v>
          </cell>
          <cell r="M3705">
            <v>0</v>
          </cell>
          <cell r="P3705">
            <v>104</v>
          </cell>
          <cell r="V3705" t="str">
            <v>Available</v>
          </cell>
        </row>
        <row r="3706">
          <cell r="E3706">
            <v>10140179</v>
          </cell>
          <cell r="H3706">
            <v>12.330000000000002</v>
          </cell>
          <cell r="I3706">
            <v>474.31</v>
          </cell>
          <cell r="J3706">
            <v>0</v>
          </cell>
          <cell r="K3706">
            <v>0</v>
          </cell>
          <cell r="M3706">
            <v>0</v>
          </cell>
          <cell r="P3706">
            <v>474</v>
          </cell>
          <cell r="V3706" t="str">
            <v>Available</v>
          </cell>
        </row>
        <row r="3707">
          <cell r="E3707">
            <v>10140179</v>
          </cell>
          <cell r="H3707">
            <v>13.55</v>
          </cell>
          <cell r="I3707">
            <v>555.35</v>
          </cell>
          <cell r="J3707">
            <v>0</v>
          </cell>
          <cell r="K3707">
            <v>0</v>
          </cell>
          <cell r="M3707">
            <v>0</v>
          </cell>
          <cell r="P3707">
            <v>555</v>
          </cell>
          <cell r="V3707" t="str">
            <v>Available</v>
          </cell>
        </row>
        <row r="3708">
          <cell r="E3708">
            <v>10140179</v>
          </cell>
          <cell r="H3708">
            <v>4.57</v>
          </cell>
          <cell r="I3708">
            <v>144.99</v>
          </cell>
          <cell r="J3708">
            <v>0</v>
          </cell>
          <cell r="K3708">
            <v>0</v>
          </cell>
          <cell r="M3708">
            <v>0</v>
          </cell>
          <cell r="P3708">
            <v>145</v>
          </cell>
          <cell r="V3708" t="str">
            <v>Available</v>
          </cell>
        </row>
        <row r="3709">
          <cell r="E3709">
            <v>10140179</v>
          </cell>
          <cell r="H3709">
            <v>4.59</v>
          </cell>
          <cell r="I3709">
            <v>179.24</v>
          </cell>
          <cell r="J3709">
            <v>0</v>
          </cell>
          <cell r="K3709">
            <v>0</v>
          </cell>
          <cell r="M3709">
            <v>0</v>
          </cell>
          <cell r="P3709">
            <v>179</v>
          </cell>
          <cell r="V3709" t="str">
            <v>Available</v>
          </cell>
        </row>
        <row r="3710">
          <cell r="E3710">
            <v>10140179</v>
          </cell>
          <cell r="H3710">
            <v>46.34</v>
          </cell>
          <cell r="I3710">
            <v>2265.6500000000005</v>
          </cell>
          <cell r="J3710">
            <v>0</v>
          </cell>
          <cell r="K3710">
            <v>0</v>
          </cell>
          <cell r="M3710">
            <v>0</v>
          </cell>
          <cell r="P3710">
            <v>2266</v>
          </cell>
          <cell r="V3710" t="str">
            <v>Available</v>
          </cell>
        </row>
        <row r="3711">
          <cell r="E3711">
            <v>10140179</v>
          </cell>
          <cell r="H3711">
            <v>4.3900000000000006</v>
          </cell>
          <cell r="I3711">
            <v>178.84</v>
          </cell>
          <cell r="J3711">
            <v>0</v>
          </cell>
          <cell r="K3711">
            <v>0</v>
          </cell>
          <cell r="M3711">
            <v>0</v>
          </cell>
          <cell r="P3711">
            <v>179</v>
          </cell>
          <cell r="V3711" t="str">
            <v>Available</v>
          </cell>
        </row>
        <row r="3712">
          <cell r="E3712">
            <v>10140179</v>
          </cell>
          <cell r="H3712">
            <v>14.940000000000001</v>
          </cell>
          <cell r="I3712">
            <v>530.99</v>
          </cell>
          <cell r="J3712">
            <v>0</v>
          </cell>
          <cell r="K3712">
            <v>0</v>
          </cell>
          <cell r="M3712">
            <v>0</v>
          </cell>
          <cell r="P3712">
            <v>531</v>
          </cell>
          <cell r="V3712" t="str">
            <v>Available</v>
          </cell>
        </row>
        <row r="3713">
          <cell r="E3713">
            <v>10140179</v>
          </cell>
          <cell r="H3713">
            <v>15.52</v>
          </cell>
          <cell r="I3713">
            <v>1109.77</v>
          </cell>
          <cell r="J3713">
            <v>0</v>
          </cell>
          <cell r="K3713">
            <v>0</v>
          </cell>
          <cell r="M3713">
            <v>0</v>
          </cell>
          <cell r="P3713">
            <v>1110</v>
          </cell>
          <cell r="V3713" t="str">
            <v>Available</v>
          </cell>
        </row>
        <row r="3714">
          <cell r="E3714">
            <v>10140179</v>
          </cell>
          <cell r="H3714">
            <v>39.1</v>
          </cell>
          <cell r="I3714">
            <v>1667.1299999999999</v>
          </cell>
          <cell r="J3714">
            <v>0</v>
          </cell>
          <cell r="K3714">
            <v>0</v>
          </cell>
          <cell r="M3714">
            <v>0</v>
          </cell>
          <cell r="P3714">
            <v>1667</v>
          </cell>
          <cell r="V3714" t="str">
            <v>Available</v>
          </cell>
        </row>
        <row r="3715">
          <cell r="E3715">
            <v>10140179</v>
          </cell>
          <cell r="H3715">
            <v>15.879999999999999</v>
          </cell>
          <cell r="I3715">
            <v>947.25</v>
          </cell>
          <cell r="J3715">
            <v>0</v>
          </cell>
          <cell r="K3715">
            <v>0</v>
          </cell>
          <cell r="M3715">
            <v>0</v>
          </cell>
          <cell r="P3715">
            <v>947</v>
          </cell>
          <cell r="V3715" t="str">
            <v>Available</v>
          </cell>
        </row>
        <row r="3716">
          <cell r="E3716">
            <v>10140179</v>
          </cell>
          <cell r="H3716">
            <v>27.009999999999998</v>
          </cell>
          <cell r="I3716">
            <v>1014.19</v>
          </cell>
          <cell r="J3716">
            <v>0</v>
          </cell>
          <cell r="K3716">
            <v>0</v>
          </cell>
          <cell r="M3716">
            <v>0</v>
          </cell>
          <cell r="P3716">
            <v>1014</v>
          </cell>
          <cell r="V3716" t="str">
            <v>Available</v>
          </cell>
        </row>
        <row r="3717">
          <cell r="E3717">
            <v>10140179</v>
          </cell>
          <cell r="H3717">
            <v>33.49</v>
          </cell>
          <cell r="I3717">
            <v>1381.62</v>
          </cell>
          <cell r="J3717">
            <v>0</v>
          </cell>
          <cell r="K3717">
            <v>0</v>
          </cell>
          <cell r="M3717">
            <v>0</v>
          </cell>
          <cell r="P3717">
            <v>1382</v>
          </cell>
          <cell r="V3717" t="str">
            <v>Available</v>
          </cell>
        </row>
        <row r="3718">
          <cell r="E3718">
            <v>10140179</v>
          </cell>
          <cell r="H3718">
            <v>16.720000000000002</v>
          </cell>
          <cell r="I3718">
            <v>656.8</v>
          </cell>
          <cell r="J3718">
            <v>0</v>
          </cell>
          <cell r="K3718">
            <v>0</v>
          </cell>
          <cell r="M3718">
            <v>0</v>
          </cell>
          <cell r="P3718">
            <v>657</v>
          </cell>
          <cell r="V3718" t="str">
            <v>Available</v>
          </cell>
        </row>
        <row r="3719">
          <cell r="E3719">
            <v>10140179</v>
          </cell>
          <cell r="H3719">
            <v>1.5</v>
          </cell>
          <cell r="I3719">
            <v>45.03</v>
          </cell>
          <cell r="J3719">
            <v>0</v>
          </cell>
          <cell r="K3719">
            <v>0</v>
          </cell>
          <cell r="M3719">
            <v>0</v>
          </cell>
          <cell r="P3719">
            <v>45</v>
          </cell>
          <cell r="V3719" t="str">
            <v>Available</v>
          </cell>
        </row>
        <row r="3720">
          <cell r="E3720">
            <v>10140179</v>
          </cell>
          <cell r="H3720">
            <v>24.679999999999996</v>
          </cell>
          <cell r="I3720">
            <v>1382.48</v>
          </cell>
          <cell r="J3720">
            <v>0</v>
          </cell>
          <cell r="K3720">
            <v>0</v>
          </cell>
          <cell r="M3720">
            <v>0</v>
          </cell>
          <cell r="P3720">
            <v>1382</v>
          </cell>
          <cell r="V3720" t="str">
            <v>Available</v>
          </cell>
        </row>
        <row r="3721">
          <cell r="E3721">
            <v>10140179</v>
          </cell>
          <cell r="H3721">
            <v>14.89</v>
          </cell>
          <cell r="I3721">
            <v>539.71999999999991</v>
          </cell>
          <cell r="J3721">
            <v>0</v>
          </cell>
          <cell r="K3721">
            <v>0</v>
          </cell>
          <cell r="M3721">
            <v>0</v>
          </cell>
          <cell r="P3721">
            <v>540</v>
          </cell>
          <cell r="V3721" t="str">
            <v>Available</v>
          </cell>
        </row>
        <row r="3722">
          <cell r="E3722">
            <v>10140179</v>
          </cell>
          <cell r="H3722">
            <v>37.22</v>
          </cell>
          <cell r="I3722">
            <v>1482.51</v>
          </cell>
          <cell r="J3722">
            <v>0</v>
          </cell>
          <cell r="K3722">
            <v>0</v>
          </cell>
          <cell r="M3722">
            <v>0</v>
          </cell>
          <cell r="P3722">
            <v>1483</v>
          </cell>
          <cell r="V3722" t="str">
            <v>Available</v>
          </cell>
        </row>
        <row r="3723">
          <cell r="E3723">
            <v>10140179</v>
          </cell>
          <cell r="H3723">
            <v>15.770000000000001</v>
          </cell>
          <cell r="I3723">
            <v>530.23</v>
          </cell>
          <cell r="J3723">
            <v>0</v>
          </cell>
          <cell r="K3723">
            <v>0</v>
          </cell>
          <cell r="M3723">
            <v>0</v>
          </cell>
          <cell r="P3723">
            <v>530</v>
          </cell>
          <cell r="V3723" t="str">
            <v>Available</v>
          </cell>
        </row>
        <row r="3724">
          <cell r="E3724">
            <v>10140179</v>
          </cell>
          <cell r="H3724">
            <v>2.5</v>
          </cell>
          <cell r="I3724">
            <v>113.58</v>
          </cell>
          <cell r="J3724">
            <v>0</v>
          </cell>
          <cell r="K3724">
            <v>0</v>
          </cell>
          <cell r="M3724">
            <v>0</v>
          </cell>
          <cell r="P3724">
            <v>114</v>
          </cell>
          <cell r="V3724" t="str">
            <v>Available</v>
          </cell>
        </row>
        <row r="3725">
          <cell r="E3725">
            <v>10140179</v>
          </cell>
          <cell r="H3725">
            <v>13.930000000000001</v>
          </cell>
          <cell r="I3725">
            <v>468.20000000000005</v>
          </cell>
          <cell r="J3725">
            <v>0</v>
          </cell>
          <cell r="K3725">
            <v>0</v>
          </cell>
          <cell r="M3725">
            <v>0</v>
          </cell>
          <cell r="P3725">
            <v>468</v>
          </cell>
          <cell r="V3725" t="str">
            <v>Available</v>
          </cell>
        </row>
        <row r="3726">
          <cell r="E3726">
            <v>10140180</v>
          </cell>
          <cell r="H3726">
            <v>2.5000000000000004</v>
          </cell>
          <cell r="I3726">
            <v>109.49000000000001</v>
          </cell>
          <cell r="J3726">
            <v>0</v>
          </cell>
          <cell r="K3726">
            <v>109.49000000000001</v>
          </cell>
          <cell r="M3726">
            <v>0</v>
          </cell>
          <cell r="P3726">
            <v>0</v>
          </cell>
          <cell r="V3726" t="str">
            <v>Not Available</v>
          </cell>
        </row>
        <row r="3727">
          <cell r="E3727">
            <v>10140180</v>
          </cell>
          <cell r="H3727">
            <v>22.900000000000002</v>
          </cell>
          <cell r="I3727">
            <v>999.37999999999988</v>
          </cell>
          <cell r="J3727">
            <v>0</v>
          </cell>
          <cell r="K3727">
            <v>0</v>
          </cell>
          <cell r="M3727">
            <v>290.38</v>
          </cell>
          <cell r="P3727">
            <v>684</v>
          </cell>
          <cell r="V3727" t="str">
            <v>Available</v>
          </cell>
        </row>
        <row r="3728">
          <cell r="E3728">
            <v>10140180</v>
          </cell>
          <cell r="H3728">
            <v>19.7</v>
          </cell>
          <cell r="I3728">
            <v>854.23</v>
          </cell>
          <cell r="J3728">
            <v>0</v>
          </cell>
          <cell r="K3728">
            <v>0</v>
          </cell>
          <cell r="M3728">
            <v>854.23</v>
          </cell>
          <cell r="P3728">
            <v>0</v>
          </cell>
          <cell r="V3728" t="str">
            <v>Available</v>
          </cell>
        </row>
        <row r="3729">
          <cell r="E3729">
            <v>10140180</v>
          </cell>
          <cell r="H3729">
            <v>29.500000000000004</v>
          </cell>
          <cell r="I3729">
            <v>1097.5700000000002</v>
          </cell>
          <cell r="J3729">
            <v>0</v>
          </cell>
          <cell r="K3729">
            <v>0</v>
          </cell>
          <cell r="M3729">
            <v>1097.5700000000002</v>
          </cell>
          <cell r="P3729">
            <v>0</v>
          </cell>
          <cell r="V3729" t="str">
            <v>Available</v>
          </cell>
        </row>
        <row r="3730">
          <cell r="E3730">
            <v>10140180</v>
          </cell>
          <cell r="H3730">
            <v>21.900000000000002</v>
          </cell>
          <cell r="I3730">
            <v>821.44</v>
          </cell>
          <cell r="J3730">
            <v>0</v>
          </cell>
          <cell r="K3730">
            <v>0</v>
          </cell>
          <cell r="M3730">
            <v>0</v>
          </cell>
          <cell r="P3730">
            <v>821</v>
          </cell>
          <cell r="V3730" t="str">
            <v>Available</v>
          </cell>
        </row>
        <row r="3731">
          <cell r="E3731">
            <v>10140180</v>
          </cell>
          <cell r="H3731">
            <v>13.700000000000001</v>
          </cell>
          <cell r="I3731">
            <v>525.41</v>
          </cell>
          <cell r="J3731">
            <v>0</v>
          </cell>
          <cell r="K3731">
            <v>0</v>
          </cell>
          <cell r="M3731">
            <v>0</v>
          </cell>
          <cell r="P3731">
            <v>525</v>
          </cell>
          <cell r="V3731" t="str">
            <v>Available</v>
          </cell>
        </row>
        <row r="3732">
          <cell r="E3732">
            <v>10140185</v>
          </cell>
          <cell r="H3732">
            <v>259</v>
          </cell>
          <cell r="I3732">
            <v>7402.22</v>
          </cell>
          <cell r="J3732">
            <v>0</v>
          </cell>
          <cell r="K3732">
            <v>0</v>
          </cell>
          <cell r="M3732">
            <v>0</v>
          </cell>
          <cell r="P3732">
            <v>7402</v>
          </cell>
          <cell r="V3732" t="str">
            <v>Available</v>
          </cell>
        </row>
        <row r="3733">
          <cell r="E3733">
            <v>10140194</v>
          </cell>
          <cell r="H3733">
            <v>331.43999999999994</v>
          </cell>
          <cell r="I3733">
            <v>13422.38</v>
          </cell>
          <cell r="J3733">
            <v>0</v>
          </cell>
          <cell r="K3733">
            <v>0</v>
          </cell>
          <cell r="M3733">
            <v>0</v>
          </cell>
          <cell r="P3733">
            <v>13422</v>
          </cell>
          <cell r="V3733" t="str">
            <v>Available</v>
          </cell>
        </row>
        <row r="3734">
          <cell r="E3734">
            <v>10140194</v>
          </cell>
          <cell r="H3734">
            <v>25</v>
          </cell>
          <cell r="I3734">
            <v>1046</v>
          </cell>
          <cell r="J3734">
            <v>0</v>
          </cell>
          <cell r="K3734">
            <v>0</v>
          </cell>
          <cell r="M3734">
            <v>0</v>
          </cell>
          <cell r="P3734">
            <v>1046</v>
          </cell>
          <cell r="V3734" t="str">
            <v>Available</v>
          </cell>
        </row>
        <row r="3735">
          <cell r="E3735">
            <v>10140197</v>
          </cell>
          <cell r="H3735">
            <v>141</v>
          </cell>
          <cell r="I3735">
            <v>6174.39</v>
          </cell>
          <cell r="J3735">
            <v>0</v>
          </cell>
          <cell r="K3735">
            <v>0</v>
          </cell>
          <cell r="M3735">
            <v>0</v>
          </cell>
          <cell r="P3735">
            <v>6174</v>
          </cell>
          <cell r="V3735" t="str">
            <v>Available</v>
          </cell>
        </row>
        <row r="3736">
          <cell r="E3736">
            <v>10140208</v>
          </cell>
          <cell r="H3736">
            <v>395.05000000000007</v>
          </cell>
          <cell r="I3736">
            <v>15961.48</v>
          </cell>
          <cell r="J3736">
            <v>0</v>
          </cell>
          <cell r="K3736">
            <v>0</v>
          </cell>
          <cell r="M3736">
            <v>0</v>
          </cell>
          <cell r="P3736">
            <v>15961</v>
          </cell>
          <cell r="V3736" t="str">
            <v>Available</v>
          </cell>
        </row>
        <row r="3737">
          <cell r="E3737">
            <v>10140208</v>
          </cell>
          <cell r="H3737">
            <v>410.15999999999997</v>
          </cell>
          <cell r="I3737">
            <v>16731.2</v>
          </cell>
          <cell r="J3737">
            <v>0</v>
          </cell>
          <cell r="K3737">
            <v>0</v>
          </cell>
          <cell r="M3737">
            <v>0</v>
          </cell>
          <cell r="P3737">
            <v>16731</v>
          </cell>
          <cell r="V3737" t="str">
            <v>Available</v>
          </cell>
        </row>
        <row r="3738">
          <cell r="E3738">
            <v>10200001</v>
          </cell>
          <cell r="H3738">
            <v>679.1</v>
          </cell>
          <cell r="I3738">
            <v>25581.7</v>
          </cell>
          <cell r="J3738">
            <v>0</v>
          </cell>
          <cell r="K3738">
            <v>0</v>
          </cell>
          <cell r="M3738">
            <v>0</v>
          </cell>
          <cell r="P3738">
            <v>25582</v>
          </cell>
          <cell r="V3738" t="str">
            <v>Available</v>
          </cell>
        </row>
        <row r="3739">
          <cell r="E3739">
            <v>10240001</v>
          </cell>
          <cell r="H3739">
            <v>26.200000000000003</v>
          </cell>
          <cell r="I3739">
            <v>1351.9299999999998</v>
          </cell>
          <cell r="J3739">
            <v>0</v>
          </cell>
          <cell r="K3739">
            <v>1351.9299999999998</v>
          </cell>
          <cell r="M3739">
            <v>0</v>
          </cell>
          <cell r="P3739">
            <v>0</v>
          </cell>
          <cell r="V3739" t="str">
            <v>Not Available</v>
          </cell>
        </row>
        <row r="3740">
          <cell r="E3740">
            <v>10240001</v>
          </cell>
          <cell r="H3740">
            <v>4.5</v>
          </cell>
          <cell r="I3740">
            <v>172.89000000000001</v>
          </cell>
          <cell r="J3740">
            <v>0</v>
          </cell>
          <cell r="K3740">
            <v>0</v>
          </cell>
          <cell r="M3740">
            <v>0</v>
          </cell>
          <cell r="P3740">
            <v>173</v>
          </cell>
          <cell r="V3740" t="str">
            <v>Available</v>
          </cell>
        </row>
        <row r="3741">
          <cell r="E3741">
            <v>10240001</v>
          </cell>
          <cell r="H3741">
            <v>19.600000000000001</v>
          </cell>
          <cell r="I3741">
            <v>675.23</v>
          </cell>
          <cell r="J3741">
            <v>0</v>
          </cell>
          <cell r="K3741">
            <v>0</v>
          </cell>
          <cell r="M3741">
            <v>0</v>
          </cell>
          <cell r="P3741">
            <v>675</v>
          </cell>
          <cell r="V3741" t="str">
            <v>Available</v>
          </cell>
        </row>
        <row r="3742">
          <cell r="E3742">
            <v>10240001</v>
          </cell>
          <cell r="H3742">
            <v>105.6</v>
          </cell>
          <cell r="I3742">
            <v>3291.9700000000007</v>
          </cell>
          <cell r="J3742">
            <v>0</v>
          </cell>
          <cell r="K3742">
            <v>0</v>
          </cell>
          <cell r="M3742">
            <v>0</v>
          </cell>
          <cell r="P3742">
            <v>3292</v>
          </cell>
          <cell r="V3742" t="str">
            <v>Available</v>
          </cell>
        </row>
        <row r="3743">
          <cell r="E3743">
            <v>10240001</v>
          </cell>
          <cell r="H3743">
            <v>46.900000000000013</v>
          </cell>
          <cell r="I3743">
            <v>1794.5500000000002</v>
          </cell>
          <cell r="J3743">
            <v>0</v>
          </cell>
          <cell r="K3743">
            <v>0</v>
          </cell>
          <cell r="M3743">
            <v>0</v>
          </cell>
          <cell r="P3743">
            <v>1795</v>
          </cell>
          <cell r="V3743" t="str">
            <v>Available</v>
          </cell>
        </row>
        <row r="3744">
          <cell r="E3744">
            <v>10240001</v>
          </cell>
          <cell r="H3744">
            <v>22.099999999999998</v>
          </cell>
          <cell r="I3744">
            <v>747.74999999999989</v>
          </cell>
          <cell r="J3744">
            <v>0</v>
          </cell>
          <cell r="K3744">
            <v>0</v>
          </cell>
          <cell r="M3744">
            <v>0</v>
          </cell>
          <cell r="P3744">
            <v>748</v>
          </cell>
          <cell r="V3744" t="str">
            <v>Available</v>
          </cell>
        </row>
        <row r="3745">
          <cell r="E3745">
            <v>10240001</v>
          </cell>
          <cell r="H3745">
            <v>47.099999999999994</v>
          </cell>
          <cell r="I3745">
            <v>1734.2599999999998</v>
          </cell>
          <cell r="J3745">
            <v>0</v>
          </cell>
          <cell r="K3745">
            <v>0</v>
          </cell>
          <cell r="M3745">
            <v>0</v>
          </cell>
          <cell r="P3745">
            <v>1734</v>
          </cell>
          <cell r="V3745" t="str">
            <v>Available</v>
          </cell>
        </row>
        <row r="3746">
          <cell r="E3746">
            <v>10240001</v>
          </cell>
          <cell r="H3746">
            <v>2.8</v>
          </cell>
          <cell r="I3746">
            <v>96.12</v>
          </cell>
          <cell r="J3746">
            <v>0</v>
          </cell>
          <cell r="K3746">
            <v>0</v>
          </cell>
          <cell r="M3746">
            <v>0</v>
          </cell>
          <cell r="P3746">
            <v>96</v>
          </cell>
          <cell r="V3746" t="str">
            <v>Available</v>
          </cell>
        </row>
        <row r="3747">
          <cell r="E3747">
            <v>10240001</v>
          </cell>
          <cell r="H3747">
            <v>24.199999999999996</v>
          </cell>
          <cell r="I3747">
            <v>838.2</v>
          </cell>
          <cell r="J3747">
            <v>0</v>
          </cell>
          <cell r="K3747">
            <v>0</v>
          </cell>
          <cell r="M3747">
            <v>0</v>
          </cell>
          <cell r="P3747">
            <v>838</v>
          </cell>
          <cell r="V3747" t="str">
            <v>Available</v>
          </cell>
        </row>
        <row r="3748">
          <cell r="E3748">
            <v>10240001</v>
          </cell>
          <cell r="H3748">
            <v>9.9</v>
          </cell>
          <cell r="I3748">
            <v>332.19</v>
          </cell>
          <cell r="J3748">
            <v>0</v>
          </cell>
          <cell r="K3748">
            <v>0</v>
          </cell>
          <cell r="M3748">
            <v>0</v>
          </cell>
          <cell r="P3748">
            <v>332</v>
          </cell>
          <cell r="V3748" t="str">
            <v>Available</v>
          </cell>
        </row>
        <row r="3749">
          <cell r="E3749">
            <v>10240001</v>
          </cell>
          <cell r="H3749">
            <v>20.599999999999998</v>
          </cell>
          <cell r="I3749">
            <v>862.19</v>
          </cell>
          <cell r="J3749">
            <v>0</v>
          </cell>
          <cell r="K3749">
            <v>0</v>
          </cell>
          <cell r="M3749">
            <v>0</v>
          </cell>
          <cell r="P3749">
            <v>862</v>
          </cell>
          <cell r="V3749" t="str">
            <v>Available</v>
          </cell>
        </row>
        <row r="3750">
          <cell r="E3750">
            <v>10240001</v>
          </cell>
          <cell r="H3750">
            <v>10.8</v>
          </cell>
          <cell r="I3750">
            <v>367.42</v>
          </cell>
          <cell r="J3750">
            <v>0</v>
          </cell>
          <cell r="K3750">
            <v>0</v>
          </cell>
          <cell r="M3750">
            <v>0</v>
          </cell>
          <cell r="P3750">
            <v>367</v>
          </cell>
          <cell r="V3750" t="str">
            <v>Available</v>
          </cell>
        </row>
        <row r="3751">
          <cell r="E3751">
            <v>10240001</v>
          </cell>
          <cell r="H3751">
            <v>29.499999999999996</v>
          </cell>
          <cell r="I3751">
            <v>977.99</v>
          </cell>
          <cell r="J3751">
            <v>0</v>
          </cell>
          <cell r="K3751">
            <v>0</v>
          </cell>
          <cell r="M3751">
            <v>0</v>
          </cell>
          <cell r="P3751">
            <v>978</v>
          </cell>
          <cell r="V3751" t="str">
            <v>Available</v>
          </cell>
        </row>
        <row r="3752">
          <cell r="E3752">
            <v>10240001</v>
          </cell>
          <cell r="H3752">
            <v>29.999999999999996</v>
          </cell>
          <cell r="I3752">
            <v>1069.68</v>
          </cell>
          <cell r="J3752">
            <v>0</v>
          </cell>
          <cell r="K3752">
            <v>0</v>
          </cell>
          <cell r="M3752">
            <v>0</v>
          </cell>
          <cell r="P3752">
            <v>1070</v>
          </cell>
          <cell r="V3752" t="str">
            <v>Available</v>
          </cell>
        </row>
        <row r="3753">
          <cell r="E3753">
            <v>10240001</v>
          </cell>
          <cell r="H3753">
            <v>1.1000000000000001</v>
          </cell>
          <cell r="I3753">
            <v>49.45</v>
          </cell>
          <cell r="J3753">
            <v>0</v>
          </cell>
          <cell r="K3753">
            <v>0</v>
          </cell>
          <cell r="M3753">
            <v>0</v>
          </cell>
          <cell r="P3753">
            <v>49</v>
          </cell>
          <cell r="V3753" t="str">
            <v>Available</v>
          </cell>
        </row>
        <row r="3754">
          <cell r="E3754">
            <v>10240001</v>
          </cell>
          <cell r="H3754">
            <v>54.7</v>
          </cell>
          <cell r="I3754">
            <v>2839.4199999999996</v>
          </cell>
          <cell r="J3754">
            <v>0</v>
          </cell>
          <cell r="K3754">
            <v>0</v>
          </cell>
          <cell r="M3754">
            <v>0</v>
          </cell>
          <cell r="P3754">
            <v>2839</v>
          </cell>
          <cell r="V3754" t="str">
            <v>Available</v>
          </cell>
        </row>
        <row r="3755">
          <cell r="E3755">
            <v>10240001</v>
          </cell>
          <cell r="H3755">
            <v>17.200000000000003</v>
          </cell>
          <cell r="I3755">
            <v>628.67000000000007</v>
          </cell>
          <cell r="J3755">
            <v>0</v>
          </cell>
          <cell r="K3755">
            <v>0</v>
          </cell>
          <cell r="M3755">
            <v>0</v>
          </cell>
          <cell r="P3755">
            <v>629</v>
          </cell>
          <cell r="V3755" t="str">
            <v>Available</v>
          </cell>
        </row>
        <row r="3756">
          <cell r="E3756">
            <v>10240001</v>
          </cell>
          <cell r="H3756">
            <v>30.8</v>
          </cell>
          <cell r="I3756">
            <v>1049.0999999999999</v>
          </cell>
          <cell r="J3756">
            <v>0</v>
          </cell>
          <cell r="K3756">
            <v>0</v>
          </cell>
          <cell r="M3756">
            <v>0</v>
          </cell>
          <cell r="P3756">
            <v>1049</v>
          </cell>
          <cell r="V3756" t="str">
            <v>Available</v>
          </cell>
        </row>
        <row r="3757">
          <cell r="E3757">
            <v>10240001</v>
          </cell>
          <cell r="H3757">
            <v>10.9</v>
          </cell>
          <cell r="I3757">
            <v>362.76</v>
          </cell>
          <cell r="J3757">
            <v>0</v>
          </cell>
          <cell r="K3757">
            <v>0</v>
          </cell>
          <cell r="M3757">
            <v>0</v>
          </cell>
          <cell r="P3757">
            <v>363</v>
          </cell>
          <cell r="V3757" t="str">
            <v>Available</v>
          </cell>
        </row>
        <row r="3758">
          <cell r="E3758">
            <v>10240001</v>
          </cell>
          <cell r="H3758">
            <v>6.2</v>
          </cell>
          <cell r="I3758">
            <v>219.49</v>
          </cell>
          <cell r="J3758">
            <v>0</v>
          </cell>
          <cell r="K3758">
            <v>0</v>
          </cell>
          <cell r="M3758">
            <v>0</v>
          </cell>
          <cell r="P3758">
            <v>219</v>
          </cell>
          <cell r="V3758" t="str">
            <v>Available</v>
          </cell>
        </row>
        <row r="3759">
          <cell r="E3759">
            <v>10240001</v>
          </cell>
          <cell r="H3759">
            <v>44.899999999999991</v>
          </cell>
          <cell r="I3759">
            <v>1698.76</v>
          </cell>
          <cell r="J3759">
            <v>0</v>
          </cell>
          <cell r="K3759">
            <v>0</v>
          </cell>
          <cell r="M3759">
            <v>0</v>
          </cell>
          <cell r="P3759">
            <v>1699</v>
          </cell>
          <cell r="V3759" t="str">
            <v>Available</v>
          </cell>
        </row>
        <row r="3760">
          <cell r="E3760">
            <v>10240001</v>
          </cell>
          <cell r="H3760">
            <v>39.4</v>
          </cell>
          <cell r="I3760">
            <v>1889.62</v>
          </cell>
          <cell r="J3760">
            <v>0</v>
          </cell>
          <cell r="K3760">
            <v>0</v>
          </cell>
          <cell r="M3760">
            <v>0</v>
          </cell>
          <cell r="P3760">
            <v>1890</v>
          </cell>
          <cell r="V3760" t="str">
            <v>Available</v>
          </cell>
        </row>
        <row r="3761">
          <cell r="E3761">
            <v>10240001</v>
          </cell>
          <cell r="H3761">
            <v>20.000000000000004</v>
          </cell>
          <cell r="I3761">
            <v>672.54</v>
          </cell>
          <cell r="J3761">
            <v>0</v>
          </cell>
          <cell r="K3761">
            <v>0</v>
          </cell>
          <cell r="M3761">
            <v>0</v>
          </cell>
          <cell r="P3761">
            <v>673</v>
          </cell>
          <cell r="V3761" t="str">
            <v>Available</v>
          </cell>
        </row>
        <row r="3762">
          <cell r="E3762">
            <v>10240001</v>
          </cell>
          <cell r="H3762">
            <v>11.4</v>
          </cell>
          <cell r="I3762">
            <v>374.49</v>
          </cell>
          <cell r="J3762">
            <v>0</v>
          </cell>
          <cell r="K3762">
            <v>0</v>
          </cell>
          <cell r="M3762">
            <v>0</v>
          </cell>
          <cell r="P3762">
            <v>374</v>
          </cell>
          <cell r="V3762" t="str">
            <v>Available</v>
          </cell>
        </row>
        <row r="3763">
          <cell r="E3763">
            <v>10240001</v>
          </cell>
          <cell r="H3763">
            <v>4.5</v>
          </cell>
          <cell r="I3763">
            <v>162.41</v>
          </cell>
          <cell r="J3763">
            <v>0</v>
          </cell>
          <cell r="K3763">
            <v>0</v>
          </cell>
          <cell r="M3763">
            <v>0</v>
          </cell>
          <cell r="P3763">
            <v>162</v>
          </cell>
          <cell r="V3763" t="str">
            <v>Available</v>
          </cell>
        </row>
        <row r="3764">
          <cell r="E3764">
            <v>10240001</v>
          </cell>
          <cell r="H3764">
            <v>39.800000000000004</v>
          </cell>
          <cell r="I3764">
            <v>1231.8900000000001</v>
          </cell>
          <cell r="J3764">
            <v>0</v>
          </cell>
          <cell r="K3764">
            <v>0</v>
          </cell>
          <cell r="M3764">
            <v>0</v>
          </cell>
          <cell r="P3764">
            <v>1232</v>
          </cell>
          <cell r="V3764" t="str">
            <v>Available</v>
          </cell>
        </row>
        <row r="3765">
          <cell r="E3765">
            <v>10240001</v>
          </cell>
          <cell r="H3765">
            <v>37.800000000000004</v>
          </cell>
          <cell r="I3765">
            <v>1264.81</v>
          </cell>
          <cell r="J3765">
            <v>0</v>
          </cell>
          <cell r="K3765">
            <v>0</v>
          </cell>
          <cell r="M3765">
            <v>0</v>
          </cell>
          <cell r="P3765">
            <v>1265</v>
          </cell>
          <cell r="V3765" t="str">
            <v>Available</v>
          </cell>
        </row>
        <row r="3766">
          <cell r="E3766">
            <v>10240001</v>
          </cell>
          <cell r="H3766">
            <v>16</v>
          </cell>
          <cell r="I3766">
            <v>550.34</v>
          </cell>
          <cell r="J3766">
            <v>0</v>
          </cell>
          <cell r="K3766">
            <v>0</v>
          </cell>
          <cell r="M3766">
            <v>0</v>
          </cell>
          <cell r="P3766">
            <v>550</v>
          </cell>
          <cell r="V3766" t="str">
            <v>Available</v>
          </cell>
        </row>
        <row r="3767">
          <cell r="E3767">
            <v>10240001</v>
          </cell>
          <cell r="H3767">
            <v>132.5</v>
          </cell>
          <cell r="I3767">
            <v>5235.3599999999997</v>
          </cell>
          <cell r="J3767">
            <v>0</v>
          </cell>
          <cell r="K3767">
            <v>0</v>
          </cell>
          <cell r="M3767">
            <v>0</v>
          </cell>
          <cell r="P3767">
            <v>5235</v>
          </cell>
          <cell r="V3767" t="str">
            <v>Available</v>
          </cell>
        </row>
        <row r="3768">
          <cell r="E3768">
            <v>10240001</v>
          </cell>
          <cell r="H3768">
            <v>12.799999999999999</v>
          </cell>
          <cell r="I3768">
            <v>452.64000000000004</v>
          </cell>
          <cell r="J3768">
            <v>0</v>
          </cell>
          <cell r="K3768">
            <v>0</v>
          </cell>
          <cell r="M3768">
            <v>0</v>
          </cell>
          <cell r="P3768">
            <v>453</v>
          </cell>
          <cell r="V3768" t="str">
            <v>Available</v>
          </cell>
        </row>
        <row r="3769">
          <cell r="E3769">
            <v>10240001</v>
          </cell>
          <cell r="H3769">
            <v>35.9</v>
          </cell>
          <cell r="I3769">
            <v>1249.53</v>
          </cell>
          <cell r="J3769">
            <v>0</v>
          </cell>
          <cell r="K3769">
            <v>0</v>
          </cell>
          <cell r="M3769">
            <v>0</v>
          </cell>
          <cell r="P3769">
            <v>1250</v>
          </cell>
          <cell r="V3769" t="str">
            <v>Available</v>
          </cell>
        </row>
        <row r="3770">
          <cell r="E3770">
            <v>10240001</v>
          </cell>
          <cell r="H3770">
            <v>35.700000000000003</v>
          </cell>
          <cell r="I3770">
            <v>1226.9900000000002</v>
          </cell>
          <cell r="J3770">
            <v>0</v>
          </cell>
          <cell r="K3770">
            <v>0</v>
          </cell>
          <cell r="M3770">
            <v>0</v>
          </cell>
          <cell r="P3770">
            <v>1227</v>
          </cell>
          <cell r="V3770" t="str">
            <v>Available</v>
          </cell>
        </row>
        <row r="3771">
          <cell r="E3771">
            <v>10240001</v>
          </cell>
          <cell r="H3771">
            <v>68.8</v>
          </cell>
          <cell r="I3771">
            <v>2126.5299999999997</v>
          </cell>
          <cell r="J3771">
            <v>0</v>
          </cell>
          <cell r="K3771">
            <v>0</v>
          </cell>
          <cell r="M3771">
            <v>0</v>
          </cell>
          <cell r="P3771">
            <v>2127</v>
          </cell>
          <cell r="V3771" t="str">
            <v>Available</v>
          </cell>
        </row>
        <row r="3772">
          <cell r="E3772">
            <v>10240001</v>
          </cell>
          <cell r="H3772">
            <v>23</v>
          </cell>
          <cell r="I3772">
            <v>806.89</v>
          </cell>
          <cell r="J3772">
            <v>0</v>
          </cell>
          <cell r="K3772">
            <v>0</v>
          </cell>
          <cell r="M3772">
            <v>0</v>
          </cell>
          <cell r="P3772">
            <v>807</v>
          </cell>
          <cell r="V3772" t="str">
            <v>Available</v>
          </cell>
        </row>
        <row r="3773">
          <cell r="E3773">
            <v>10240001</v>
          </cell>
          <cell r="H3773">
            <v>22.2</v>
          </cell>
          <cell r="I3773">
            <v>739.46</v>
          </cell>
          <cell r="J3773">
            <v>0</v>
          </cell>
          <cell r="K3773">
            <v>0</v>
          </cell>
          <cell r="M3773">
            <v>0</v>
          </cell>
          <cell r="P3773">
            <v>739</v>
          </cell>
          <cell r="V3773" t="str">
            <v>Available</v>
          </cell>
        </row>
        <row r="3774">
          <cell r="E3774">
            <v>10240001</v>
          </cell>
          <cell r="H3774">
            <v>23.599999999999998</v>
          </cell>
          <cell r="I3774">
            <v>1325.6200000000001</v>
          </cell>
          <cell r="J3774">
            <v>0</v>
          </cell>
          <cell r="K3774">
            <v>0</v>
          </cell>
          <cell r="M3774">
            <v>0</v>
          </cell>
          <cell r="P3774">
            <v>1326</v>
          </cell>
          <cell r="V3774" t="str">
            <v>Available</v>
          </cell>
        </row>
        <row r="3775">
          <cell r="E3775">
            <v>10240001</v>
          </cell>
          <cell r="H3775">
            <v>37</v>
          </cell>
          <cell r="I3775">
            <v>1294.28</v>
          </cell>
          <cell r="J3775">
            <v>0</v>
          </cell>
          <cell r="K3775">
            <v>0</v>
          </cell>
          <cell r="M3775">
            <v>0</v>
          </cell>
          <cell r="P3775">
            <v>1294</v>
          </cell>
          <cell r="V3775" t="str">
            <v>Available</v>
          </cell>
        </row>
        <row r="3776">
          <cell r="E3776">
            <v>10240001</v>
          </cell>
          <cell r="H3776">
            <v>2.4</v>
          </cell>
          <cell r="I3776">
            <v>85.54</v>
          </cell>
          <cell r="J3776">
            <v>0</v>
          </cell>
          <cell r="K3776">
            <v>0</v>
          </cell>
          <cell r="M3776">
            <v>0</v>
          </cell>
          <cell r="P3776">
            <v>86</v>
          </cell>
          <cell r="V3776" t="str">
            <v>Available</v>
          </cell>
        </row>
        <row r="3777">
          <cell r="E3777">
            <v>10240001</v>
          </cell>
          <cell r="H3777">
            <v>32.199999999999996</v>
          </cell>
          <cell r="I3777">
            <v>1163.5</v>
          </cell>
          <cell r="J3777">
            <v>0</v>
          </cell>
          <cell r="K3777">
            <v>0</v>
          </cell>
          <cell r="M3777">
            <v>0</v>
          </cell>
          <cell r="P3777">
            <v>1164</v>
          </cell>
          <cell r="V3777" t="str">
            <v>Available</v>
          </cell>
        </row>
        <row r="3778">
          <cell r="E3778">
            <v>10240001</v>
          </cell>
          <cell r="H3778">
            <v>15.200000000000001</v>
          </cell>
          <cell r="I3778">
            <v>882.73</v>
          </cell>
          <cell r="J3778">
            <v>0</v>
          </cell>
          <cell r="K3778">
            <v>0</v>
          </cell>
          <cell r="M3778">
            <v>0</v>
          </cell>
          <cell r="P3778">
            <v>883</v>
          </cell>
          <cell r="V3778" t="str">
            <v>Available</v>
          </cell>
        </row>
        <row r="3779">
          <cell r="E3779">
            <v>10240001</v>
          </cell>
          <cell r="H3779">
            <v>2.2999999999999998</v>
          </cell>
          <cell r="I3779">
            <v>79.17</v>
          </cell>
          <cell r="J3779">
            <v>0</v>
          </cell>
          <cell r="K3779">
            <v>0</v>
          </cell>
          <cell r="M3779">
            <v>0</v>
          </cell>
          <cell r="P3779">
            <v>79</v>
          </cell>
          <cell r="V3779" t="str">
            <v>Available</v>
          </cell>
        </row>
        <row r="3780">
          <cell r="E3780">
            <v>10240001</v>
          </cell>
          <cell r="H3780">
            <v>29.5</v>
          </cell>
          <cell r="I3780">
            <v>1159.97</v>
          </cell>
          <cell r="J3780">
            <v>0</v>
          </cell>
          <cell r="K3780">
            <v>0</v>
          </cell>
          <cell r="M3780">
            <v>0</v>
          </cell>
          <cell r="P3780">
            <v>1160</v>
          </cell>
          <cell r="V3780" t="str">
            <v>Available</v>
          </cell>
        </row>
        <row r="3781">
          <cell r="E3781">
            <v>10240001</v>
          </cell>
          <cell r="H3781">
            <v>22.799999999999997</v>
          </cell>
          <cell r="I3781">
            <v>766.41000000000008</v>
          </cell>
          <cell r="J3781">
            <v>0</v>
          </cell>
          <cell r="K3781">
            <v>0</v>
          </cell>
          <cell r="M3781">
            <v>0</v>
          </cell>
          <cell r="P3781">
            <v>766</v>
          </cell>
          <cell r="V3781" t="str">
            <v>Available</v>
          </cell>
        </row>
        <row r="3782">
          <cell r="E3782">
            <v>10240001</v>
          </cell>
          <cell r="H3782">
            <v>15.600000000000001</v>
          </cell>
          <cell r="I3782">
            <v>610.74</v>
          </cell>
          <cell r="J3782">
            <v>0</v>
          </cell>
          <cell r="K3782">
            <v>0</v>
          </cell>
          <cell r="M3782">
            <v>0</v>
          </cell>
          <cell r="P3782">
            <v>611</v>
          </cell>
          <cell r="V3782" t="str">
            <v>Available</v>
          </cell>
        </row>
        <row r="3783">
          <cell r="E3783">
            <v>10240001</v>
          </cell>
          <cell r="H3783">
            <v>131.39999999999998</v>
          </cell>
          <cell r="I3783">
            <v>4618.79</v>
          </cell>
          <cell r="J3783">
            <v>0</v>
          </cell>
          <cell r="K3783">
            <v>0</v>
          </cell>
          <cell r="M3783">
            <v>0</v>
          </cell>
          <cell r="P3783">
            <v>4619</v>
          </cell>
          <cell r="V3783" t="str">
            <v>Available</v>
          </cell>
        </row>
        <row r="3784">
          <cell r="E3784">
            <v>10240001</v>
          </cell>
          <cell r="H3784">
            <v>2.6</v>
          </cell>
          <cell r="I3784">
            <v>84.87</v>
          </cell>
          <cell r="J3784">
            <v>0</v>
          </cell>
          <cell r="K3784">
            <v>0</v>
          </cell>
          <cell r="M3784">
            <v>0</v>
          </cell>
          <cell r="P3784">
            <v>85</v>
          </cell>
          <cell r="V3784" t="str">
            <v>Available</v>
          </cell>
        </row>
        <row r="3785">
          <cell r="E3785">
            <v>10240001</v>
          </cell>
          <cell r="H3785">
            <v>15</v>
          </cell>
          <cell r="I3785">
            <v>523.32000000000005</v>
          </cell>
          <cell r="J3785">
            <v>0</v>
          </cell>
          <cell r="K3785">
            <v>0</v>
          </cell>
          <cell r="M3785">
            <v>0</v>
          </cell>
          <cell r="P3785">
            <v>523</v>
          </cell>
          <cell r="V3785" t="str">
            <v>Available</v>
          </cell>
        </row>
        <row r="3786">
          <cell r="E3786">
            <v>10240001</v>
          </cell>
          <cell r="H3786">
            <v>20.300000000000004</v>
          </cell>
          <cell r="I3786">
            <v>727.17</v>
          </cell>
          <cell r="J3786">
            <v>0</v>
          </cell>
          <cell r="K3786">
            <v>0</v>
          </cell>
          <cell r="M3786">
            <v>0</v>
          </cell>
          <cell r="P3786">
            <v>727</v>
          </cell>
          <cell r="V3786" t="str">
            <v>Available</v>
          </cell>
        </row>
        <row r="3787">
          <cell r="E3787">
            <v>10240001</v>
          </cell>
          <cell r="H3787">
            <v>11.700000000000001</v>
          </cell>
          <cell r="I3787">
            <v>380.65999999999997</v>
          </cell>
          <cell r="J3787">
            <v>0</v>
          </cell>
          <cell r="K3787">
            <v>0</v>
          </cell>
          <cell r="M3787">
            <v>0</v>
          </cell>
          <cell r="P3787">
            <v>381</v>
          </cell>
          <cell r="V3787" t="str">
            <v>Available</v>
          </cell>
        </row>
        <row r="3788">
          <cell r="E3788">
            <v>10240001</v>
          </cell>
          <cell r="H3788">
            <v>19.3</v>
          </cell>
          <cell r="I3788">
            <v>621.38</v>
          </cell>
          <cell r="J3788">
            <v>0</v>
          </cell>
          <cell r="K3788">
            <v>0</v>
          </cell>
          <cell r="M3788">
            <v>0</v>
          </cell>
          <cell r="P3788">
            <v>621</v>
          </cell>
          <cell r="V3788" t="str">
            <v>Available</v>
          </cell>
        </row>
        <row r="3789">
          <cell r="E3789">
            <v>10240001</v>
          </cell>
          <cell r="H3789">
            <v>18.899999999999999</v>
          </cell>
          <cell r="I3789">
            <v>636.41999999999996</v>
          </cell>
          <cell r="J3789">
            <v>0</v>
          </cell>
          <cell r="K3789">
            <v>0</v>
          </cell>
          <cell r="M3789">
            <v>0</v>
          </cell>
          <cell r="P3789">
            <v>636</v>
          </cell>
          <cell r="V3789" t="str">
            <v>Available</v>
          </cell>
        </row>
        <row r="3790">
          <cell r="E3790">
            <v>10240001</v>
          </cell>
          <cell r="H3790">
            <v>36.699999999999989</v>
          </cell>
          <cell r="I3790">
            <v>1922.3400000000001</v>
          </cell>
          <cell r="J3790">
            <v>0</v>
          </cell>
          <cell r="K3790">
            <v>0</v>
          </cell>
          <cell r="M3790">
            <v>0</v>
          </cell>
          <cell r="P3790">
            <v>1922</v>
          </cell>
          <cell r="V3790" t="str">
            <v>Available</v>
          </cell>
        </row>
        <row r="3791">
          <cell r="E3791">
            <v>10240001</v>
          </cell>
          <cell r="H3791">
            <v>31.3</v>
          </cell>
          <cell r="I3791">
            <v>1512.8000000000002</v>
          </cell>
          <cell r="J3791">
            <v>0</v>
          </cell>
          <cell r="K3791">
            <v>0</v>
          </cell>
          <cell r="M3791">
            <v>0</v>
          </cell>
          <cell r="P3791">
            <v>1513</v>
          </cell>
          <cell r="V3791" t="str">
            <v>Available</v>
          </cell>
        </row>
        <row r="3792">
          <cell r="E3792">
            <v>10240001</v>
          </cell>
          <cell r="H3792">
            <v>31.5</v>
          </cell>
          <cell r="I3792">
            <v>1029.68</v>
          </cell>
          <cell r="J3792">
            <v>0</v>
          </cell>
          <cell r="K3792">
            <v>0</v>
          </cell>
          <cell r="M3792">
            <v>0</v>
          </cell>
          <cell r="P3792">
            <v>1030</v>
          </cell>
          <cell r="V3792" t="str">
            <v>Available</v>
          </cell>
        </row>
        <row r="3793">
          <cell r="E3793">
            <v>10240001</v>
          </cell>
          <cell r="H3793">
            <v>18.100000000000001</v>
          </cell>
          <cell r="I3793">
            <v>640.6400000000001</v>
          </cell>
          <cell r="J3793">
            <v>0</v>
          </cell>
          <cell r="K3793">
            <v>0</v>
          </cell>
          <cell r="M3793">
            <v>0</v>
          </cell>
          <cell r="P3793">
            <v>641</v>
          </cell>
          <cell r="V3793" t="str">
            <v>Available</v>
          </cell>
        </row>
        <row r="3794">
          <cell r="E3794">
            <v>10240001</v>
          </cell>
          <cell r="H3794">
            <v>38.200000000000003</v>
          </cell>
          <cell r="I3794">
            <v>1392.3899999999999</v>
          </cell>
          <cell r="J3794">
            <v>0</v>
          </cell>
          <cell r="K3794">
            <v>0</v>
          </cell>
          <cell r="M3794">
            <v>0</v>
          </cell>
          <cell r="P3794">
            <v>1392</v>
          </cell>
          <cell r="V3794" t="str">
            <v>Available</v>
          </cell>
        </row>
        <row r="3795">
          <cell r="E3795">
            <v>10240001</v>
          </cell>
          <cell r="H3795">
            <v>13.200000000000001</v>
          </cell>
          <cell r="I3795">
            <v>469.28000000000003</v>
          </cell>
          <cell r="J3795">
            <v>0</v>
          </cell>
          <cell r="K3795">
            <v>0</v>
          </cell>
          <cell r="M3795">
            <v>0</v>
          </cell>
          <cell r="P3795">
            <v>469</v>
          </cell>
          <cell r="V3795" t="str">
            <v>Available</v>
          </cell>
        </row>
        <row r="3796">
          <cell r="E3796">
            <v>10240001</v>
          </cell>
          <cell r="H3796">
            <v>33.6</v>
          </cell>
          <cell r="I3796">
            <v>1110.22</v>
          </cell>
          <cell r="J3796">
            <v>0</v>
          </cell>
          <cell r="K3796">
            <v>0</v>
          </cell>
          <cell r="M3796">
            <v>0</v>
          </cell>
          <cell r="P3796">
            <v>1110</v>
          </cell>
          <cell r="V3796" t="str">
            <v>Available</v>
          </cell>
        </row>
        <row r="3797">
          <cell r="E3797">
            <v>10240001</v>
          </cell>
          <cell r="H3797">
            <v>1.7</v>
          </cell>
          <cell r="I3797">
            <v>60.59</v>
          </cell>
          <cell r="J3797">
            <v>0</v>
          </cell>
          <cell r="K3797">
            <v>0</v>
          </cell>
          <cell r="M3797">
            <v>0</v>
          </cell>
          <cell r="P3797">
            <v>61</v>
          </cell>
          <cell r="V3797" t="str">
            <v>Available</v>
          </cell>
        </row>
        <row r="3798">
          <cell r="E3798">
            <v>10240001</v>
          </cell>
          <cell r="H3798">
            <v>23.8</v>
          </cell>
          <cell r="I3798">
            <v>833.38</v>
          </cell>
          <cell r="J3798">
            <v>0</v>
          </cell>
          <cell r="K3798">
            <v>0</v>
          </cell>
          <cell r="M3798">
            <v>0</v>
          </cell>
          <cell r="P3798">
            <v>833</v>
          </cell>
          <cell r="V3798" t="str">
            <v>Available</v>
          </cell>
        </row>
        <row r="3799">
          <cell r="E3799">
            <v>10240001</v>
          </cell>
          <cell r="H3799">
            <v>34.299999999999997</v>
          </cell>
          <cell r="I3799">
            <v>1739.1999999999998</v>
          </cell>
          <cell r="J3799">
            <v>0</v>
          </cell>
          <cell r="K3799">
            <v>0</v>
          </cell>
          <cell r="M3799">
            <v>0</v>
          </cell>
          <cell r="P3799">
            <v>1739</v>
          </cell>
          <cell r="V3799" t="str">
            <v>Available</v>
          </cell>
        </row>
        <row r="3800">
          <cell r="E3800">
            <v>10240001</v>
          </cell>
          <cell r="H3800">
            <v>17.400000000000002</v>
          </cell>
          <cell r="I3800">
            <v>876.25</v>
          </cell>
          <cell r="J3800">
            <v>0</v>
          </cell>
          <cell r="K3800">
            <v>0</v>
          </cell>
          <cell r="M3800">
            <v>0</v>
          </cell>
          <cell r="P3800">
            <v>876</v>
          </cell>
          <cell r="V3800" t="str">
            <v>Available</v>
          </cell>
        </row>
        <row r="3801">
          <cell r="E3801">
            <v>10240001</v>
          </cell>
          <cell r="H3801">
            <v>4.9000000000000004</v>
          </cell>
          <cell r="I3801">
            <v>201.73000000000002</v>
          </cell>
          <cell r="J3801">
            <v>0</v>
          </cell>
          <cell r="K3801">
            <v>0</v>
          </cell>
          <cell r="M3801">
            <v>0</v>
          </cell>
          <cell r="P3801">
            <v>202</v>
          </cell>
          <cell r="V3801" t="str">
            <v>Available</v>
          </cell>
        </row>
        <row r="3802">
          <cell r="E3802">
            <v>10240001</v>
          </cell>
          <cell r="H3802">
            <v>24.599999999999998</v>
          </cell>
          <cell r="I3802">
            <v>849.25000000000011</v>
          </cell>
          <cell r="J3802">
            <v>0</v>
          </cell>
          <cell r="K3802">
            <v>0</v>
          </cell>
          <cell r="M3802">
            <v>0</v>
          </cell>
          <cell r="P3802">
            <v>849</v>
          </cell>
          <cell r="V3802" t="str">
            <v>Available</v>
          </cell>
        </row>
        <row r="3803">
          <cell r="E3803">
            <v>10240001</v>
          </cell>
          <cell r="H3803">
            <v>13.099999999999998</v>
          </cell>
          <cell r="I3803">
            <v>466.4</v>
          </cell>
          <cell r="J3803">
            <v>0</v>
          </cell>
          <cell r="K3803">
            <v>0</v>
          </cell>
          <cell r="M3803">
            <v>0</v>
          </cell>
          <cell r="P3803">
            <v>466</v>
          </cell>
          <cell r="V3803" t="str">
            <v>Available</v>
          </cell>
        </row>
        <row r="3804">
          <cell r="E3804">
            <v>10240001</v>
          </cell>
          <cell r="H3804">
            <v>25.4</v>
          </cell>
          <cell r="I3804">
            <v>971.39</v>
          </cell>
          <cell r="J3804">
            <v>0</v>
          </cell>
          <cell r="K3804">
            <v>0</v>
          </cell>
          <cell r="M3804">
            <v>0</v>
          </cell>
          <cell r="P3804">
            <v>971</v>
          </cell>
          <cell r="V3804" t="str">
            <v>Available</v>
          </cell>
        </row>
        <row r="3805">
          <cell r="E3805">
            <v>10240001</v>
          </cell>
          <cell r="H3805">
            <v>13.2</v>
          </cell>
          <cell r="I3805">
            <v>602.46</v>
          </cell>
          <cell r="J3805">
            <v>0</v>
          </cell>
          <cell r="K3805">
            <v>0</v>
          </cell>
          <cell r="M3805">
            <v>0</v>
          </cell>
          <cell r="P3805">
            <v>602</v>
          </cell>
          <cell r="V3805" t="str">
            <v>Available</v>
          </cell>
        </row>
        <row r="3806">
          <cell r="E3806">
            <v>10240001</v>
          </cell>
          <cell r="H3806">
            <v>22.599999999999998</v>
          </cell>
          <cell r="I3806">
            <v>780.75000000000011</v>
          </cell>
          <cell r="J3806">
            <v>0</v>
          </cell>
          <cell r="K3806">
            <v>0</v>
          </cell>
          <cell r="M3806">
            <v>0</v>
          </cell>
          <cell r="P3806">
            <v>781</v>
          </cell>
          <cell r="V3806" t="str">
            <v>Available</v>
          </cell>
        </row>
        <row r="3807">
          <cell r="E3807">
            <v>10240001</v>
          </cell>
          <cell r="H3807">
            <v>26.099999999999998</v>
          </cell>
          <cell r="I3807">
            <v>841.53999999999985</v>
          </cell>
          <cell r="J3807">
            <v>0</v>
          </cell>
          <cell r="K3807">
            <v>0</v>
          </cell>
          <cell r="M3807">
            <v>0</v>
          </cell>
          <cell r="P3807">
            <v>842</v>
          </cell>
          <cell r="V3807" t="str">
            <v>Available</v>
          </cell>
        </row>
        <row r="3808">
          <cell r="E3808">
            <v>10240001</v>
          </cell>
          <cell r="H3808">
            <v>36</v>
          </cell>
          <cell r="I3808">
            <v>1162.08</v>
          </cell>
          <cell r="J3808">
            <v>0</v>
          </cell>
          <cell r="K3808">
            <v>0</v>
          </cell>
          <cell r="M3808">
            <v>0</v>
          </cell>
          <cell r="P3808">
            <v>1162</v>
          </cell>
          <cell r="V3808" t="str">
            <v>Available</v>
          </cell>
        </row>
        <row r="3809">
          <cell r="E3809">
            <v>10240001</v>
          </cell>
          <cell r="H3809">
            <v>17.2</v>
          </cell>
          <cell r="I3809">
            <v>616.81999999999994</v>
          </cell>
          <cell r="J3809">
            <v>0</v>
          </cell>
          <cell r="K3809">
            <v>0</v>
          </cell>
          <cell r="M3809">
            <v>0</v>
          </cell>
          <cell r="P3809">
            <v>617</v>
          </cell>
          <cell r="V3809" t="str">
            <v>Available</v>
          </cell>
        </row>
        <row r="3810">
          <cell r="E3810">
            <v>10240001</v>
          </cell>
          <cell r="H3810">
            <v>27</v>
          </cell>
          <cell r="I3810">
            <v>901.37000000000012</v>
          </cell>
          <cell r="J3810">
            <v>0</v>
          </cell>
          <cell r="K3810">
            <v>0</v>
          </cell>
          <cell r="M3810">
            <v>0</v>
          </cell>
          <cell r="P3810">
            <v>901</v>
          </cell>
          <cell r="V3810" t="str">
            <v>Available</v>
          </cell>
        </row>
        <row r="3811">
          <cell r="E3811">
            <v>10250001</v>
          </cell>
          <cell r="H3811">
            <v>14.899999999999999</v>
          </cell>
          <cell r="I3811">
            <v>703.04</v>
          </cell>
          <cell r="J3811">
            <v>0</v>
          </cell>
          <cell r="K3811">
            <v>703.04</v>
          </cell>
          <cell r="M3811">
            <v>0</v>
          </cell>
          <cell r="P3811">
            <v>0</v>
          </cell>
          <cell r="V3811" t="str">
            <v>Not Available</v>
          </cell>
        </row>
        <row r="3812">
          <cell r="E3812">
            <v>10250001</v>
          </cell>
          <cell r="H3812">
            <v>167.5</v>
          </cell>
          <cell r="I3812">
            <v>7792.4599999999991</v>
          </cell>
          <cell r="J3812">
            <v>0</v>
          </cell>
          <cell r="K3812">
            <v>0</v>
          </cell>
          <cell r="M3812">
            <v>0</v>
          </cell>
          <cell r="P3812">
            <v>7684</v>
          </cell>
          <cell r="V3812" t="str">
            <v>Available</v>
          </cell>
        </row>
        <row r="3813">
          <cell r="E3813">
            <v>10250001</v>
          </cell>
          <cell r="H3813">
            <v>172.2</v>
          </cell>
          <cell r="I3813">
            <v>7635.8</v>
          </cell>
          <cell r="J3813">
            <v>0</v>
          </cell>
          <cell r="K3813">
            <v>0</v>
          </cell>
          <cell r="M3813">
            <v>0</v>
          </cell>
          <cell r="P3813">
            <v>7636</v>
          </cell>
          <cell r="V3813" t="str">
            <v>Available</v>
          </cell>
        </row>
        <row r="3814">
          <cell r="E3814">
            <v>10250001</v>
          </cell>
          <cell r="H3814">
            <v>172.1</v>
          </cell>
          <cell r="I3814">
            <v>7472.1700000000019</v>
          </cell>
          <cell r="J3814">
            <v>0</v>
          </cell>
          <cell r="K3814">
            <v>0</v>
          </cell>
          <cell r="M3814">
            <v>0</v>
          </cell>
          <cell r="P3814">
            <v>7472</v>
          </cell>
          <cell r="V3814" t="str">
            <v>Available</v>
          </cell>
        </row>
        <row r="3815">
          <cell r="E3815">
            <v>10250001</v>
          </cell>
          <cell r="H3815">
            <v>167.19999999999996</v>
          </cell>
          <cell r="I3815">
            <v>8002.0999999999995</v>
          </cell>
          <cell r="J3815">
            <v>0</v>
          </cell>
          <cell r="K3815">
            <v>0</v>
          </cell>
          <cell r="M3815">
            <v>0</v>
          </cell>
          <cell r="P3815">
            <v>8002</v>
          </cell>
          <cell r="V3815" t="str">
            <v>Available</v>
          </cell>
        </row>
        <row r="3816">
          <cell r="E3816">
            <v>10250001</v>
          </cell>
          <cell r="H3816">
            <v>7.3999999999999995</v>
          </cell>
          <cell r="I3816">
            <v>323.07999999999993</v>
          </cell>
          <cell r="J3816">
            <v>0</v>
          </cell>
          <cell r="K3816">
            <v>0</v>
          </cell>
          <cell r="M3816">
            <v>0</v>
          </cell>
          <cell r="P3816">
            <v>323</v>
          </cell>
          <cell r="V3816" t="str">
            <v>Available</v>
          </cell>
        </row>
        <row r="3817">
          <cell r="E3817">
            <v>10250001</v>
          </cell>
          <cell r="H3817">
            <v>15.299999999999999</v>
          </cell>
          <cell r="I3817">
            <v>1221.23</v>
          </cell>
          <cell r="J3817">
            <v>0</v>
          </cell>
          <cell r="K3817">
            <v>0</v>
          </cell>
          <cell r="M3817">
            <v>0</v>
          </cell>
          <cell r="P3817">
            <v>1221</v>
          </cell>
          <cell r="V3817" t="str">
            <v>Available</v>
          </cell>
        </row>
        <row r="3818">
          <cell r="E3818">
            <v>10250001</v>
          </cell>
          <cell r="H3818">
            <v>41.6</v>
          </cell>
          <cell r="I3818">
            <v>1842.3300000000002</v>
          </cell>
          <cell r="J3818">
            <v>0</v>
          </cell>
          <cell r="K3818">
            <v>0</v>
          </cell>
          <cell r="M3818">
            <v>0</v>
          </cell>
          <cell r="P3818">
            <v>1842</v>
          </cell>
          <cell r="V3818" t="str">
            <v>Available</v>
          </cell>
        </row>
        <row r="3819">
          <cell r="E3819">
            <v>10250001</v>
          </cell>
          <cell r="H3819">
            <v>181.7</v>
          </cell>
          <cell r="I3819">
            <v>7752.45</v>
          </cell>
          <cell r="J3819">
            <v>0</v>
          </cell>
          <cell r="K3819">
            <v>0</v>
          </cell>
          <cell r="M3819">
            <v>0</v>
          </cell>
          <cell r="P3819">
            <v>7752</v>
          </cell>
          <cell r="V3819" t="str">
            <v>Available</v>
          </cell>
        </row>
        <row r="3820">
          <cell r="E3820">
            <v>10250001</v>
          </cell>
          <cell r="H3820">
            <v>137.1</v>
          </cell>
          <cell r="I3820">
            <v>6486.4699999999984</v>
          </cell>
          <cell r="J3820">
            <v>0</v>
          </cell>
          <cell r="K3820">
            <v>0</v>
          </cell>
          <cell r="M3820">
            <v>0</v>
          </cell>
          <cell r="P3820">
            <v>6486</v>
          </cell>
          <cell r="V3820" t="str">
            <v>Available</v>
          </cell>
        </row>
        <row r="3821">
          <cell r="E3821">
            <v>10250001</v>
          </cell>
          <cell r="H3821">
            <v>173.6</v>
          </cell>
          <cell r="I3821">
            <v>7651</v>
          </cell>
          <cell r="J3821">
            <v>0</v>
          </cell>
          <cell r="K3821">
            <v>0</v>
          </cell>
          <cell r="M3821">
            <v>0</v>
          </cell>
          <cell r="P3821">
            <v>7651</v>
          </cell>
          <cell r="V3821" t="str">
            <v>Available</v>
          </cell>
        </row>
        <row r="3822">
          <cell r="E3822">
            <v>10250001</v>
          </cell>
          <cell r="H3822">
            <v>12.4</v>
          </cell>
          <cell r="I3822">
            <v>830.14</v>
          </cell>
          <cell r="J3822">
            <v>0</v>
          </cell>
          <cell r="K3822">
            <v>0</v>
          </cell>
          <cell r="M3822">
            <v>0</v>
          </cell>
          <cell r="P3822">
            <v>830</v>
          </cell>
          <cell r="V3822" t="str">
            <v>Available</v>
          </cell>
        </row>
        <row r="3823">
          <cell r="E3823">
            <v>10250001</v>
          </cell>
          <cell r="H3823">
            <v>91.3</v>
          </cell>
          <cell r="I3823">
            <v>4251.97</v>
          </cell>
          <cell r="J3823">
            <v>0</v>
          </cell>
          <cell r="K3823">
            <v>0</v>
          </cell>
          <cell r="M3823">
            <v>0</v>
          </cell>
          <cell r="P3823">
            <v>4252</v>
          </cell>
          <cell r="V3823" t="str">
            <v>Available</v>
          </cell>
        </row>
        <row r="3824">
          <cell r="E3824">
            <v>10250001</v>
          </cell>
          <cell r="H3824">
            <v>170.8</v>
          </cell>
          <cell r="I3824">
            <v>7858.4</v>
          </cell>
          <cell r="J3824">
            <v>0</v>
          </cell>
          <cell r="K3824">
            <v>0</v>
          </cell>
          <cell r="M3824">
            <v>0</v>
          </cell>
          <cell r="P3824">
            <v>7858</v>
          </cell>
          <cell r="V3824" t="str">
            <v>Available</v>
          </cell>
        </row>
        <row r="3825">
          <cell r="E3825">
            <v>10250001</v>
          </cell>
          <cell r="H3825">
            <v>126.8</v>
          </cell>
          <cell r="I3825">
            <v>5538.9299999999994</v>
          </cell>
          <cell r="J3825">
            <v>0</v>
          </cell>
          <cell r="K3825">
            <v>0</v>
          </cell>
          <cell r="M3825">
            <v>0</v>
          </cell>
          <cell r="P3825">
            <v>5539</v>
          </cell>
          <cell r="V3825" t="str">
            <v>Available</v>
          </cell>
        </row>
        <row r="3826">
          <cell r="E3826">
            <v>10250001</v>
          </cell>
          <cell r="H3826">
            <v>7.8000000000000007</v>
          </cell>
          <cell r="I3826">
            <v>427.89000000000004</v>
          </cell>
          <cell r="J3826">
            <v>0</v>
          </cell>
          <cell r="K3826">
            <v>0</v>
          </cell>
          <cell r="M3826">
            <v>0</v>
          </cell>
          <cell r="P3826">
            <v>428</v>
          </cell>
          <cell r="V3826" t="str">
            <v>Available</v>
          </cell>
        </row>
        <row r="3827">
          <cell r="E3827">
            <v>10250001</v>
          </cell>
          <cell r="H3827">
            <v>27</v>
          </cell>
          <cell r="I3827">
            <v>1434.73</v>
          </cell>
          <cell r="J3827">
            <v>0</v>
          </cell>
          <cell r="K3827">
            <v>0</v>
          </cell>
          <cell r="M3827">
            <v>0</v>
          </cell>
          <cell r="P3827">
            <v>1435</v>
          </cell>
          <cell r="V3827" t="str">
            <v>Available</v>
          </cell>
        </row>
        <row r="3828">
          <cell r="E3828">
            <v>10260001</v>
          </cell>
          <cell r="H3828">
            <v>3.9000000000000004</v>
          </cell>
          <cell r="I3828">
            <v>175.95</v>
          </cell>
          <cell r="J3828">
            <v>0</v>
          </cell>
          <cell r="K3828">
            <v>175.95</v>
          </cell>
          <cell r="M3828">
            <v>0</v>
          </cell>
          <cell r="P3828">
            <v>0</v>
          </cell>
          <cell r="V3828" t="str">
            <v>Not Available</v>
          </cell>
        </row>
        <row r="3829">
          <cell r="E3829">
            <v>10260001</v>
          </cell>
          <cell r="H3829">
            <v>115.7</v>
          </cell>
          <cell r="I3829">
            <v>5921.56</v>
          </cell>
          <cell r="J3829">
            <v>0</v>
          </cell>
          <cell r="K3829">
            <v>0</v>
          </cell>
          <cell r="M3829">
            <v>1000</v>
          </cell>
          <cell r="P3829">
            <v>3741</v>
          </cell>
          <cell r="V3829" t="str">
            <v>Available</v>
          </cell>
        </row>
        <row r="3830">
          <cell r="E3830">
            <v>10260001</v>
          </cell>
          <cell r="H3830">
            <v>43</v>
          </cell>
          <cell r="I3830">
            <v>1794.3899999999999</v>
          </cell>
          <cell r="J3830">
            <v>0</v>
          </cell>
          <cell r="K3830">
            <v>0</v>
          </cell>
          <cell r="M3830">
            <v>0</v>
          </cell>
          <cell r="P3830">
            <v>1794</v>
          </cell>
          <cell r="V3830" t="str">
            <v>Available</v>
          </cell>
        </row>
        <row r="3831">
          <cell r="E3831">
            <v>10260001</v>
          </cell>
          <cell r="H3831">
            <v>17.100000000000001</v>
          </cell>
          <cell r="I3831">
            <v>800.73</v>
          </cell>
          <cell r="J3831">
            <v>0</v>
          </cell>
          <cell r="K3831">
            <v>0</v>
          </cell>
          <cell r="M3831">
            <v>0</v>
          </cell>
          <cell r="P3831">
            <v>801</v>
          </cell>
          <cell r="V3831" t="str">
            <v>Available</v>
          </cell>
        </row>
        <row r="3832">
          <cell r="E3832">
            <v>10260001</v>
          </cell>
          <cell r="H3832">
            <v>118.89999999999999</v>
          </cell>
          <cell r="I3832">
            <v>5033.5200000000004</v>
          </cell>
          <cell r="J3832">
            <v>0</v>
          </cell>
          <cell r="K3832">
            <v>0</v>
          </cell>
          <cell r="M3832">
            <v>0</v>
          </cell>
          <cell r="P3832">
            <v>5034</v>
          </cell>
          <cell r="V3832" t="str">
            <v>Available</v>
          </cell>
        </row>
        <row r="3833">
          <cell r="E3833">
            <v>10260001</v>
          </cell>
          <cell r="H3833">
            <v>76.400000000000006</v>
          </cell>
          <cell r="I3833">
            <v>3332.4199999999996</v>
          </cell>
          <cell r="J3833">
            <v>0</v>
          </cell>
          <cell r="K3833">
            <v>0</v>
          </cell>
          <cell r="M3833">
            <v>0</v>
          </cell>
          <cell r="P3833">
            <v>3332</v>
          </cell>
          <cell r="V3833" t="str">
            <v>Available</v>
          </cell>
        </row>
        <row r="3834">
          <cell r="E3834">
            <v>10260001</v>
          </cell>
          <cell r="H3834">
            <v>10.4</v>
          </cell>
          <cell r="I3834">
            <v>436.59</v>
          </cell>
          <cell r="J3834">
            <v>0</v>
          </cell>
          <cell r="K3834">
            <v>0</v>
          </cell>
          <cell r="M3834">
            <v>0</v>
          </cell>
          <cell r="P3834">
            <v>437</v>
          </cell>
          <cell r="V3834" t="str">
            <v>Available</v>
          </cell>
        </row>
        <row r="3835">
          <cell r="E3835">
            <v>10260001</v>
          </cell>
          <cell r="H3835">
            <v>43.1</v>
          </cell>
          <cell r="I3835">
            <v>1792.55</v>
          </cell>
          <cell r="J3835">
            <v>0</v>
          </cell>
          <cell r="K3835">
            <v>0</v>
          </cell>
          <cell r="M3835">
            <v>0</v>
          </cell>
          <cell r="P3835">
            <v>1793</v>
          </cell>
          <cell r="V3835" t="str">
            <v>Available</v>
          </cell>
        </row>
        <row r="3836">
          <cell r="E3836">
            <v>10260001</v>
          </cell>
          <cell r="H3836">
            <v>63.2</v>
          </cell>
          <cell r="I3836">
            <v>2672.26</v>
          </cell>
          <cell r="J3836">
            <v>0</v>
          </cell>
          <cell r="K3836">
            <v>0</v>
          </cell>
          <cell r="M3836">
            <v>0</v>
          </cell>
          <cell r="P3836">
            <v>2672</v>
          </cell>
          <cell r="V3836" t="str">
            <v>Available</v>
          </cell>
        </row>
        <row r="3837">
          <cell r="E3837">
            <v>10260001</v>
          </cell>
          <cell r="H3837">
            <v>49.5</v>
          </cell>
          <cell r="I3837">
            <v>2248.7199999999998</v>
          </cell>
          <cell r="J3837">
            <v>0</v>
          </cell>
          <cell r="K3837">
            <v>0</v>
          </cell>
          <cell r="M3837">
            <v>0</v>
          </cell>
          <cell r="P3837">
            <v>2249</v>
          </cell>
          <cell r="V3837" t="str">
            <v>Available</v>
          </cell>
        </row>
        <row r="3838">
          <cell r="E3838">
            <v>10260001</v>
          </cell>
          <cell r="H3838">
            <v>64.3</v>
          </cell>
          <cell r="I3838">
            <v>2846.86</v>
          </cell>
          <cell r="J3838">
            <v>0</v>
          </cell>
          <cell r="K3838">
            <v>0</v>
          </cell>
          <cell r="M3838">
            <v>0</v>
          </cell>
          <cell r="P3838">
            <v>2847</v>
          </cell>
          <cell r="V3838" t="str">
            <v>Available</v>
          </cell>
        </row>
        <row r="3839">
          <cell r="E3839">
            <v>10260001</v>
          </cell>
          <cell r="H3839">
            <v>21.9</v>
          </cell>
          <cell r="I3839">
            <v>901.33</v>
          </cell>
          <cell r="J3839">
            <v>0</v>
          </cell>
          <cell r="K3839">
            <v>0</v>
          </cell>
          <cell r="M3839">
            <v>0</v>
          </cell>
          <cell r="P3839">
            <v>901</v>
          </cell>
          <cell r="V3839" t="str">
            <v>Available</v>
          </cell>
        </row>
        <row r="3840">
          <cell r="E3840">
            <v>10260001</v>
          </cell>
          <cell r="H3840">
            <v>64</v>
          </cell>
          <cell r="I3840">
            <v>2759.8500000000004</v>
          </cell>
          <cell r="J3840">
            <v>0</v>
          </cell>
          <cell r="K3840">
            <v>0</v>
          </cell>
          <cell r="M3840">
            <v>0</v>
          </cell>
          <cell r="P3840">
            <v>2760</v>
          </cell>
          <cell r="V3840" t="str">
            <v>Available</v>
          </cell>
        </row>
        <row r="3841">
          <cell r="E3841">
            <v>10260001</v>
          </cell>
          <cell r="H3841">
            <v>64</v>
          </cell>
          <cell r="I3841">
            <v>2816.4</v>
          </cell>
          <cell r="J3841">
            <v>0</v>
          </cell>
          <cell r="K3841">
            <v>0</v>
          </cell>
          <cell r="M3841">
            <v>0</v>
          </cell>
          <cell r="P3841">
            <v>2816</v>
          </cell>
          <cell r="V3841" t="str">
            <v>Available</v>
          </cell>
        </row>
        <row r="3842">
          <cell r="E3842">
            <v>10290001</v>
          </cell>
          <cell r="H3842">
            <v>5.5</v>
          </cell>
          <cell r="I3842">
            <v>208.11</v>
          </cell>
          <cell r="J3842">
            <v>0</v>
          </cell>
          <cell r="K3842">
            <v>208.11</v>
          </cell>
          <cell r="M3842">
            <v>0</v>
          </cell>
          <cell r="P3842">
            <v>0</v>
          </cell>
          <cell r="V3842" t="str">
            <v>Not Available</v>
          </cell>
        </row>
        <row r="3843">
          <cell r="E3843">
            <v>10290001</v>
          </cell>
          <cell r="H3843">
            <v>538.69999999999982</v>
          </cell>
          <cell r="I3843">
            <v>20461.43</v>
          </cell>
          <cell r="J3843">
            <v>0</v>
          </cell>
          <cell r="K3843">
            <v>0</v>
          </cell>
          <cell r="M3843">
            <v>0</v>
          </cell>
          <cell r="P3843">
            <v>20461</v>
          </cell>
          <cell r="V3843" t="str">
            <v>Available</v>
          </cell>
        </row>
        <row r="3844">
          <cell r="E3844">
            <v>10290001</v>
          </cell>
          <cell r="H3844">
            <v>117.6</v>
          </cell>
          <cell r="I3844">
            <v>4513.8400000000011</v>
          </cell>
          <cell r="J3844">
            <v>0</v>
          </cell>
          <cell r="K3844">
            <v>0</v>
          </cell>
          <cell r="M3844">
            <v>0</v>
          </cell>
          <cell r="P3844">
            <v>4514</v>
          </cell>
          <cell r="V3844" t="str">
            <v>Not Available</v>
          </cell>
        </row>
        <row r="3845">
          <cell r="E3845">
            <v>10290001</v>
          </cell>
          <cell r="H3845">
            <v>122.30000000000001</v>
          </cell>
          <cell r="I3845">
            <v>4667.13</v>
          </cell>
          <cell r="J3845">
            <v>0</v>
          </cell>
          <cell r="K3845">
            <v>0</v>
          </cell>
          <cell r="M3845">
            <v>0</v>
          </cell>
          <cell r="P3845">
            <v>4667</v>
          </cell>
          <cell r="V3845" t="str">
            <v>Not Available</v>
          </cell>
        </row>
        <row r="3846">
          <cell r="E3846">
            <v>10290001</v>
          </cell>
          <cell r="H3846">
            <v>112.19999999999999</v>
          </cell>
          <cell r="I3846">
            <v>4308.9800000000005</v>
          </cell>
          <cell r="J3846">
            <v>0</v>
          </cell>
          <cell r="K3846">
            <v>0</v>
          </cell>
          <cell r="M3846">
            <v>0</v>
          </cell>
          <cell r="P3846">
            <v>4309</v>
          </cell>
          <cell r="V3846" t="str">
            <v>Not Available</v>
          </cell>
        </row>
        <row r="3847">
          <cell r="E3847">
            <v>10290001</v>
          </cell>
          <cell r="H3847">
            <v>102.3</v>
          </cell>
          <cell r="I3847">
            <v>3859.44</v>
          </cell>
          <cell r="J3847">
            <v>0</v>
          </cell>
          <cell r="K3847">
            <v>0</v>
          </cell>
          <cell r="M3847">
            <v>0</v>
          </cell>
          <cell r="P3847">
            <v>3859</v>
          </cell>
          <cell r="V3847" t="str">
            <v>Not Available</v>
          </cell>
        </row>
        <row r="3848">
          <cell r="E3848">
            <v>10290001</v>
          </cell>
          <cell r="H3848">
            <v>124.10000000000001</v>
          </cell>
          <cell r="I3848">
            <v>4775.82</v>
          </cell>
          <cell r="J3848">
            <v>0</v>
          </cell>
          <cell r="K3848">
            <v>0</v>
          </cell>
          <cell r="M3848">
            <v>0</v>
          </cell>
          <cell r="P3848">
            <v>4776</v>
          </cell>
          <cell r="V3848" t="str">
            <v>Not Available</v>
          </cell>
        </row>
        <row r="3849">
          <cell r="E3849">
            <v>10290001</v>
          </cell>
          <cell r="H3849">
            <v>134.4</v>
          </cell>
          <cell r="I3849">
            <v>5158.6099999999997</v>
          </cell>
          <cell r="J3849">
            <v>0</v>
          </cell>
          <cell r="K3849">
            <v>0</v>
          </cell>
          <cell r="M3849">
            <v>0</v>
          </cell>
          <cell r="P3849">
            <v>5159</v>
          </cell>
          <cell r="V3849" t="str">
            <v>Not Available</v>
          </cell>
        </row>
        <row r="3850">
          <cell r="E3850">
            <v>10290001</v>
          </cell>
          <cell r="H3850">
            <v>46.400000000000006</v>
          </cell>
          <cell r="I3850">
            <v>1740.27</v>
          </cell>
          <cell r="J3850">
            <v>0</v>
          </cell>
          <cell r="K3850">
            <v>0</v>
          </cell>
          <cell r="M3850">
            <v>0</v>
          </cell>
          <cell r="P3850">
            <v>1740</v>
          </cell>
          <cell r="V3850" t="str">
            <v>Not Available</v>
          </cell>
        </row>
        <row r="3851">
          <cell r="E3851">
            <v>10290001</v>
          </cell>
          <cell r="H3851">
            <v>49.9</v>
          </cell>
          <cell r="I3851">
            <v>1911.13</v>
          </cell>
          <cell r="J3851">
            <v>0</v>
          </cell>
          <cell r="K3851">
            <v>0</v>
          </cell>
          <cell r="M3851">
            <v>0</v>
          </cell>
          <cell r="P3851">
            <v>1911</v>
          </cell>
          <cell r="V3851" t="str">
            <v>Not Available</v>
          </cell>
        </row>
        <row r="3852">
          <cell r="E3852">
            <v>10290001</v>
          </cell>
          <cell r="H3852">
            <v>20.399999999999999</v>
          </cell>
          <cell r="I3852">
            <v>759.9</v>
          </cell>
          <cell r="J3852">
            <v>0</v>
          </cell>
          <cell r="K3852">
            <v>0</v>
          </cell>
          <cell r="M3852">
            <v>0</v>
          </cell>
          <cell r="P3852">
            <v>760</v>
          </cell>
          <cell r="V3852" t="str">
            <v>Not Available</v>
          </cell>
        </row>
        <row r="3853">
          <cell r="E3853">
            <v>10290001</v>
          </cell>
          <cell r="H3853">
            <v>20.3</v>
          </cell>
          <cell r="I3853">
            <v>711.31</v>
          </cell>
          <cell r="J3853">
            <v>0</v>
          </cell>
          <cell r="K3853">
            <v>0</v>
          </cell>
          <cell r="M3853">
            <v>0</v>
          </cell>
          <cell r="P3853">
            <v>711</v>
          </cell>
          <cell r="V3853" t="str">
            <v>Not Available</v>
          </cell>
        </row>
        <row r="3854">
          <cell r="E3854">
            <v>10290001</v>
          </cell>
          <cell r="H3854">
            <v>14.2</v>
          </cell>
          <cell r="I3854">
            <v>528.95000000000005</v>
          </cell>
          <cell r="J3854">
            <v>0</v>
          </cell>
          <cell r="K3854">
            <v>0</v>
          </cell>
          <cell r="M3854">
            <v>0</v>
          </cell>
          <cell r="P3854">
            <v>529</v>
          </cell>
          <cell r="V3854" t="str">
            <v>Not Available</v>
          </cell>
        </row>
        <row r="3855">
          <cell r="E3855">
            <v>10310001</v>
          </cell>
          <cell r="H3855">
            <v>2.8000000000000003</v>
          </cell>
          <cell r="I3855">
            <v>119.14</v>
          </cell>
          <cell r="J3855">
            <v>0</v>
          </cell>
          <cell r="K3855">
            <v>119.14</v>
          </cell>
          <cell r="M3855">
            <v>0</v>
          </cell>
          <cell r="P3855">
            <v>0</v>
          </cell>
          <cell r="V3855" t="str">
            <v>Not Available</v>
          </cell>
        </row>
        <row r="3856">
          <cell r="E3856">
            <v>10310001</v>
          </cell>
          <cell r="H3856">
            <v>94.8</v>
          </cell>
          <cell r="I3856">
            <v>4043.3100000000004</v>
          </cell>
          <cell r="J3856">
            <v>0</v>
          </cell>
          <cell r="K3856">
            <v>0</v>
          </cell>
          <cell r="M3856">
            <v>0</v>
          </cell>
          <cell r="P3856">
            <v>4043</v>
          </cell>
          <cell r="V3856" t="str">
            <v>Available</v>
          </cell>
        </row>
        <row r="3857">
          <cell r="E3857">
            <v>10310001</v>
          </cell>
          <cell r="H3857">
            <v>99</v>
          </cell>
          <cell r="I3857">
            <v>4238.55</v>
          </cell>
          <cell r="J3857">
            <v>0</v>
          </cell>
          <cell r="K3857">
            <v>0</v>
          </cell>
          <cell r="M3857">
            <v>0</v>
          </cell>
          <cell r="P3857">
            <v>4239</v>
          </cell>
          <cell r="V3857" t="str">
            <v>Not Available</v>
          </cell>
        </row>
        <row r="3858">
          <cell r="E3858">
            <v>10310001</v>
          </cell>
          <cell r="H3858">
            <v>99</v>
          </cell>
          <cell r="I3858">
            <v>4238.55</v>
          </cell>
          <cell r="J3858">
            <v>0</v>
          </cell>
          <cell r="K3858">
            <v>0</v>
          </cell>
          <cell r="M3858">
            <v>0</v>
          </cell>
          <cell r="P3858">
            <v>4239</v>
          </cell>
          <cell r="V3858" t="str">
            <v>Not Available</v>
          </cell>
        </row>
        <row r="3859">
          <cell r="E3859">
            <v>10310001</v>
          </cell>
          <cell r="H3859">
            <v>99</v>
          </cell>
          <cell r="I3859">
            <v>4238.55</v>
          </cell>
          <cell r="J3859">
            <v>0</v>
          </cell>
          <cell r="K3859">
            <v>0</v>
          </cell>
          <cell r="M3859">
            <v>0</v>
          </cell>
          <cell r="P3859">
            <v>4239</v>
          </cell>
          <cell r="V3859" t="str">
            <v>Not Available</v>
          </cell>
        </row>
        <row r="3860">
          <cell r="E3860">
            <v>10310001</v>
          </cell>
          <cell r="H3860">
            <v>63</v>
          </cell>
          <cell r="I3860">
            <v>2659.77</v>
          </cell>
          <cell r="J3860">
            <v>0</v>
          </cell>
          <cell r="K3860">
            <v>0</v>
          </cell>
          <cell r="M3860">
            <v>0</v>
          </cell>
          <cell r="P3860">
            <v>2660</v>
          </cell>
          <cell r="V3860" t="str">
            <v>Not Available</v>
          </cell>
        </row>
        <row r="3861">
          <cell r="E3861">
            <v>10310001</v>
          </cell>
          <cell r="H3861">
            <v>45</v>
          </cell>
          <cell r="I3861">
            <v>1857.87</v>
          </cell>
          <cell r="J3861">
            <v>0</v>
          </cell>
          <cell r="K3861">
            <v>0</v>
          </cell>
          <cell r="M3861">
            <v>0</v>
          </cell>
          <cell r="P3861">
            <v>1858</v>
          </cell>
          <cell r="V3861" t="str">
            <v>Not Available</v>
          </cell>
        </row>
        <row r="3862">
          <cell r="E3862">
            <v>10310001</v>
          </cell>
          <cell r="H3862">
            <v>45</v>
          </cell>
          <cell r="I3862">
            <v>1857.87</v>
          </cell>
          <cell r="J3862">
            <v>0</v>
          </cell>
          <cell r="K3862">
            <v>0</v>
          </cell>
          <cell r="M3862">
            <v>0</v>
          </cell>
          <cell r="P3862">
            <v>1858</v>
          </cell>
          <cell r="V3862" t="str">
            <v>Not Available</v>
          </cell>
        </row>
        <row r="3863">
          <cell r="E3863">
            <v>10310001</v>
          </cell>
          <cell r="H3863">
            <v>27</v>
          </cell>
          <cell r="I3863">
            <v>1113.48</v>
          </cell>
          <cell r="J3863">
            <v>0</v>
          </cell>
          <cell r="K3863">
            <v>0</v>
          </cell>
          <cell r="M3863">
            <v>0</v>
          </cell>
          <cell r="P3863">
            <v>1113</v>
          </cell>
          <cell r="V3863" t="str">
            <v>Not Available</v>
          </cell>
        </row>
        <row r="3864">
          <cell r="E3864">
            <v>10310001</v>
          </cell>
          <cell r="H3864">
            <v>18</v>
          </cell>
          <cell r="I3864">
            <v>743.13</v>
          </cell>
          <cell r="J3864">
            <v>0</v>
          </cell>
          <cell r="K3864">
            <v>0</v>
          </cell>
          <cell r="M3864">
            <v>0</v>
          </cell>
          <cell r="P3864">
            <v>743</v>
          </cell>
          <cell r="V3864" t="str">
            <v>Not Available</v>
          </cell>
        </row>
        <row r="3865">
          <cell r="E3865">
            <v>10310001</v>
          </cell>
          <cell r="H3865">
            <v>9</v>
          </cell>
          <cell r="I3865">
            <v>376.56</v>
          </cell>
          <cell r="J3865">
            <v>0</v>
          </cell>
          <cell r="K3865">
            <v>0</v>
          </cell>
          <cell r="M3865">
            <v>0</v>
          </cell>
          <cell r="P3865">
            <v>377</v>
          </cell>
          <cell r="V3865" t="str">
            <v>Not Available</v>
          </cell>
        </row>
        <row r="3866">
          <cell r="E3866">
            <v>10310001</v>
          </cell>
          <cell r="H3866">
            <v>9</v>
          </cell>
          <cell r="I3866">
            <v>376.56</v>
          </cell>
          <cell r="J3866">
            <v>0</v>
          </cell>
          <cell r="K3866">
            <v>0</v>
          </cell>
          <cell r="M3866">
            <v>0</v>
          </cell>
          <cell r="P3866">
            <v>377</v>
          </cell>
          <cell r="V3866" t="str">
            <v>Not Available</v>
          </cell>
        </row>
        <row r="3867">
          <cell r="E3867">
            <v>10350001</v>
          </cell>
          <cell r="H3867">
            <v>13.9</v>
          </cell>
          <cell r="I3867">
            <v>602.84</v>
          </cell>
          <cell r="J3867">
            <v>0</v>
          </cell>
          <cell r="K3867">
            <v>602.84</v>
          </cell>
          <cell r="M3867">
            <v>0</v>
          </cell>
          <cell r="P3867">
            <v>0</v>
          </cell>
          <cell r="V3867" t="str">
            <v>Not Available</v>
          </cell>
        </row>
        <row r="3868">
          <cell r="E3868">
            <v>10350001</v>
          </cell>
          <cell r="H3868">
            <v>144.89999999999998</v>
          </cell>
          <cell r="I3868">
            <v>6268.04</v>
          </cell>
          <cell r="J3868">
            <v>0</v>
          </cell>
          <cell r="K3868">
            <v>0</v>
          </cell>
          <cell r="M3868">
            <v>0</v>
          </cell>
          <cell r="P3868">
            <v>3346</v>
          </cell>
          <cell r="V3868" t="str">
            <v>Available</v>
          </cell>
        </row>
        <row r="3869">
          <cell r="E3869">
            <v>10350001</v>
          </cell>
          <cell r="H3869">
            <v>138.6</v>
          </cell>
          <cell r="I3869">
            <v>5082.62</v>
          </cell>
          <cell r="J3869">
            <v>0</v>
          </cell>
          <cell r="K3869">
            <v>0</v>
          </cell>
          <cell r="M3869">
            <v>0</v>
          </cell>
          <cell r="P3869">
            <v>5083</v>
          </cell>
          <cell r="V3869" t="str">
            <v>Available</v>
          </cell>
        </row>
        <row r="3870">
          <cell r="E3870">
            <v>10350001</v>
          </cell>
          <cell r="H3870">
            <v>47.1</v>
          </cell>
          <cell r="I3870">
            <v>1685.1699999999998</v>
          </cell>
          <cell r="J3870">
            <v>0</v>
          </cell>
          <cell r="K3870">
            <v>0</v>
          </cell>
          <cell r="M3870">
            <v>0</v>
          </cell>
          <cell r="P3870">
            <v>1685</v>
          </cell>
          <cell r="V3870" t="str">
            <v>Available</v>
          </cell>
        </row>
        <row r="3871">
          <cell r="E3871">
            <v>10350001</v>
          </cell>
          <cell r="H3871">
            <v>59.699999999999996</v>
          </cell>
          <cell r="I3871">
            <v>2357.75</v>
          </cell>
          <cell r="J3871">
            <v>0</v>
          </cell>
          <cell r="K3871">
            <v>0</v>
          </cell>
          <cell r="M3871">
            <v>0</v>
          </cell>
          <cell r="P3871">
            <v>2358</v>
          </cell>
          <cell r="V3871" t="str">
            <v>Available</v>
          </cell>
        </row>
        <row r="3872">
          <cell r="E3872">
            <v>10350001</v>
          </cell>
          <cell r="H3872">
            <v>403.1</v>
          </cell>
          <cell r="I3872">
            <v>15405.680000000002</v>
          </cell>
          <cell r="J3872">
            <v>0</v>
          </cell>
          <cell r="K3872">
            <v>0</v>
          </cell>
          <cell r="M3872">
            <v>0</v>
          </cell>
          <cell r="P3872">
            <v>15406</v>
          </cell>
          <cell r="V3872" t="str">
            <v>Available</v>
          </cell>
        </row>
        <row r="3873">
          <cell r="E3873">
            <v>10350001</v>
          </cell>
          <cell r="H3873">
            <v>388.4</v>
          </cell>
          <cell r="I3873">
            <v>15900.56</v>
          </cell>
          <cell r="J3873">
            <v>0</v>
          </cell>
          <cell r="K3873">
            <v>0</v>
          </cell>
          <cell r="M3873">
            <v>0</v>
          </cell>
          <cell r="P3873">
            <v>15901</v>
          </cell>
          <cell r="V3873" t="str">
            <v>Available</v>
          </cell>
        </row>
        <row r="3874">
          <cell r="E3874">
            <v>10350001</v>
          </cell>
          <cell r="H3874">
            <v>62.2</v>
          </cell>
          <cell r="I3874">
            <v>2251.8200000000002</v>
          </cell>
          <cell r="J3874">
            <v>0</v>
          </cell>
          <cell r="K3874">
            <v>0</v>
          </cell>
          <cell r="M3874">
            <v>0</v>
          </cell>
          <cell r="P3874">
            <v>2252</v>
          </cell>
          <cell r="V3874" t="str">
            <v>Available</v>
          </cell>
        </row>
        <row r="3875">
          <cell r="E3875">
            <v>10350001</v>
          </cell>
          <cell r="H3875">
            <v>5.5</v>
          </cell>
          <cell r="I3875">
            <v>197.41</v>
          </cell>
          <cell r="J3875">
            <v>0</v>
          </cell>
          <cell r="K3875">
            <v>0</v>
          </cell>
          <cell r="M3875">
            <v>0</v>
          </cell>
          <cell r="P3875">
            <v>197</v>
          </cell>
          <cell r="V3875" t="str">
            <v>Available</v>
          </cell>
        </row>
        <row r="3876">
          <cell r="E3876">
            <v>10350001</v>
          </cell>
          <cell r="H3876">
            <v>33.1</v>
          </cell>
          <cell r="I3876">
            <v>1256.98</v>
          </cell>
          <cell r="J3876">
            <v>0</v>
          </cell>
          <cell r="K3876">
            <v>0</v>
          </cell>
          <cell r="M3876">
            <v>0</v>
          </cell>
          <cell r="P3876">
            <v>1257</v>
          </cell>
          <cell r="V3876" t="str">
            <v>Available</v>
          </cell>
        </row>
        <row r="3877">
          <cell r="E3877">
            <v>10350001</v>
          </cell>
          <cell r="H3877">
            <v>95.500000000000014</v>
          </cell>
          <cell r="I3877">
            <v>3506.46</v>
          </cell>
          <cell r="J3877">
            <v>0</v>
          </cell>
          <cell r="K3877">
            <v>0</v>
          </cell>
          <cell r="M3877">
            <v>0</v>
          </cell>
          <cell r="P3877">
            <v>3506</v>
          </cell>
          <cell r="V3877" t="str">
            <v>Available</v>
          </cell>
        </row>
        <row r="3878">
          <cell r="E3878">
            <v>10350001</v>
          </cell>
          <cell r="H3878">
            <v>59.4</v>
          </cell>
          <cell r="I3878">
            <v>2114.86</v>
          </cell>
          <cell r="J3878">
            <v>0</v>
          </cell>
          <cell r="K3878">
            <v>0</v>
          </cell>
          <cell r="M3878">
            <v>0</v>
          </cell>
          <cell r="P3878">
            <v>2115</v>
          </cell>
          <cell r="V3878" t="str">
            <v>Available</v>
          </cell>
        </row>
        <row r="3879">
          <cell r="E3879">
            <v>10350001</v>
          </cell>
          <cell r="H3879">
            <v>27.299999999999997</v>
          </cell>
          <cell r="I3879">
            <v>970.77</v>
          </cell>
          <cell r="J3879">
            <v>0</v>
          </cell>
          <cell r="K3879">
            <v>0</v>
          </cell>
          <cell r="M3879">
            <v>0</v>
          </cell>
          <cell r="P3879">
            <v>971</v>
          </cell>
          <cell r="V3879" t="str">
            <v>Available</v>
          </cell>
        </row>
        <row r="3880">
          <cell r="E3880">
            <v>10350001</v>
          </cell>
          <cell r="H3880">
            <v>11</v>
          </cell>
          <cell r="I3880">
            <v>373.36</v>
          </cell>
          <cell r="J3880">
            <v>0</v>
          </cell>
          <cell r="K3880">
            <v>0</v>
          </cell>
          <cell r="M3880">
            <v>0</v>
          </cell>
          <cell r="P3880">
            <v>373</v>
          </cell>
          <cell r="V3880" t="str">
            <v>Available</v>
          </cell>
        </row>
        <row r="3881">
          <cell r="E3881">
            <v>10350001</v>
          </cell>
          <cell r="H3881">
            <v>58.000000000000007</v>
          </cell>
          <cell r="I3881">
            <v>2044.3399999999997</v>
          </cell>
          <cell r="J3881">
            <v>0</v>
          </cell>
          <cell r="K3881">
            <v>0</v>
          </cell>
          <cell r="M3881">
            <v>0</v>
          </cell>
          <cell r="P3881">
            <v>2044</v>
          </cell>
          <cell r="V3881" t="str">
            <v>Available</v>
          </cell>
        </row>
        <row r="3882">
          <cell r="E3882">
            <v>10350001</v>
          </cell>
          <cell r="H3882">
            <v>17.5</v>
          </cell>
          <cell r="I3882">
            <v>667.81000000000006</v>
          </cell>
          <cell r="J3882">
            <v>0</v>
          </cell>
          <cell r="K3882">
            <v>0</v>
          </cell>
          <cell r="M3882">
            <v>0</v>
          </cell>
          <cell r="P3882">
            <v>668</v>
          </cell>
          <cell r="V3882" t="str">
            <v>Available</v>
          </cell>
        </row>
        <row r="3883">
          <cell r="E3883">
            <v>10360001</v>
          </cell>
          <cell r="H3883">
            <v>43.800000000000004</v>
          </cell>
          <cell r="I3883">
            <v>1720.08</v>
          </cell>
          <cell r="J3883">
            <v>0</v>
          </cell>
          <cell r="K3883">
            <v>1720.08</v>
          </cell>
          <cell r="M3883">
            <v>0</v>
          </cell>
          <cell r="P3883">
            <v>0</v>
          </cell>
          <cell r="V3883" t="str">
            <v>Not Available</v>
          </cell>
        </row>
        <row r="3884">
          <cell r="E3884">
            <v>10360001</v>
          </cell>
          <cell r="H3884">
            <v>385.6</v>
          </cell>
          <cell r="I3884">
            <v>15663.83</v>
          </cell>
          <cell r="J3884">
            <v>0</v>
          </cell>
          <cell r="K3884">
            <v>0</v>
          </cell>
          <cell r="M3884">
            <v>0</v>
          </cell>
          <cell r="P3884">
            <v>15664</v>
          </cell>
          <cell r="V3884" t="str">
            <v>Available</v>
          </cell>
        </row>
        <row r="3885">
          <cell r="E3885">
            <v>10360001</v>
          </cell>
          <cell r="H3885">
            <v>320.89999999999998</v>
          </cell>
          <cell r="I3885">
            <v>12454.34</v>
          </cell>
          <cell r="J3885">
            <v>0</v>
          </cell>
          <cell r="K3885">
            <v>0</v>
          </cell>
          <cell r="M3885">
            <v>0</v>
          </cell>
          <cell r="P3885">
            <v>12454</v>
          </cell>
          <cell r="V3885" t="str">
            <v>Available</v>
          </cell>
        </row>
        <row r="3886">
          <cell r="E3886">
            <v>10360001</v>
          </cell>
          <cell r="H3886">
            <v>74</v>
          </cell>
          <cell r="I3886">
            <v>2644.34</v>
          </cell>
          <cell r="J3886">
            <v>0</v>
          </cell>
          <cell r="K3886">
            <v>0</v>
          </cell>
          <cell r="M3886">
            <v>0</v>
          </cell>
          <cell r="P3886">
            <v>2644</v>
          </cell>
          <cell r="V3886" t="str">
            <v>Available</v>
          </cell>
        </row>
        <row r="3887">
          <cell r="E3887">
            <v>10360001</v>
          </cell>
          <cell r="H3887">
            <v>261.5</v>
          </cell>
          <cell r="I3887">
            <v>9859.74</v>
          </cell>
          <cell r="J3887">
            <v>0</v>
          </cell>
          <cell r="K3887">
            <v>0</v>
          </cell>
          <cell r="M3887">
            <v>0</v>
          </cell>
          <cell r="P3887">
            <v>9860</v>
          </cell>
          <cell r="V3887" t="str">
            <v>Available</v>
          </cell>
        </row>
        <row r="3888">
          <cell r="E3888">
            <v>10360001</v>
          </cell>
          <cell r="H3888">
            <v>123.60000000000002</v>
          </cell>
          <cell r="I3888">
            <v>4915.08</v>
          </cell>
          <cell r="J3888">
            <v>0</v>
          </cell>
          <cell r="K3888">
            <v>0</v>
          </cell>
          <cell r="M3888">
            <v>0</v>
          </cell>
          <cell r="P3888">
            <v>4915</v>
          </cell>
          <cell r="V3888" t="str">
            <v>Available</v>
          </cell>
        </row>
        <row r="3889">
          <cell r="E3889">
            <v>10360001</v>
          </cell>
          <cell r="H3889">
            <v>194.70000000000002</v>
          </cell>
          <cell r="I3889">
            <v>7421.2499999999991</v>
          </cell>
          <cell r="J3889">
            <v>0</v>
          </cell>
          <cell r="K3889">
            <v>0</v>
          </cell>
          <cell r="M3889">
            <v>0</v>
          </cell>
          <cell r="P3889">
            <v>7421</v>
          </cell>
          <cell r="V3889" t="str">
            <v>Available</v>
          </cell>
        </row>
        <row r="3890">
          <cell r="E3890">
            <v>10360001</v>
          </cell>
          <cell r="H3890">
            <v>260.89999999999998</v>
          </cell>
          <cell r="I3890">
            <v>10500.35</v>
          </cell>
          <cell r="J3890">
            <v>0</v>
          </cell>
          <cell r="K3890">
            <v>0</v>
          </cell>
          <cell r="M3890">
            <v>0</v>
          </cell>
          <cell r="P3890">
            <v>10500</v>
          </cell>
          <cell r="V3890" t="str">
            <v>Available</v>
          </cell>
        </row>
        <row r="3891">
          <cell r="E3891">
            <v>10360001</v>
          </cell>
          <cell r="H3891">
            <v>161.4</v>
          </cell>
          <cell r="I3891">
            <v>5723.44</v>
          </cell>
          <cell r="J3891">
            <v>0</v>
          </cell>
          <cell r="K3891">
            <v>0</v>
          </cell>
          <cell r="M3891">
            <v>0</v>
          </cell>
          <cell r="P3891">
            <v>5723</v>
          </cell>
          <cell r="V3891" t="str">
            <v>Available</v>
          </cell>
        </row>
        <row r="3892">
          <cell r="E3892">
            <v>10360001</v>
          </cell>
          <cell r="H3892">
            <v>60.79999999999999</v>
          </cell>
          <cell r="I3892">
            <v>2320.54</v>
          </cell>
          <cell r="J3892">
            <v>0</v>
          </cell>
          <cell r="K3892">
            <v>0</v>
          </cell>
          <cell r="M3892">
            <v>0</v>
          </cell>
          <cell r="P3892">
            <v>2321</v>
          </cell>
          <cell r="V3892" t="str">
            <v>Available</v>
          </cell>
        </row>
        <row r="3893">
          <cell r="E3893">
            <v>10360001</v>
          </cell>
          <cell r="H3893">
            <v>176.7</v>
          </cell>
          <cell r="I3893">
            <v>6870.84</v>
          </cell>
          <cell r="J3893">
            <v>0</v>
          </cell>
          <cell r="K3893">
            <v>0</v>
          </cell>
          <cell r="M3893">
            <v>0</v>
          </cell>
          <cell r="P3893">
            <v>6871</v>
          </cell>
          <cell r="V3893" t="str">
            <v>Available</v>
          </cell>
        </row>
        <row r="3894">
          <cell r="E3894">
            <v>10380001</v>
          </cell>
          <cell r="H3894">
            <v>9</v>
          </cell>
          <cell r="I3894">
            <v>325.72000000000003</v>
          </cell>
          <cell r="J3894">
            <v>0</v>
          </cell>
          <cell r="K3894">
            <v>325.72000000000003</v>
          </cell>
          <cell r="M3894">
            <v>0</v>
          </cell>
          <cell r="P3894">
            <v>0</v>
          </cell>
          <cell r="V3894" t="str">
            <v>Not Available</v>
          </cell>
        </row>
        <row r="3895">
          <cell r="E3895">
            <v>10380001</v>
          </cell>
          <cell r="H3895">
            <v>45</v>
          </cell>
          <cell r="I3895">
            <v>1622.3500000000001</v>
          </cell>
          <cell r="J3895">
            <v>0</v>
          </cell>
          <cell r="K3895">
            <v>0</v>
          </cell>
          <cell r="M3895">
            <v>0</v>
          </cell>
          <cell r="P3895">
            <v>1332</v>
          </cell>
          <cell r="V3895" t="str">
            <v>Available</v>
          </cell>
        </row>
        <row r="3896">
          <cell r="E3896">
            <v>10380001</v>
          </cell>
          <cell r="H3896">
            <v>45</v>
          </cell>
          <cell r="I3896">
            <v>1622.3500000000001</v>
          </cell>
          <cell r="J3896">
            <v>0</v>
          </cell>
          <cell r="K3896">
            <v>0</v>
          </cell>
          <cell r="M3896">
            <v>0</v>
          </cell>
          <cell r="P3896">
            <v>1622</v>
          </cell>
          <cell r="V3896" t="str">
            <v>Available</v>
          </cell>
        </row>
        <row r="3897">
          <cell r="E3897">
            <v>10380001</v>
          </cell>
          <cell r="H3897">
            <v>45</v>
          </cell>
          <cell r="I3897">
            <v>1622.3500000000001</v>
          </cell>
          <cell r="J3897">
            <v>0</v>
          </cell>
          <cell r="K3897">
            <v>0</v>
          </cell>
          <cell r="M3897">
            <v>0</v>
          </cell>
          <cell r="P3897">
            <v>1622</v>
          </cell>
          <cell r="V3897" t="str">
            <v>Available</v>
          </cell>
        </row>
        <row r="3898">
          <cell r="E3898">
            <v>10380001</v>
          </cell>
          <cell r="H3898">
            <v>55</v>
          </cell>
          <cell r="I3898">
            <v>1990.75</v>
          </cell>
          <cell r="J3898">
            <v>0</v>
          </cell>
          <cell r="K3898">
            <v>0</v>
          </cell>
          <cell r="M3898">
            <v>0</v>
          </cell>
          <cell r="P3898">
            <v>1991</v>
          </cell>
          <cell r="V3898" t="str">
            <v>Available</v>
          </cell>
        </row>
        <row r="3899">
          <cell r="E3899">
            <v>10380001</v>
          </cell>
          <cell r="H3899">
            <v>45</v>
          </cell>
          <cell r="I3899">
            <v>1622.3500000000001</v>
          </cell>
          <cell r="J3899">
            <v>0</v>
          </cell>
          <cell r="K3899">
            <v>0</v>
          </cell>
          <cell r="M3899">
            <v>0</v>
          </cell>
          <cell r="P3899">
            <v>1622</v>
          </cell>
          <cell r="V3899" t="str">
            <v>Not Available</v>
          </cell>
        </row>
        <row r="3900">
          <cell r="E3900">
            <v>10380001</v>
          </cell>
          <cell r="H3900">
            <v>45</v>
          </cell>
          <cell r="I3900">
            <v>1622.3500000000001</v>
          </cell>
          <cell r="J3900">
            <v>0</v>
          </cell>
          <cell r="K3900">
            <v>0</v>
          </cell>
          <cell r="M3900">
            <v>0</v>
          </cell>
          <cell r="P3900">
            <v>1622</v>
          </cell>
          <cell r="V3900" t="str">
            <v>Not Available</v>
          </cell>
        </row>
        <row r="3901">
          <cell r="E3901">
            <v>10380001</v>
          </cell>
          <cell r="H3901">
            <v>45</v>
          </cell>
          <cell r="I3901">
            <v>1622.3500000000001</v>
          </cell>
          <cell r="J3901">
            <v>0</v>
          </cell>
          <cell r="K3901">
            <v>0</v>
          </cell>
          <cell r="M3901">
            <v>0</v>
          </cell>
          <cell r="P3901">
            <v>1622</v>
          </cell>
          <cell r="V3901" t="str">
            <v>Not Available</v>
          </cell>
        </row>
        <row r="3902">
          <cell r="E3902">
            <v>10380001</v>
          </cell>
          <cell r="H3902">
            <v>44</v>
          </cell>
          <cell r="I3902">
            <v>1586.77</v>
          </cell>
          <cell r="J3902">
            <v>0</v>
          </cell>
          <cell r="K3902">
            <v>0</v>
          </cell>
          <cell r="M3902">
            <v>0</v>
          </cell>
          <cell r="P3902">
            <v>1587</v>
          </cell>
          <cell r="V3902" t="str">
            <v>Not Available</v>
          </cell>
        </row>
        <row r="3903">
          <cell r="E3903">
            <v>10380001</v>
          </cell>
          <cell r="H3903">
            <v>45</v>
          </cell>
          <cell r="I3903">
            <v>1622.3500000000001</v>
          </cell>
          <cell r="J3903">
            <v>0</v>
          </cell>
          <cell r="K3903">
            <v>0</v>
          </cell>
          <cell r="M3903">
            <v>0</v>
          </cell>
          <cell r="P3903">
            <v>1622</v>
          </cell>
          <cell r="V3903" t="str">
            <v>Available</v>
          </cell>
        </row>
        <row r="3904">
          <cell r="E3904">
            <v>10380001</v>
          </cell>
          <cell r="H3904">
            <v>45</v>
          </cell>
          <cell r="I3904">
            <v>1622.3500000000001</v>
          </cell>
          <cell r="J3904">
            <v>0</v>
          </cell>
          <cell r="K3904">
            <v>0</v>
          </cell>
          <cell r="M3904">
            <v>0</v>
          </cell>
          <cell r="P3904">
            <v>1622</v>
          </cell>
          <cell r="V3904" t="str">
            <v>Available</v>
          </cell>
        </row>
        <row r="3905">
          <cell r="E3905">
            <v>10380001</v>
          </cell>
          <cell r="H3905">
            <v>20</v>
          </cell>
          <cell r="I3905">
            <v>724.3</v>
          </cell>
          <cell r="J3905">
            <v>0</v>
          </cell>
          <cell r="K3905">
            <v>0</v>
          </cell>
          <cell r="M3905">
            <v>0</v>
          </cell>
          <cell r="P3905">
            <v>724</v>
          </cell>
          <cell r="V3905" t="str">
            <v>Available</v>
          </cell>
        </row>
        <row r="3906">
          <cell r="E3906">
            <v>10380001</v>
          </cell>
          <cell r="H3906">
            <v>70</v>
          </cell>
          <cell r="I3906">
            <v>2524.5999999999995</v>
          </cell>
          <cell r="J3906">
            <v>0</v>
          </cell>
          <cell r="K3906">
            <v>0</v>
          </cell>
          <cell r="M3906">
            <v>0</v>
          </cell>
          <cell r="P3906">
            <v>2525</v>
          </cell>
          <cell r="V3906" t="str">
            <v>Available</v>
          </cell>
        </row>
        <row r="3907">
          <cell r="E3907">
            <v>10390001</v>
          </cell>
          <cell r="H3907">
            <v>4</v>
          </cell>
          <cell r="I3907">
            <v>148.31</v>
          </cell>
          <cell r="J3907">
            <v>0</v>
          </cell>
          <cell r="K3907">
            <v>148.31</v>
          </cell>
          <cell r="M3907">
            <v>0</v>
          </cell>
          <cell r="P3907">
            <v>0</v>
          </cell>
          <cell r="V3907" t="str">
            <v>Not Available</v>
          </cell>
        </row>
        <row r="3908">
          <cell r="E3908">
            <v>10390001</v>
          </cell>
          <cell r="H3908">
            <v>150</v>
          </cell>
          <cell r="I3908">
            <v>5546.5</v>
          </cell>
          <cell r="J3908">
            <v>0</v>
          </cell>
          <cell r="K3908">
            <v>0</v>
          </cell>
          <cell r="M3908">
            <v>0</v>
          </cell>
          <cell r="P3908">
            <v>5547</v>
          </cell>
          <cell r="V3908" t="str">
            <v>Available</v>
          </cell>
        </row>
        <row r="3909">
          <cell r="E3909">
            <v>10390001</v>
          </cell>
          <cell r="H3909">
            <v>13.7</v>
          </cell>
          <cell r="I3909">
            <v>506.97</v>
          </cell>
          <cell r="J3909">
            <v>0</v>
          </cell>
          <cell r="K3909">
            <v>0</v>
          </cell>
          <cell r="M3909">
            <v>0</v>
          </cell>
          <cell r="P3909">
            <v>507</v>
          </cell>
          <cell r="V3909" t="str">
            <v>Not Available</v>
          </cell>
        </row>
        <row r="3910">
          <cell r="E3910">
            <v>10390001</v>
          </cell>
          <cell r="H3910">
            <v>150</v>
          </cell>
          <cell r="I3910">
            <v>5525.5</v>
          </cell>
          <cell r="J3910">
            <v>0</v>
          </cell>
          <cell r="K3910">
            <v>0</v>
          </cell>
          <cell r="M3910">
            <v>0</v>
          </cell>
          <cell r="P3910">
            <v>5526</v>
          </cell>
          <cell r="V3910" t="str">
            <v>Available</v>
          </cell>
        </row>
        <row r="3911">
          <cell r="E3911">
            <v>10390001</v>
          </cell>
          <cell r="H3911">
            <v>12.600000000000001</v>
          </cell>
          <cell r="I3911">
            <v>466.48</v>
          </cell>
          <cell r="J3911">
            <v>0</v>
          </cell>
          <cell r="K3911">
            <v>0</v>
          </cell>
          <cell r="M3911">
            <v>0</v>
          </cell>
          <cell r="P3911">
            <v>466</v>
          </cell>
          <cell r="V3911" t="str">
            <v>Not Available</v>
          </cell>
        </row>
        <row r="3912">
          <cell r="E3912">
            <v>10390001</v>
          </cell>
          <cell r="H3912">
            <v>15.299999999999999</v>
          </cell>
          <cell r="I3912">
            <v>566.35</v>
          </cell>
          <cell r="J3912">
            <v>0</v>
          </cell>
          <cell r="K3912">
            <v>0</v>
          </cell>
          <cell r="M3912">
            <v>0</v>
          </cell>
          <cell r="P3912">
            <v>566</v>
          </cell>
          <cell r="V3912" t="str">
            <v>Not Available</v>
          </cell>
        </row>
        <row r="3913">
          <cell r="E3913">
            <v>10390001</v>
          </cell>
          <cell r="H3913">
            <v>6.4</v>
          </cell>
          <cell r="I3913">
            <v>237.22</v>
          </cell>
          <cell r="J3913">
            <v>0</v>
          </cell>
          <cell r="K3913">
            <v>0</v>
          </cell>
          <cell r="M3913">
            <v>0</v>
          </cell>
          <cell r="P3913">
            <v>237</v>
          </cell>
          <cell r="V3913" t="str">
            <v>Not Available</v>
          </cell>
        </row>
        <row r="3914">
          <cell r="E3914">
            <v>10390001</v>
          </cell>
          <cell r="H3914">
            <v>10</v>
          </cell>
          <cell r="I3914">
            <v>368.4</v>
          </cell>
          <cell r="J3914">
            <v>0</v>
          </cell>
          <cell r="K3914">
            <v>0</v>
          </cell>
          <cell r="M3914">
            <v>0</v>
          </cell>
          <cell r="P3914">
            <v>368</v>
          </cell>
          <cell r="V3914" t="str">
            <v>Not Available</v>
          </cell>
        </row>
        <row r="3915">
          <cell r="E3915">
            <v>10390001</v>
          </cell>
          <cell r="H3915">
            <v>11.5</v>
          </cell>
          <cell r="I3915">
            <v>425.1</v>
          </cell>
          <cell r="J3915">
            <v>0</v>
          </cell>
          <cell r="K3915">
            <v>0</v>
          </cell>
          <cell r="M3915">
            <v>0</v>
          </cell>
          <cell r="P3915">
            <v>425</v>
          </cell>
          <cell r="V3915" t="str">
            <v>Not Available</v>
          </cell>
        </row>
        <row r="3916">
          <cell r="E3916">
            <v>10390001</v>
          </cell>
          <cell r="H3916">
            <v>10.3</v>
          </cell>
          <cell r="I3916">
            <v>381.06</v>
          </cell>
          <cell r="J3916">
            <v>0</v>
          </cell>
          <cell r="K3916">
            <v>0</v>
          </cell>
          <cell r="M3916">
            <v>0</v>
          </cell>
          <cell r="P3916">
            <v>381</v>
          </cell>
          <cell r="V3916" t="str">
            <v>Not Available</v>
          </cell>
        </row>
        <row r="3917">
          <cell r="E3917">
            <v>10390001</v>
          </cell>
          <cell r="H3917">
            <v>53.5</v>
          </cell>
          <cell r="I3917">
            <v>1975.25</v>
          </cell>
          <cell r="J3917">
            <v>0</v>
          </cell>
          <cell r="K3917">
            <v>0</v>
          </cell>
          <cell r="M3917">
            <v>0</v>
          </cell>
          <cell r="P3917">
            <v>1975</v>
          </cell>
          <cell r="V3917" t="str">
            <v>Not Available</v>
          </cell>
        </row>
        <row r="3918">
          <cell r="E3918">
            <v>10390001</v>
          </cell>
          <cell r="H3918">
            <v>10.8</v>
          </cell>
          <cell r="I3918">
            <v>400</v>
          </cell>
          <cell r="J3918">
            <v>0</v>
          </cell>
          <cell r="K3918">
            <v>0</v>
          </cell>
          <cell r="M3918">
            <v>0</v>
          </cell>
          <cell r="P3918">
            <v>400</v>
          </cell>
          <cell r="V3918" t="str">
            <v>Not Available</v>
          </cell>
        </row>
        <row r="3919">
          <cell r="E3919">
            <v>10390001</v>
          </cell>
          <cell r="H3919">
            <v>8.8999999999999986</v>
          </cell>
          <cell r="I3919">
            <v>327.87</v>
          </cell>
          <cell r="J3919">
            <v>0</v>
          </cell>
          <cell r="K3919">
            <v>0</v>
          </cell>
          <cell r="M3919">
            <v>0</v>
          </cell>
          <cell r="P3919">
            <v>328</v>
          </cell>
          <cell r="V3919" t="str">
            <v>Not Available</v>
          </cell>
        </row>
        <row r="3920">
          <cell r="E3920">
            <v>10390001</v>
          </cell>
          <cell r="H3920">
            <v>15.799999999999999</v>
          </cell>
          <cell r="I3920">
            <v>584.49</v>
          </cell>
          <cell r="J3920">
            <v>0</v>
          </cell>
          <cell r="K3920">
            <v>0</v>
          </cell>
          <cell r="M3920">
            <v>0</v>
          </cell>
          <cell r="P3920">
            <v>584</v>
          </cell>
          <cell r="V3920" t="str">
            <v>Not Available</v>
          </cell>
        </row>
        <row r="3921">
          <cell r="E3921">
            <v>10390001</v>
          </cell>
          <cell r="H3921">
            <v>12.100000000000001</v>
          </cell>
          <cell r="I3921">
            <v>447.78000000000003</v>
          </cell>
          <cell r="J3921">
            <v>0</v>
          </cell>
          <cell r="K3921">
            <v>0</v>
          </cell>
          <cell r="M3921">
            <v>0</v>
          </cell>
          <cell r="P3921">
            <v>448</v>
          </cell>
          <cell r="V3921" t="str">
            <v>Not Available</v>
          </cell>
        </row>
        <row r="3922">
          <cell r="E3922">
            <v>10400001</v>
          </cell>
          <cell r="H3922">
            <v>9</v>
          </cell>
          <cell r="I3922">
            <v>320.27999999999997</v>
          </cell>
          <cell r="J3922">
            <v>0</v>
          </cell>
          <cell r="K3922">
            <v>320.27999999999997</v>
          </cell>
          <cell r="M3922">
            <v>0</v>
          </cell>
          <cell r="P3922">
            <v>0</v>
          </cell>
          <cell r="V3922" t="str">
            <v>Not Available</v>
          </cell>
        </row>
        <row r="3923">
          <cell r="E3923">
            <v>10400001</v>
          </cell>
          <cell r="H3923">
            <v>300</v>
          </cell>
          <cell r="I3923">
            <v>10676</v>
          </cell>
          <cell r="J3923">
            <v>0</v>
          </cell>
          <cell r="K3923">
            <v>0</v>
          </cell>
          <cell r="M3923">
            <v>0</v>
          </cell>
          <cell r="P3923">
            <v>10676</v>
          </cell>
          <cell r="V3923" t="str">
            <v>Available</v>
          </cell>
        </row>
        <row r="3924">
          <cell r="E3924">
            <v>10400001</v>
          </cell>
          <cell r="H3924">
            <v>150</v>
          </cell>
          <cell r="I3924">
            <v>5317</v>
          </cell>
          <cell r="J3924">
            <v>0</v>
          </cell>
          <cell r="K3924">
            <v>0</v>
          </cell>
          <cell r="M3924">
            <v>0</v>
          </cell>
          <cell r="P3924">
            <v>5317</v>
          </cell>
          <cell r="V3924" t="str">
            <v>Available</v>
          </cell>
        </row>
        <row r="3925">
          <cell r="E3925">
            <v>10400001</v>
          </cell>
          <cell r="H3925">
            <v>300</v>
          </cell>
          <cell r="I3925">
            <v>10676</v>
          </cell>
          <cell r="J3925">
            <v>0</v>
          </cell>
          <cell r="K3925">
            <v>0</v>
          </cell>
          <cell r="M3925">
            <v>0</v>
          </cell>
          <cell r="P3925">
            <v>10676</v>
          </cell>
          <cell r="V3925" t="str">
            <v>Available</v>
          </cell>
        </row>
        <row r="3926">
          <cell r="E3926">
            <v>10400001</v>
          </cell>
          <cell r="H3926">
            <v>150</v>
          </cell>
          <cell r="I3926">
            <v>5358.5</v>
          </cell>
          <cell r="J3926">
            <v>0</v>
          </cell>
          <cell r="K3926">
            <v>0</v>
          </cell>
          <cell r="M3926">
            <v>0</v>
          </cell>
          <cell r="P3926">
            <v>5359</v>
          </cell>
          <cell r="V3926" t="str">
            <v>Available</v>
          </cell>
        </row>
        <row r="3927">
          <cell r="E3927">
            <v>10400001</v>
          </cell>
          <cell r="H3927">
            <v>500</v>
          </cell>
          <cell r="I3927">
            <v>17835</v>
          </cell>
          <cell r="J3927">
            <v>0</v>
          </cell>
          <cell r="K3927">
            <v>0</v>
          </cell>
          <cell r="M3927">
            <v>0</v>
          </cell>
          <cell r="P3927">
            <v>17835</v>
          </cell>
          <cell r="V3927" t="str">
            <v>Available</v>
          </cell>
        </row>
        <row r="3928">
          <cell r="E3928">
            <v>10400001</v>
          </cell>
          <cell r="H3928">
            <v>300</v>
          </cell>
          <cell r="I3928">
            <v>10634</v>
          </cell>
          <cell r="J3928">
            <v>0</v>
          </cell>
          <cell r="K3928">
            <v>0</v>
          </cell>
          <cell r="M3928">
            <v>0</v>
          </cell>
          <cell r="P3928">
            <v>10634</v>
          </cell>
          <cell r="V3928" t="str">
            <v>Available</v>
          </cell>
        </row>
        <row r="3929">
          <cell r="E3929">
            <v>10400001</v>
          </cell>
          <cell r="H3929">
            <v>150</v>
          </cell>
          <cell r="I3929">
            <v>5317</v>
          </cell>
          <cell r="J3929">
            <v>0</v>
          </cell>
          <cell r="K3929">
            <v>0</v>
          </cell>
          <cell r="M3929">
            <v>0</v>
          </cell>
          <cell r="P3929">
            <v>5317</v>
          </cell>
          <cell r="V3929" t="str">
            <v>Available</v>
          </cell>
        </row>
        <row r="3930">
          <cell r="E3930">
            <v>10400001</v>
          </cell>
          <cell r="H3930">
            <v>250</v>
          </cell>
          <cell r="I3930">
            <v>9000.5</v>
          </cell>
          <cell r="J3930">
            <v>0</v>
          </cell>
          <cell r="K3930">
            <v>0</v>
          </cell>
          <cell r="M3930">
            <v>0</v>
          </cell>
          <cell r="P3930">
            <v>9001</v>
          </cell>
          <cell r="V3930" t="str">
            <v>Available</v>
          </cell>
        </row>
        <row r="3931">
          <cell r="E3931">
            <v>10400001</v>
          </cell>
          <cell r="H3931">
            <v>45</v>
          </cell>
          <cell r="I3931">
            <v>1599.25</v>
          </cell>
          <cell r="J3931">
            <v>0</v>
          </cell>
          <cell r="K3931">
            <v>0</v>
          </cell>
          <cell r="M3931">
            <v>0</v>
          </cell>
          <cell r="P3931">
            <v>1599</v>
          </cell>
          <cell r="V3931" t="str">
            <v>Not Available</v>
          </cell>
        </row>
        <row r="3932">
          <cell r="E3932">
            <v>10400001</v>
          </cell>
          <cell r="H3932">
            <v>35</v>
          </cell>
          <cell r="I3932">
            <v>1251.7</v>
          </cell>
          <cell r="J3932">
            <v>0</v>
          </cell>
          <cell r="K3932">
            <v>0</v>
          </cell>
          <cell r="M3932">
            <v>0</v>
          </cell>
          <cell r="P3932">
            <v>1252</v>
          </cell>
          <cell r="V3932" t="str">
            <v>Not Available</v>
          </cell>
        </row>
        <row r="3933">
          <cell r="E3933">
            <v>10400001</v>
          </cell>
          <cell r="H3933">
            <v>45</v>
          </cell>
          <cell r="I3933">
            <v>1603.45</v>
          </cell>
          <cell r="J3933">
            <v>0</v>
          </cell>
          <cell r="K3933">
            <v>0</v>
          </cell>
          <cell r="M3933">
            <v>0</v>
          </cell>
          <cell r="P3933">
            <v>1603</v>
          </cell>
          <cell r="V3933" t="str">
            <v>Not Available</v>
          </cell>
        </row>
        <row r="3934">
          <cell r="E3934">
            <v>10400001</v>
          </cell>
          <cell r="H3934">
            <v>35</v>
          </cell>
          <cell r="I3934">
            <v>1247.5</v>
          </cell>
          <cell r="J3934">
            <v>0</v>
          </cell>
          <cell r="K3934">
            <v>0</v>
          </cell>
          <cell r="M3934">
            <v>0</v>
          </cell>
          <cell r="P3934">
            <v>1248</v>
          </cell>
          <cell r="V3934" t="str">
            <v>Not Available</v>
          </cell>
        </row>
        <row r="3935">
          <cell r="E3935">
            <v>10400001</v>
          </cell>
          <cell r="H3935">
            <v>30</v>
          </cell>
          <cell r="I3935">
            <v>1063.4000000000001</v>
          </cell>
          <cell r="J3935">
            <v>0</v>
          </cell>
          <cell r="K3935">
            <v>0</v>
          </cell>
          <cell r="M3935">
            <v>0</v>
          </cell>
          <cell r="P3935">
            <v>1063</v>
          </cell>
          <cell r="V3935" t="str">
            <v>Not Available</v>
          </cell>
        </row>
        <row r="3936">
          <cell r="E3936">
            <v>10400001</v>
          </cell>
          <cell r="H3936">
            <v>32</v>
          </cell>
          <cell r="I3936">
            <v>1145.5</v>
          </cell>
          <cell r="J3936">
            <v>0</v>
          </cell>
          <cell r="K3936">
            <v>0</v>
          </cell>
          <cell r="M3936">
            <v>0</v>
          </cell>
          <cell r="P3936">
            <v>1146</v>
          </cell>
          <cell r="V3936" t="str">
            <v>Not Available</v>
          </cell>
        </row>
        <row r="3937">
          <cell r="E3937">
            <v>10400001</v>
          </cell>
          <cell r="H3937">
            <v>19</v>
          </cell>
          <cell r="I3937">
            <v>681.19</v>
          </cell>
          <cell r="J3937">
            <v>0</v>
          </cell>
          <cell r="K3937">
            <v>0</v>
          </cell>
          <cell r="M3937">
            <v>0</v>
          </cell>
          <cell r="P3937">
            <v>681</v>
          </cell>
          <cell r="V3937" t="str">
            <v>Not Available</v>
          </cell>
        </row>
        <row r="3938">
          <cell r="E3938">
            <v>10410001</v>
          </cell>
          <cell r="H3938">
            <v>6</v>
          </cell>
          <cell r="I3938">
            <v>214.36</v>
          </cell>
          <cell r="J3938">
            <v>0</v>
          </cell>
          <cell r="K3938">
            <v>214.36</v>
          </cell>
          <cell r="M3938">
            <v>0</v>
          </cell>
          <cell r="P3938">
            <v>0</v>
          </cell>
          <cell r="V3938" t="str">
            <v>Not Available</v>
          </cell>
        </row>
        <row r="3939">
          <cell r="E3939">
            <v>10410001</v>
          </cell>
          <cell r="H3939">
            <v>500</v>
          </cell>
          <cell r="I3939">
            <v>17877</v>
          </cell>
          <cell r="J3939">
            <v>0</v>
          </cell>
          <cell r="K3939">
            <v>0</v>
          </cell>
          <cell r="M3939">
            <v>0</v>
          </cell>
          <cell r="P3939">
            <v>16367</v>
          </cell>
          <cell r="V3939" t="str">
            <v>Available</v>
          </cell>
        </row>
        <row r="3940">
          <cell r="E3940">
            <v>10410001</v>
          </cell>
          <cell r="H3940">
            <v>600</v>
          </cell>
          <cell r="I3940">
            <v>21436</v>
          </cell>
          <cell r="J3940">
            <v>0</v>
          </cell>
          <cell r="K3940">
            <v>0</v>
          </cell>
          <cell r="M3940">
            <v>0</v>
          </cell>
          <cell r="P3940">
            <v>21436</v>
          </cell>
          <cell r="V3940" t="str">
            <v>Available</v>
          </cell>
        </row>
        <row r="3941">
          <cell r="E3941">
            <v>10410001</v>
          </cell>
          <cell r="H3941">
            <v>100</v>
          </cell>
          <cell r="I3941">
            <v>3475</v>
          </cell>
          <cell r="J3941">
            <v>0</v>
          </cell>
          <cell r="K3941">
            <v>0</v>
          </cell>
          <cell r="M3941">
            <v>0</v>
          </cell>
          <cell r="P3941">
            <v>3475</v>
          </cell>
          <cell r="V3941" t="str">
            <v>Not Available</v>
          </cell>
        </row>
        <row r="3942">
          <cell r="E3942">
            <v>10410001</v>
          </cell>
          <cell r="H3942">
            <v>145</v>
          </cell>
          <cell r="I3942">
            <v>5132.8</v>
          </cell>
          <cell r="J3942">
            <v>0</v>
          </cell>
          <cell r="K3942">
            <v>0</v>
          </cell>
          <cell r="M3942">
            <v>0</v>
          </cell>
          <cell r="P3942">
            <v>5133</v>
          </cell>
          <cell r="V3942" t="str">
            <v>Not Available</v>
          </cell>
        </row>
        <row r="3943">
          <cell r="E3943">
            <v>10410001</v>
          </cell>
          <cell r="H3943">
            <v>100</v>
          </cell>
          <cell r="I3943">
            <v>3475</v>
          </cell>
          <cell r="J3943">
            <v>0</v>
          </cell>
          <cell r="K3943">
            <v>0</v>
          </cell>
          <cell r="M3943">
            <v>0</v>
          </cell>
          <cell r="P3943">
            <v>3475</v>
          </cell>
          <cell r="V3943" t="str">
            <v>Not Available</v>
          </cell>
        </row>
        <row r="3944">
          <cell r="E3944">
            <v>10410001</v>
          </cell>
          <cell r="H3944">
            <v>200</v>
          </cell>
          <cell r="I3944">
            <v>7034</v>
          </cell>
          <cell r="J3944">
            <v>0</v>
          </cell>
          <cell r="K3944">
            <v>0</v>
          </cell>
          <cell r="M3944">
            <v>0</v>
          </cell>
          <cell r="P3944">
            <v>7034</v>
          </cell>
          <cell r="V3944" t="str">
            <v>Not Available</v>
          </cell>
        </row>
        <row r="3945">
          <cell r="E3945">
            <v>10410001</v>
          </cell>
          <cell r="H3945">
            <v>100</v>
          </cell>
          <cell r="I3945">
            <v>3475</v>
          </cell>
          <cell r="J3945">
            <v>0</v>
          </cell>
          <cell r="K3945">
            <v>0</v>
          </cell>
          <cell r="M3945">
            <v>0</v>
          </cell>
          <cell r="P3945">
            <v>3475</v>
          </cell>
          <cell r="V3945" t="str">
            <v>Not Available</v>
          </cell>
        </row>
        <row r="3946">
          <cell r="E3946">
            <v>10410001</v>
          </cell>
          <cell r="H3946">
            <v>300</v>
          </cell>
          <cell r="I3946">
            <v>10718</v>
          </cell>
          <cell r="J3946">
            <v>0</v>
          </cell>
          <cell r="K3946">
            <v>0</v>
          </cell>
          <cell r="M3946">
            <v>0</v>
          </cell>
          <cell r="P3946">
            <v>10718</v>
          </cell>
          <cell r="V3946" t="str">
            <v>Not Available</v>
          </cell>
        </row>
        <row r="3947">
          <cell r="E3947">
            <v>10410001</v>
          </cell>
          <cell r="H3947">
            <v>136</v>
          </cell>
          <cell r="I3947">
            <v>4756.24</v>
          </cell>
          <cell r="J3947">
            <v>0</v>
          </cell>
          <cell r="K3947">
            <v>0</v>
          </cell>
          <cell r="M3947">
            <v>0</v>
          </cell>
          <cell r="P3947">
            <v>4756</v>
          </cell>
          <cell r="V3947" t="str">
            <v>Not Available</v>
          </cell>
        </row>
        <row r="3948">
          <cell r="E3948">
            <v>10410001</v>
          </cell>
          <cell r="H3948">
            <v>200</v>
          </cell>
          <cell r="I3948">
            <v>7243</v>
          </cell>
          <cell r="J3948">
            <v>0</v>
          </cell>
          <cell r="K3948">
            <v>0</v>
          </cell>
          <cell r="M3948">
            <v>0</v>
          </cell>
          <cell r="P3948">
            <v>7243</v>
          </cell>
          <cell r="V3948" t="str">
            <v>Not Available</v>
          </cell>
        </row>
        <row r="3949">
          <cell r="E3949">
            <v>10410001</v>
          </cell>
          <cell r="H3949">
            <v>200</v>
          </cell>
          <cell r="I3949">
            <v>7243</v>
          </cell>
          <cell r="J3949">
            <v>0</v>
          </cell>
          <cell r="K3949">
            <v>0</v>
          </cell>
          <cell r="M3949">
            <v>0</v>
          </cell>
          <cell r="P3949">
            <v>7243</v>
          </cell>
          <cell r="V3949" t="str">
            <v>Not Available</v>
          </cell>
        </row>
        <row r="3950">
          <cell r="E3950">
            <v>10410001</v>
          </cell>
          <cell r="H3950">
            <v>200</v>
          </cell>
          <cell r="I3950">
            <v>7243</v>
          </cell>
          <cell r="J3950">
            <v>0</v>
          </cell>
          <cell r="K3950">
            <v>0</v>
          </cell>
          <cell r="M3950">
            <v>0</v>
          </cell>
          <cell r="P3950">
            <v>7243</v>
          </cell>
          <cell r="V3950" t="str">
            <v>Not Available</v>
          </cell>
        </row>
        <row r="3951">
          <cell r="E3951">
            <v>10410001</v>
          </cell>
          <cell r="H3951">
            <v>200</v>
          </cell>
          <cell r="I3951">
            <v>7243</v>
          </cell>
          <cell r="J3951">
            <v>0</v>
          </cell>
          <cell r="K3951">
            <v>0</v>
          </cell>
          <cell r="M3951">
            <v>0</v>
          </cell>
          <cell r="P3951">
            <v>7243</v>
          </cell>
          <cell r="V3951" t="str">
            <v>Not Available</v>
          </cell>
        </row>
        <row r="3952">
          <cell r="E3952">
            <v>10410001</v>
          </cell>
          <cell r="H3952">
            <v>200</v>
          </cell>
          <cell r="I3952">
            <v>7243</v>
          </cell>
          <cell r="J3952">
            <v>0</v>
          </cell>
          <cell r="K3952">
            <v>0</v>
          </cell>
          <cell r="M3952">
            <v>0</v>
          </cell>
          <cell r="P3952">
            <v>7243</v>
          </cell>
          <cell r="V3952" t="str">
            <v>Not Available</v>
          </cell>
        </row>
        <row r="3953">
          <cell r="E3953">
            <v>10410001</v>
          </cell>
          <cell r="H3953">
            <v>200</v>
          </cell>
          <cell r="I3953">
            <v>7243</v>
          </cell>
          <cell r="J3953">
            <v>0</v>
          </cell>
          <cell r="K3953">
            <v>0</v>
          </cell>
          <cell r="M3953">
            <v>0</v>
          </cell>
          <cell r="P3953">
            <v>7243</v>
          </cell>
          <cell r="V3953" t="str">
            <v>Not Available</v>
          </cell>
        </row>
        <row r="3954">
          <cell r="E3954">
            <v>10410001</v>
          </cell>
          <cell r="H3954">
            <v>200</v>
          </cell>
          <cell r="I3954">
            <v>7243</v>
          </cell>
          <cell r="J3954">
            <v>0</v>
          </cell>
          <cell r="K3954">
            <v>0</v>
          </cell>
          <cell r="M3954">
            <v>0</v>
          </cell>
          <cell r="P3954">
            <v>7243</v>
          </cell>
          <cell r="V3954" t="str">
            <v>Not Available</v>
          </cell>
        </row>
        <row r="3955">
          <cell r="E3955">
            <v>10440001</v>
          </cell>
          <cell r="H3955">
            <v>37.300000000000004</v>
          </cell>
          <cell r="I3955">
            <v>1402.16</v>
          </cell>
          <cell r="J3955">
            <v>0</v>
          </cell>
          <cell r="K3955">
            <v>0</v>
          </cell>
          <cell r="M3955">
            <v>0</v>
          </cell>
          <cell r="P3955">
            <v>1236</v>
          </cell>
          <cell r="V3955" t="str">
            <v>Available</v>
          </cell>
        </row>
        <row r="3956">
          <cell r="E3956">
            <v>10460001</v>
          </cell>
          <cell r="H3956">
            <v>1.4</v>
          </cell>
          <cell r="I3956">
            <v>51.99</v>
          </cell>
          <cell r="J3956">
            <v>0</v>
          </cell>
          <cell r="K3956">
            <v>51.99</v>
          </cell>
          <cell r="M3956">
            <v>0</v>
          </cell>
          <cell r="P3956">
            <v>0</v>
          </cell>
          <cell r="V3956" t="str">
            <v>Not Available</v>
          </cell>
        </row>
        <row r="3957">
          <cell r="E3957">
            <v>10460001</v>
          </cell>
          <cell r="H3957">
            <v>206.00000000000003</v>
          </cell>
          <cell r="I3957">
            <v>7443.15</v>
          </cell>
          <cell r="J3957">
            <v>0</v>
          </cell>
          <cell r="K3957">
            <v>0</v>
          </cell>
          <cell r="M3957">
            <v>0</v>
          </cell>
          <cell r="P3957">
            <v>6338</v>
          </cell>
          <cell r="V3957" t="str">
            <v>Available</v>
          </cell>
        </row>
        <row r="3958">
          <cell r="E3958">
            <v>10460001</v>
          </cell>
          <cell r="H3958">
            <v>34.800000000000004</v>
          </cell>
          <cell r="I3958">
            <v>1375.67</v>
          </cell>
          <cell r="J3958">
            <v>0</v>
          </cell>
          <cell r="K3958">
            <v>0</v>
          </cell>
          <cell r="M3958">
            <v>0</v>
          </cell>
          <cell r="P3958">
            <v>1376</v>
          </cell>
          <cell r="V3958" t="str">
            <v>Available</v>
          </cell>
        </row>
        <row r="3959">
          <cell r="E3959">
            <v>10460001</v>
          </cell>
          <cell r="H3959">
            <v>24.4</v>
          </cell>
          <cell r="I3959">
            <v>937.76</v>
          </cell>
          <cell r="J3959">
            <v>0</v>
          </cell>
          <cell r="K3959">
            <v>0</v>
          </cell>
          <cell r="M3959">
            <v>0</v>
          </cell>
          <cell r="P3959">
            <v>938</v>
          </cell>
          <cell r="V3959" t="str">
            <v>Available</v>
          </cell>
        </row>
        <row r="3960">
          <cell r="E3960">
            <v>10460001</v>
          </cell>
          <cell r="H3960">
            <v>25.7</v>
          </cell>
          <cell r="I3960">
            <v>1123.3500000000001</v>
          </cell>
          <cell r="J3960">
            <v>0</v>
          </cell>
          <cell r="K3960">
            <v>0</v>
          </cell>
          <cell r="M3960">
            <v>0</v>
          </cell>
          <cell r="P3960">
            <v>1123</v>
          </cell>
          <cell r="V3960" t="str">
            <v>Available</v>
          </cell>
        </row>
        <row r="3961">
          <cell r="E3961">
            <v>10460001</v>
          </cell>
          <cell r="H3961">
            <v>10.7</v>
          </cell>
          <cell r="I3961">
            <v>390.13</v>
          </cell>
          <cell r="J3961">
            <v>0</v>
          </cell>
          <cell r="K3961">
            <v>0</v>
          </cell>
          <cell r="M3961">
            <v>0</v>
          </cell>
          <cell r="P3961">
            <v>390</v>
          </cell>
          <cell r="V3961" t="str">
            <v>Available</v>
          </cell>
        </row>
        <row r="3962">
          <cell r="E3962">
            <v>10460001</v>
          </cell>
          <cell r="H3962">
            <v>62.4</v>
          </cell>
          <cell r="I3962">
            <v>2120.25</v>
          </cell>
          <cell r="J3962">
            <v>0</v>
          </cell>
          <cell r="K3962">
            <v>0</v>
          </cell>
          <cell r="M3962">
            <v>0</v>
          </cell>
          <cell r="P3962">
            <v>2120</v>
          </cell>
          <cell r="V3962" t="str">
            <v>Available</v>
          </cell>
        </row>
        <row r="3963">
          <cell r="E3963">
            <v>10460001</v>
          </cell>
          <cell r="H3963">
            <v>33.6</v>
          </cell>
          <cell r="I3963">
            <v>1229.04</v>
          </cell>
          <cell r="J3963">
            <v>0</v>
          </cell>
          <cell r="K3963">
            <v>0</v>
          </cell>
          <cell r="M3963">
            <v>0</v>
          </cell>
          <cell r="P3963">
            <v>1229</v>
          </cell>
          <cell r="V3963" t="str">
            <v>Available</v>
          </cell>
        </row>
        <row r="3964">
          <cell r="E3964">
            <v>10460002</v>
          </cell>
          <cell r="H3964">
            <v>1.3</v>
          </cell>
          <cell r="I3964">
            <v>42.169999999999995</v>
          </cell>
          <cell r="J3964">
            <v>0</v>
          </cell>
          <cell r="K3964">
            <v>42.169999999999995</v>
          </cell>
          <cell r="M3964">
            <v>0</v>
          </cell>
          <cell r="P3964">
            <v>0</v>
          </cell>
          <cell r="V3964" t="str">
            <v>Not Available</v>
          </cell>
        </row>
        <row r="3965">
          <cell r="E3965">
            <v>10460002</v>
          </cell>
          <cell r="H3965">
            <v>58</v>
          </cell>
          <cell r="I3965">
            <v>1773.7800000000002</v>
          </cell>
          <cell r="J3965">
            <v>0</v>
          </cell>
          <cell r="K3965">
            <v>0</v>
          </cell>
          <cell r="M3965">
            <v>0</v>
          </cell>
          <cell r="P3965">
            <v>1774</v>
          </cell>
          <cell r="V3965" t="str">
            <v>Available</v>
          </cell>
        </row>
        <row r="3966">
          <cell r="E3966">
            <v>10460002</v>
          </cell>
          <cell r="H3966">
            <v>332.9</v>
          </cell>
          <cell r="I3966">
            <v>10504.119999999999</v>
          </cell>
          <cell r="J3966">
            <v>0</v>
          </cell>
          <cell r="K3966">
            <v>0</v>
          </cell>
          <cell r="M3966">
            <v>0</v>
          </cell>
          <cell r="P3966">
            <v>10504</v>
          </cell>
          <cell r="V3966" t="str">
            <v>Available</v>
          </cell>
        </row>
        <row r="3967">
          <cell r="E3967">
            <v>10460002</v>
          </cell>
          <cell r="H3967">
            <v>60.8</v>
          </cell>
          <cell r="I3967">
            <v>2016.13</v>
          </cell>
          <cell r="J3967">
            <v>0</v>
          </cell>
          <cell r="K3967">
            <v>0</v>
          </cell>
          <cell r="M3967">
            <v>0</v>
          </cell>
          <cell r="P3967">
            <v>2016</v>
          </cell>
          <cell r="V3967" t="str">
            <v>Available</v>
          </cell>
        </row>
        <row r="3968">
          <cell r="E3968">
            <v>10480001</v>
          </cell>
          <cell r="H3968">
            <v>2.6999999999999997</v>
          </cell>
          <cell r="I3968">
            <v>106.25000000000001</v>
          </cell>
          <cell r="J3968">
            <v>0</v>
          </cell>
          <cell r="K3968">
            <v>106.25000000000001</v>
          </cell>
          <cell r="M3968">
            <v>0</v>
          </cell>
          <cell r="P3968">
            <v>0</v>
          </cell>
          <cell r="V3968" t="str">
            <v>Not Available</v>
          </cell>
        </row>
        <row r="3969">
          <cell r="E3969">
            <v>10480001</v>
          </cell>
          <cell r="H3969">
            <v>112.1</v>
          </cell>
          <cell r="I3969">
            <v>4422.53</v>
          </cell>
          <cell r="J3969">
            <v>0</v>
          </cell>
          <cell r="K3969">
            <v>0</v>
          </cell>
          <cell r="M3969">
            <v>0</v>
          </cell>
          <cell r="P3969">
            <v>4314</v>
          </cell>
          <cell r="V3969" t="str">
            <v>Available</v>
          </cell>
        </row>
        <row r="3970">
          <cell r="E3970">
            <v>10480001</v>
          </cell>
          <cell r="H3970">
            <v>213.5</v>
          </cell>
          <cell r="I3970">
            <v>8382.7999999999993</v>
          </cell>
          <cell r="J3970">
            <v>0</v>
          </cell>
          <cell r="K3970">
            <v>0</v>
          </cell>
          <cell r="M3970">
            <v>0</v>
          </cell>
          <cell r="P3970">
            <v>8383</v>
          </cell>
          <cell r="V3970" t="str">
            <v>Available</v>
          </cell>
        </row>
        <row r="3971">
          <cell r="E3971">
            <v>10480002</v>
          </cell>
          <cell r="H3971">
            <v>166.69999999999996</v>
          </cell>
          <cell r="I3971">
            <v>6109.8199999999988</v>
          </cell>
          <cell r="J3971">
            <v>0</v>
          </cell>
          <cell r="K3971">
            <v>0</v>
          </cell>
          <cell r="M3971">
            <v>0</v>
          </cell>
          <cell r="P3971">
            <v>6110</v>
          </cell>
          <cell r="V3971" t="str">
            <v>Available</v>
          </cell>
        </row>
        <row r="3972">
          <cell r="E3972">
            <v>10480005</v>
          </cell>
          <cell r="H3972">
            <v>1.4000000000000001</v>
          </cell>
          <cell r="I3972">
            <v>61.17</v>
          </cell>
          <cell r="J3972">
            <v>0</v>
          </cell>
          <cell r="K3972">
            <v>61.17</v>
          </cell>
          <cell r="M3972">
            <v>0</v>
          </cell>
          <cell r="P3972">
            <v>0</v>
          </cell>
          <cell r="V3972" t="str">
            <v>Not Available</v>
          </cell>
        </row>
        <row r="3973">
          <cell r="E3973">
            <v>10480005</v>
          </cell>
          <cell r="H3973">
            <v>217.1</v>
          </cell>
          <cell r="I3973">
            <v>9531.91</v>
          </cell>
          <cell r="J3973">
            <v>0</v>
          </cell>
          <cell r="K3973">
            <v>0</v>
          </cell>
          <cell r="M3973">
            <v>0</v>
          </cell>
          <cell r="P3973">
            <v>8934</v>
          </cell>
          <cell r="V3973" t="str">
            <v>Available</v>
          </cell>
        </row>
        <row r="3974">
          <cell r="E3974">
            <v>10480005</v>
          </cell>
          <cell r="H3974">
            <v>71</v>
          </cell>
          <cell r="I3974">
            <v>3142.34</v>
          </cell>
          <cell r="J3974">
            <v>0</v>
          </cell>
          <cell r="K3974">
            <v>0</v>
          </cell>
          <cell r="M3974">
            <v>0</v>
          </cell>
          <cell r="P3974">
            <v>3142</v>
          </cell>
          <cell r="V3974" t="str">
            <v>Available</v>
          </cell>
        </row>
        <row r="3975">
          <cell r="E3975">
            <v>10480005</v>
          </cell>
          <cell r="H3975">
            <v>45.6</v>
          </cell>
          <cell r="I3975">
            <v>1967.2200000000003</v>
          </cell>
          <cell r="J3975">
            <v>0</v>
          </cell>
          <cell r="K3975">
            <v>0</v>
          </cell>
          <cell r="M3975">
            <v>0</v>
          </cell>
          <cell r="P3975">
            <v>1967</v>
          </cell>
          <cell r="V3975" t="str">
            <v>Available</v>
          </cell>
        </row>
        <row r="3976">
          <cell r="E3976">
            <v>10480005</v>
          </cell>
          <cell r="H3976">
            <v>35.299999999999997</v>
          </cell>
          <cell r="I3976">
            <v>1514.74</v>
          </cell>
          <cell r="J3976">
            <v>0</v>
          </cell>
          <cell r="K3976">
            <v>0</v>
          </cell>
          <cell r="M3976">
            <v>0</v>
          </cell>
          <cell r="P3976">
            <v>1515</v>
          </cell>
          <cell r="V3976" t="str">
            <v>Available</v>
          </cell>
        </row>
        <row r="3977">
          <cell r="E3977">
            <v>10480008</v>
          </cell>
          <cell r="H3977">
            <v>2.9800000000000004</v>
          </cell>
          <cell r="I3977">
            <v>132.10999999999996</v>
          </cell>
          <cell r="J3977">
            <v>0</v>
          </cell>
          <cell r="K3977">
            <v>132.10999999999996</v>
          </cell>
          <cell r="M3977">
            <v>0</v>
          </cell>
          <cell r="P3977">
            <v>0</v>
          </cell>
          <cell r="V3977" t="str">
            <v>Not Available</v>
          </cell>
        </row>
        <row r="3978">
          <cell r="E3978">
            <v>10480008</v>
          </cell>
          <cell r="H3978">
            <v>79.61</v>
          </cell>
          <cell r="I3978">
            <v>3655.73</v>
          </cell>
          <cell r="J3978">
            <v>0</v>
          </cell>
          <cell r="K3978">
            <v>0</v>
          </cell>
          <cell r="M3978">
            <v>0</v>
          </cell>
          <cell r="P3978">
            <v>989</v>
          </cell>
          <cell r="V3978" t="str">
            <v>Available</v>
          </cell>
        </row>
        <row r="3979">
          <cell r="E3979">
            <v>10480008</v>
          </cell>
          <cell r="H3979">
            <v>61.74</v>
          </cell>
          <cell r="I3979">
            <v>2716.9199999999996</v>
          </cell>
          <cell r="J3979">
            <v>0</v>
          </cell>
          <cell r="K3979">
            <v>0</v>
          </cell>
          <cell r="M3979">
            <v>0</v>
          </cell>
          <cell r="P3979">
            <v>2717</v>
          </cell>
          <cell r="V3979" t="str">
            <v>Available</v>
          </cell>
        </row>
        <row r="3980">
          <cell r="E3980">
            <v>10480008</v>
          </cell>
          <cell r="H3980">
            <v>66.31</v>
          </cell>
          <cell r="I3980">
            <v>2924.7599999999998</v>
          </cell>
          <cell r="J3980">
            <v>0</v>
          </cell>
          <cell r="K3980">
            <v>0</v>
          </cell>
          <cell r="M3980">
            <v>0</v>
          </cell>
          <cell r="P3980">
            <v>2925</v>
          </cell>
          <cell r="V3980" t="str">
            <v>Available</v>
          </cell>
        </row>
        <row r="3981">
          <cell r="E3981">
            <v>10480008</v>
          </cell>
          <cell r="H3981">
            <v>44.679999999999993</v>
          </cell>
          <cell r="I3981">
            <v>2038.13</v>
          </cell>
          <cell r="J3981">
            <v>0</v>
          </cell>
          <cell r="K3981">
            <v>0</v>
          </cell>
          <cell r="M3981">
            <v>0</v>
          </cell>
          <cell r="P3981">
            <v>2038</v>
          </cell>
          <cell r="V3981" t="str">
            <v>Not Available</v>
          </cell>
        </row>
        <row r="3982">
          <cell r="E3982">
            <v>10480008</v>
          </cell>
          <cell r="H3982">
            <v>40.06</v>
          </cell>
          <cell r="I3982">
            <v>1798.1299999999999</v>
          </cell>
          <cell r="J3982">
            <v>0</v>
          </cell>
          <cell r="K3982">
            <v>0</v>
          </cell>
          <cell r="M3982">
            <v>0</v>
          </cell>
          <cell r="P3982">
            <v>1798</v>
          </cell>
          <cell r="V3982" t="str">
            <v>Not Available</v>
          </cell>
        </row>
        <row r="3983">
          <cell r="E3983">
            <v>10480008</v>
          </cell>
          <cell r="H3983">
            <v>31.720000000000002</v>
          </cell>
          <cell r="I3983">
            <v>1395.4799999999996</v>
          </cell>
          <cell r="J3983">
            <v>0</v>
          </cell>
          <cell r="K3983">
            <v>0</v>
          </cell>
          <cell r="M3983">
            <v>0</v>
          </cell>
          <cell r="P3983">
            <v>1395</v>
          </cell>
          <cell r="V3983" t="str">
            <v>Not Available</v>
          </cell>
        </row>
        <row r="3984">
          <cell r="E3984">
            <v>10480008</v>
          </cell>
          <cell r="H3984">
            <v>37.21</v>
          </cell>
          <cell r="I3984">
            <v>1851.5499999999997</v>
          </cell>
          <cell r="J3984">
            <v>0</v>
          </cell>
          <cell r="K3984">
            <v>0</v>
          </cell>
          <cell r="M3984">
            <v>0</v>
          </cell>
          <cell r="P3984">
            <v>1852</v>
          </cell>
          <cell r="V3984" t="str">
            <v>Not Available</v>
          </cell>
        </row>
        <row r="3985">
          <cell r="E3985">
            <v>10480008</v>
          </cell>
          <cell r="H3985">
            <v>9.89</v>
          </cell>
          <cell r="I3985">
            <v>418.01</v>
          </cell>
          <cell r="J3985">
            <v>0</v>
          </cell>
          <cell r="K3985">
            <v>0</v>
          </cell>
          <cell r="M3985">
            <v>0</v>
          </cell>
          <cell r="P3985">
            <v>418</v>
          </cell>
          <cell r="V3985" t="str">
            <v>Not Available</v>
          </cell>
        </row>
        <row r="3986">
          <cell r="E3986">
            <v>10480008</v>
          </cell>
          <cell r="H3986">
            <v>13.75</v>
          </cell>
          <cell r="I3986">
            <v>584.03</v>
          </cell>
          <cell r="J3986">
            <v>0</v>
          </cell>
          <cell r="K3986">
            <v>0</v>
          </cell>
          <cell r="M3986">
            <v>0</v>
          </cell>
          <cell r="P3986">
            <v>584</v>
          </cell>
          <cell r="V3986" t="str">
            <v>Not Available</v>
          </cell>
        </row>
        <row r="3987">
          <cell r="E3987">
            <v>10480008</v>
          </cell>
          <cell r="H3987">
            <v>1.1100000000000001</v>
          </cell>
          <cell r="I3987">
            <v>46.91</v>
          </cell>
          <cell r="J3987">
            <v>0</v>
          </cell>
          <cell r="K3987">
            <v>0</v>
          </cell>
          <cell r="M3987">
            <v>0</v>
          </cell>
          <cell r="P3987">
            <v>47</v>
          </cell>
          <cell r="V3987" t="str">
            <v>Not Available</v>
          </cell>
        </row>
        <row r="3988">
          <cell r="E3988">
            <v>10480008</v>
          </cell>
          <cell r="H3988">
            <v>5.45</v>
          </cell>
          <cell r="I3988">
            <v>216.69</v>
          </cell>
          <cell r="J3988">
            <v>0</v>
          </cell>
          <cell r="K3988">
            <v>0</v>
          </cell>
          <cell r="M3988">
            <v>0</v>
          </cell>
          <cell r="P3988">
            <v>217</v>
          </cell>
          <cell r="V3988" t="str">
            <v>Not Available</v>
          </cell>
        </row>
        <row r="3989">
          <cell r="E3989">
            <v>10480022</v>
          </cell>
          <cell r="H3989">
            <v>1.2</v>
          </cell>
          <cell r="I3989">
            <v>51.149999999999991</v>
          </cell>
          <cell r="J3989">
            <v>0</v>
          </cell>
          <cell r="K3989">
            <v>51.149999999999991</v>
          </cell>
          <cell r="M3989">
            <v>0</v>
          </cell>
          <cell r="P3989">
            <v>0</v>
          </cell>
          <cell r="V3989" t="str">
            <v>Not Available</v>
          </cell>
        </row>
        <row r="3990">
          <cell r="E3990">
            <v>10480022</v>
          </cell>
          <cell r="H3990">
            <v>436.40000000000003</v>
          </cell>
          <cell r="I3990">
            <v>19965.86</v>
          </cell>
          <cell r="J3990">
            <v>0</v>
          </cell>
          <cell r="K3990">
            <v>0</v>
          </cell>
          <cell r="M3990">
            <v>0</v>
          </cell>
          <cell r="P3990">
            <v>0</v>
          </cell>
          <cell r="V3990" t="str">
            <v>Available</v>
          </cell>
        </row>
        <row r="3991">
          <cell r="E3991">
            <v>10480022</v>
          </cell>
          <cell r="H3991">
            <v>526.4</v>
          </cell>
          <cell r="I3991">
            <v>23131.370000000003</v>
          </cell>
          <cell r="J3991">
            <v>0</v>
          </cell>
          <cell r="K3991">
            <v>0</v>
          </cell>
          <cell r="M3991">
            <v>0</v>
          </cell>
          <cell r="P3991">
            <v>13800</v>
          </cell>
          <cell r="V3991" t="str">
            <v>Not Available</v>
          </cell>
        </row>
        <row r="3992">
          <cell r="E3992">
            <v>10480023</v>
          </cell>
          <cell r="H3992">
            <v>73.599999999999994</v>
          </cell>
          <cell r="I3992">
            <v>3046.9700000000007</v>
          </cell>
          <cell r="J3992">
            <v>0</v>
          </cell>
          <cell r="K3992">
            <v>3046.9700000000007</v>
          </cell>
          <cell r="M3992">
            <v>0</v>
          </cell>
          <cell r="P3992">
            <v>0</v>
          </cell>
          <cell r="V3992" t="str">
            <v>Not Available</v>
          </cell>
        </row>
        <row r="3993">
          <cell r="E3993">
            <v>10480023</v>
          </cell>
          <cell r="H3993">
            <v>280.5</v>
          </cell>
          <cell r="I3993">
            <v>11582.69</v>
          </cell>
          <cell r="J3993">
            <v>0</v>
          </cell>
          <cell r="K3993">
            <v>0</v>
          </cell>
          <cell r="M3993">
            <v>0</v>
          </cell>
          <cell r="P3993">
            <v>9863</v>
          </cell>
          <cell r="V3993" t="str">
            <v>Available</v>
          </cell>
        </row>
        <row r="3994">
          <cell r="E3994">
            <v>10480023</v>
          </cell>
          <cell r="H3994">
            <v>75</v>
          </cell>
          <cell r="I3994">
            <v>3103.4</v>
          </cell>
          <cell r="J3994">
            <v>0</v>
          </cell>
          <cell r="K3994">
            <v>0</v>
          </cell>
          <cell r="M3994">
            <v>0</v>
          </cell>
          <cell r="P3994">
            <v>3103</v>
          </cell>
          <cell r="V3994" t="str">
            <v>Not Available</v>
          </cell>
        </row>
        <row r="3995">
          <cell r="E3995">
            <v>10480023</v>
          </cell>
          <cell r="H3995">
            <v>395</v>
          </cell>
          <cell r="I3995">
            <v>16330.75</v>
          </cell>
          <cell r="J3995">
            <v>0</v>
          </cell>
          <cell r="K3995">
            <v>0</v>
          </cell>
          <cell r="M3995">
            <v>0</v>
          </cell>
          <cell r="P3995">
            <v>16331</v>
          </cell>
          <cell r="V3995" t="str">
            <v>Available</v>
          </cell>
        </row>
        <row r="3996">
          <cell r="E3996">
            <v>10480023</v>
          </cell>
          <cell r="H3996">
            <v>75</v>
          </cell>
          <cell r="I3996">
            <v>3116.6000000000004</v>
          </cell>
          <cell r="J3996">
            <v>0</v>
          </cell>
          <cell r="K3996">
            <v>0</v>
          </cell>
          <cell r="M3996">
            <v>0</v>
          </cell>
          <cell r="P3996">
            <v>3117</v>
          </cell>
          <cell r="V3996" t="str">
            <v>Available</v>
          </cell>
        </row>
        <row r="3997">
          <cell r="E3997">
            <v>10480023</v>
          </cell>
          <cell r="H3997">
            <v>395</v>
          </cell>
          <cell r="I3997">
            <v>16329.999999999998</v>
          </cell>
          <cell r="J3997">
            <v>0</v>
          </cell>
          <cell r="K3997">
            <v>0</v>
          </cell>
          <cell r="M3997">
            <v>0</v>
          </cell>
          <cell r="P3997">
            <v>16330</v>
          </cell>
          <cell r="V3997" t="str">
            <v>Available</v>
          </cell>
        </row>
        <row r="3998">
          <cell r="E3998">
            <v>10480023</v>
          </cell>
          <cell r="H3998">
            <v>97</v>
          </cell>
          <cell r="I3998">
            <v>4002.2200000000003</v>
          </cell>
          <cell r="J3998">
            <v>0</v>
          </cell>
          <cell r="K3998">
            <v>0</v>
          </cell>
          <cell r="M3998">
            <v>0</v>
          </cell>
          <cell r="P3998">
            <v>4002</v>
          </cell>
          <cell r="V3998" t="str">
            <v>Available</v>
          </cell>
        </row>
        <row r="3999">
          <cell r="E3999">
            <v>10480023</v>
          </cell>
          <cell r="H3999">
            <v>75</v>
          </cell>
          <cell r="I3999">
            <v>3098.55</v>
          </cell>
          <cell r="J3999">
            <v>0</v>
          </cell>
          <cell r="K3999">
            <v>0</v>
          </cell>
          <cell r="M3999">
            <v>0</v>
          </cell>
          <cell r="P3999">
            <v>3099</v>
          </cell>
          <cell r="V3999" t="str">
            <v>Not Available</v>
          </cell>
        </row>
        <row r="4000">
          <cell r="E4000">
            <v>10480023</v>
          </cell>
          <cell r="H4000">
            <v>82</v>
          </cell>
          <cell r="I4000">
            <v>3378.27</v>
          </cell>
          <cell r="J4000">
            <v>0</v>
          </cell>
          <cell r="K4000">
            <v>0</v>
          </cell>
          <cell r="M4000">
            <v>0</v>
          </cell>
          <cell r="P4000">
            <v>3378</v>
          </cell>
          <cell r="V4000" t="str">
            <v>Available</v>
          </cell>
        </row>
        <row r="4001">
          <cell r="E4001">
            <v>10480023</v>
          </cell>
          <cell r="H4001">
            <v>26.3</v>
          </cell>
          <cell r="I4001">
            <v>1094.73</v>
          </cell>
          <cell r="J4001">
            <v>0</v>
          </cell>
          <cell r="K4001">
            <v>0</v>
          </cell>
          <cell r="M4001">
            <v>0</v>
          </cell>
          <cell r="P4001">
            <v>1095</v>
          </cell>
          <cell r="V4001" t="str">
            <v>Not Available</v>
          </cell>
        </row>
        <row r="4002">
          <cell r="E4002">
            <v>10480023</v>
          </cell>
          <cell r="H4002">
            <v>10.1</v>
          </cell>
          <cell r="I4002">
            <v>415.9</v>
          </cell>
          <cell r="J4002">
            <v>0</v>
          </cell>
          <cell r="K4002">
            <v>0</v>
          </cell>
          <cell r="M4002">
            <v>0</v>
          </cell>
          <cell r="P4002">
            <v>416</v>
          </cell>
          <cell r="V4002" t="str">
            <v>Not Available</v>
          </cell>
        </row>
        <row r="4003">
          <cell r="E4003">
            <v>10480023</v>
          </cell>
          <cell r="H4003">
            <v>2</v>
          </cell>
          <cell r="I4003">
            <v>80.34</v>
          </cell>
          <cell r="J4003">
            <v>0</v>
          </cell>
          <cell r="K4003">
            <v>0</v>
          </cell>
          <cell r="M4003">
            <v>0</v>
          </cell>
          <cell r="P4003">
            <v>80</v>
          </cell>
          <cell r="V4003" t="str">
            <v>Not Available</v>
          </cell>
        </row>
        <row r="4004">
          <cell r="E4004">
            <v>10480023</v>
          </cell>
          <cell r="H4004">
            <v>2</v>
          </cell>
          <cell r="I4004">
            <v>80.34</v>
          </cell>
          <cell r="J4004">
            <v>0</v>
          </cell>
          <cell r="K4004">
            <v>0</v>
          </cell>
          <cell r="M4004">
            <v>0</v>
          </cell>
          <cell r="P4004">
            <v>80</v>
          </cell>
          <cell r="V4004" t="str">
            <v>Not Available</v>
          </cell>
        </row>
        <row r="4005">
          <cell r="E4005">
            <v>10480023</v>
          </cell>
          <cell r="H4005">
            <v>2</v>
          </cell>
          <cell r="I4005">
            <v>80.34</v>
          </cell>
          <cell r="J4005">
            <v>0</v>
          </cell>
          <cell r="K4005">
            <v>0</v>
          </cell>
          <cell r="M4005">
            <v>0</v>
          </cell>
          <cell r="P4005">
            <v>80</v>
          </cell>
          <cell r="V4005" t="str">
            <v>Not Available</v>
          </cell>
        </row>
        <row r="4006">
          <cell r="E4006">
            <v>10500001</v>
          </cell>
          <cell r="H4006">
            <v>13.6</v>
          </cell>
          <cell r="I4006">
            <v>507.12999999999994</v>
          </cell>
          <cell r="J4006">
            <v>0</v>
          </cell>
          <cell r="K4006">
            <v>507.12999999999994</v>
          </cell>
          <cell r="M4006">
            <v>0</v>
          </cell>
          <cell r="P4006">
            <v>0</v>
          </cell>
          <cell r="V4006" t="str">
            <v>Not Available</v>
          </cell>
        </row>
        <row r="4007">
          <cell r="E4007">
            <v>10500001</v>
          </cell>
          <cell r="H4007">
            <v>98.3</v>
          </cell>
          <cell r="I4007">
            <v>3893.4800000000005</v>
          </cell>
          <cell r="J4007">
            <v>0</v>
          </cell>
          <cell r="K4007">
            <v>0</v>
          </cell>
          <cell r="M4007">
            <v>0</v>
          </cell>
          <cell r="P4007">
            <v>3670</v>
          </cell>
          <cell r="V4007" t="str">
            <v>Available</v>
          </cell>
        </row>
        <row r="4008">
          <cell r="E4008">
            <v>10500001</v>
          </cell>
          <cell r="H4008">
            <v>174.50000000000003</v>
          </cell>
          <cell r="I4008">
            <v>6759.84</v>
          </cell>
          <cell r="J4008">
            <v>0</v>
          </cell>
          <cell r="K4008">
            <v>0</v>
          </cell>
          <cell r="M4008">
            <v>0</v>
          </cell>
          <cell r="P4008">
            <v>6760</v>
          </cell>
          <cell r="V4008" t="str">
            <v>Available</v>
          </cell>
        </row>
        <row r="4009">
          <cell r="E4009">
            <v>10500001</v>
          </cell>
          <cell r="H4009">
            <v>157</v>
          </cell>
          <cell r="I4009">
            <v>6023.829999999999</v>
          </cell>
          <cell r="J4009">
            <v>0</v>
          </cell>
          <cell r="K4009">
            <v>0</v>
          </cell>
          <cell r="M4009">
            <v>0</v>
          </cell>
          <cell r="P4009">
            <v>6024</v>
          </cell>
          <cell r="V4009" t="str">
            <v>Available</v>
          </cell>
        </row>
        <row r="4010">
          <cell r="E4010">
            <v>10500001</v>
          </cell>
          <cell r="H4010">
            <v>121.6</v>
          </cell>
          <cell r="I4010">
            <v>4812.2999999999993</v>
          </cell>
          <cell r="J4010">
            <v>0</v>
          </cell>
          <cell r="K4010">
            <v>0</v>
          </cell>
          <cell r="M4010">
            <v>0</v>
          </cell>
          <cell r="P4010">
            <v>4812</v>
          </cell>
          <cell r="V4010" t="str">
            <v>Available</v>
          </cell>
        </row>
        <row r="4011">
          <cell r="E4011">
            <v>10500001</v>
          </cell>
          <cell r="H4011">
            <v>50.1</v>
          </cell>
          <cell r="I4011">
            <v>1854.0900000000001</v>
          </cell>
          <cell r="J4011">
            <v>0</v>
          </cell>
          <cell r="K4011">
            <v>0</v>
          </cell>
          <cell r="M4011">
            <v>0</v>
          </cell>
          <cell r="P4011">
            <v>1854</v>
          </cell>
          <cell r="V4011" t="str">
            <v>Available</v>
          </cell>
        </row>
        <row r="4012">
          <cell r="E4012">
            <v>10500001</v>
          </cell>
          <cell r="H4012">
            <v>48.5</v>
          </cell>
          <cell r="I4012">
            <v>2200.7399999999998</v>
          </cell>
          <cell r="J4012">
            <v>0</v>
          </cell>
          <cell r="K4012">
            <v>0</v>
          </cell>
          <cell r="M4012">
            <v>0</v>
          </cell>
          <cell r="P4012">
            <v>2201</v>
          </cell>
          <cell r="V4012" t="str">
            <v>Available</v>
          </cell>
        </row>
        <row r="4013">
          <cell r="E4013">
            <v>10500001</v>
          </cell>
          <cell r="H4013">
            <v>129.80000000000001</v>
          </cell>
          <cell r="I4013">
            <v>4842.16</v>
          </cell>
          <cell r="J4013">
            <v>0</v>
          </cell>
          <cell r="K4013">
            <v>0</v>
          </cell>
          <cell r="M4013">
            <v>0</v>
          </cell>
          <cell r="P4013">
            <v>4842</v>
          </cell>
          <cell r="V4013" t="str">
            <v>Available</v>
          </cell>
        </row>
        <row r="4014">
          <cell r="E4014">
            <v>10500001</v>
          </cell>
          <cell r="H4014">
            <v>35.900000000000006</v>
          </cell>
          <cell r="I4014">
            <v>1500.5</v>
          </cell>
          <cell r="J4014">
            <v>0</v>
          </cell>
          <cell r="K4014">
            <v>0</v>
          </cell>
          <cell r="M4014">
            <v>0</v>
          </cell>
          <cell r="P4014">
            <v>1501</v>
          </cell>
          <cell r="V4014" t="str">
            <v>Available</v>
          </cell>
        </row>
        <row r="4015">
          <cell r="E4015">
            <v>10500001</v>
          </cell>
          <cell r="H4015">
            <v>27.399999999999995</v>
          </cell>
          <cell r="I4015">
            <v>1032.69</v>
          </cell>
          <cell r="J4015">
            <v>0</v>
          </cell>
          <cell r="K4015">
            <v>0</v>
          </cell>
          <cell r="M4015">
            <v>0</v>
          </cell>
          <cell r="P4015">
            <v>1033</v>
          </cell>
          <cell r="V4015" t="str">
            <v>Available</v>
          </cell>
        </row>
        <row r="4016">
          <cell r="E4016">
            <v>10500001</v>
          </cell>
          <cell r="H4016">
            <v>46.699999999999996</v>
          </cell>
          <cell r="I4016">
            <v>1827.6200000000003</v>
          </cell>
          <cell r="J4016">
            <v>0</v>
          </cell>
          <cell r="K4016">
            <v>0</v>
          </cell>
          <cell r="M4016">
            <v>0</v>
          </cell>
          <cell r="P4016">
            <v>1828</v>
          </cell>
          <cell r="V4016" t="str">
            <v>Available</v>
          </cell>
        </row>
        <row r="4017">
          <cell r="E4017">
            <v>10510001</v>
          </cell>
          <cell r="H4017">
            <v>12.3</v>
          </cell>
          <cell r="I4017">
            <v>628.31999999999994</v>
          </cell>
          <cell r="J4017">
            <v>0</v>
          </cell>
          <cell r="K4017">
            <v>628.31999999999994</v>
          </cell>
          <cell r="M4017">
            <v>0</v>
          </cell>
          <cell r="P4017">
            <v>0</v>
          </cell>
          <cell r="V4017" t="str">
            <v>Not Available</v>
          </cell>
        </row>
        <row r="4018">
          <cell r="E4018">
            <v>10510001</v>
          </cell>
          <cell r="H4018">
            <v>768.80000000000007</v>
          </cell>
          <cell r="I4018">
            <v>31820.410000000003</v>
          </cell>
          <cell r="J4018">
            <v>0</v>
          </cell>
          <cell r="K4018">
            <v>0</v>
          </cell>
          <cell r="M4018">
            <v>0</v>
          </cell>
          <cell r="P4018">
            <v>29949</v>
          </cell>
          <cell r="V4018" t="str">
            <v>Available</v>
          </cell>
        </row>
        <row r="4019">
          <cell r="E4019">
            <v>10510001</v>
          </cell>
          <cell r="H4019">
            <v>19.100000000000001</v>
          </cell>
          <cell r="I4019">
            <v>750.28</v>
          </cell>
          <cell r="J4019">
            <v>0</v>
          </cell>
          <cell r="K4019">
            <v>0</v>
          </cell>
          <cell r="M4019">
            <v>0</v>
          </cell>
          <cell r="P4019">
            <v>750</v>
          </cell>
          <cell r="V4019" t="str">
            <v>Available</v>
          </cell>
        </row>
        <row r="4020">
          <cell r="E4020">
            <v>10510001</v>
          </cell>
          <cell r="H4020">
            <v>36.700000000000003</v>
          </cell>
          <cell r="I4020">
            <v>1360.4699999999998</v>
          </cell>
          <cell r="J4020">
            <v>0</v>
          </cell>
          <cell r="K4020">
            <v>0</v>
          </cell>
          <cell r="M4020">
            <v>0</v>
          </cell>
          <cell r="P4020">
            <v>1360</v>
          </cell>
          <cell r="V4020" t="str">
            <v>Available</v>
          </cell>
        </row>
        <row r="4021">
          <cell r="E4021">
            <v>10510001</v>
          </cell>
          <cell r="H4021">
            <v>46.5</v>
          </cell>
          <cell r="I4021">
            <v>1704.81</v>
          </cell>
          <cell r="J4021">
            <v>0</v>
          </cell>
          <cell r="K4021">
            <v>0</v>
          </cell>
          <cell r="M4021">
            <v>0</v>
          </cell>
          <cell r="P4021">
            <v>1705</v>
          </cell>
          <cell r="V4021" t="str">
            <v>Available</v>
          </cell>
        </row>
        <row r="4022">
          <cell r="E4022">
            <v>10510001</v>
          </cell>
          <cell r="H4022">
            <v>52</v>
          </cell>
          <cell r="I4022">
            <v>1905.89</v>
          </cell>
          <cell r="J4022">
            <v>0</v>
          </cell>
          <cell r="K4022">
            <v>0</v>
          </cell>
          <cell r="M4022">
            <v>0</v>
          </cell>
          <cell r="P4022">
            <v>1906</v>
          </cell>
          <cell r="V4022" t="str">
            <v>Available</v>
          </cell>
        </row>
        <row r="4023">
          <cell r="E4023">
            <v>10510001</v>
          </cell>
          <cell r="H4023">
            <v>11.200000000000001</v>
          </cell>
          <cell r="I4023">
            <v>461.27000000000004</v>
          </cell>
          <cell r="J4023">
            <v>0</v>
          </cell>
          <cell r="K4023">
            <v>0</v>
          </cell>
          <cell r="M4023">
            <v>0</v>
          </cell>
          <cell r="P4023">
            <v>461</v>
          </cell>
          <cell r="V4023" t="str">
            <v>Available</v>
          </cell>
        </row>
        <row r="4024">
          <cell r="E4024">
            <v>10510001</v>
          </cell>
          <cell r="H4024">
            <v>145.1</v>
          </cell>
          <cell r="I4024">
            <v>5275.32</v>
          </cell>
          <cell r="J4024">
            <v>0</v>
          </cell>
          <cell r="K4024">
            <v>0</v>
          </cell>
          <cell r="M4024">
            <v>0</v>
          </cell>
          <cell r="P4024">
            <v>5275</v>
          </cell>
          <cell r="V4024" t="str">
            <v>Available</v>
          </cell>
        </row>
        <row r="4025">
          <cell r="E4025">
            <v>10510001</v>
          </cell>
          <cell r="H4025">
            <v>10.9</v>
          </cell>
          <cell r="I4025">
            <v>396.6</v>
          </cell>
          <cell r="J4025">
            <v>0</v>
          </cell>
          <cell r="K4025">
            <v>0</v>
          </cell>
          <cell r="M4025">
            <v>0</v>
          </cell>
          <cell r="P4025">
            <v>397</v>
          </cell>
          <cell r="V4025" t="str">
            <v>Available</v>
          </cell>
        </row>
        <row r="4026">
          <cell r="E4026">
            <v>10510001</v>
          </cell>
          <cell r="H4026">
            <v>8.2000000000000011</v>
          </cell>
          <cell r="I4026">
            <v>296.34000000000003</v>
          </cell>
          <cell r="J4026">
            <v>0</v>
          </cell>
          <cell r="K4026">
            <v>0</v>
          </cell>
          <cell r="M4026">
            <v>0</v>
          </cell>
          <cell r="P4026">
            <v>296</v>
          </cell>
          <cell r="V4026" t="str">
            <v>Available</v>
          </cell>
        </row>
        <row r="4027">
          <cell r="E4027">
            <v>10510001</v>
          </cell>
          <cell r="H4027">
            <v>4.9000000000000004</v>
          </cell>
          <cell r="I4027">
            <v>175.51</v>
          </cell>
          <cell r="J4027">
            <v>0</v>
          </cell>
          <cell r="K4027">
            <v>0</v>
          </cell>
          <cell r="M4027">
            <v>0</v>
          </cell>
          <cell r="P4027">
            <v>176</v>
          </cell>
          <cell r="V4027" t="str">
            <v>Available</v>
          </cell>
        </row>
        <row r="4028">
          <cell r="E4028">
            <v>10510001</v>
          </cell>
          <cell r="H4028">
            <v>52.000000000000007</v>
          </cell>
          <cell r="I4028">
            <v>2047.7800000000002</v>
          </cell>
          <cell r="J4028">
            <v>0</v>
          </cell>
          <cell r="K4028">
            <v>0</v>
          </cell>
          <cell r="M4028">
            <v>0</v>
          </cell>
          <cell r="P4028">
            <v>2048</v>
          </cell>
          <cell r="V4028" t="str">
            <v>Available</v>
          </cell>
        </row>
        <row r="4029">
          <cell r="E4029">
            <v>10510001</v>
          </cell>
          <cell r="H4029">
            <v>23.1</v>
          </cell>
          <cell r="I4029">
            <v>1435.08</v>
          </cell>
          <cell r="J4029">
            <v>0</v>
          </cell>
          <cell r="K4029">
            <v>0</v>
          </cell>
          <cell r="M4029">
            <v>0</v>
          </cell>
          <cell r="P4029">
            <v>1435</v>
          </cell>
          <cell r="V4029" t="str">
            <v>Available</v>
          </cell>
        </row>
        <row r="4030">
          <cell r="E4030">
            <v>10510001</v>
          </cell>
          <cell r="H4030">
            <v>72.100000000000009</v>
          </cell>
          <cell r="I4030">
            <v>2619.31</v>
          </cell>
          <cell r="J4030">
            <v>0</v>
          </cell>
          <cell r="K4030">
            <v>0</v>
          </cell>
          <cell r="M4030">
            <v>0</v>
          </cell>
          <cell r="P4030">
            <v>2619</v>
          </cell>
          <cell r="V4030" t="str">
            <v>Available</v>
          </cell>
        </row>
        <row r="4031">
          <cell r="E4031">
            <v>10510001</v>
          </cell>
          <cell r="H4031">
            <v>16.399999999999999</v>
          </cell>
          <cell r="I4031">
            <v>648.80000000000007</v>
          </cell>
          <cell r="J4031">
            <v>0</v>
          </cell>
          <cell r="K4031">
            <v>0</v>
          </cell>
          <cell r="M4031">
            <v>0</v>
          </cell>
          <cell r="P4031">
            <v>649</v>
          </cell>
          <cell r="V4031" t="str">
            <v>Available</v>
          </cell>
        </row>
        <row r="4032">
          <cell r="E4032">
            <v>10510001</v>
          </cell>
          <cell r="H4032">
            <v>36.199999999999996</v>
          </cell>
          <cell r="I4032">
            <v>1323.26</v>
          </cell>
          <cell r="J4032">
            <v>0</v>
          </cell>
          <cell r="K4032">
            <v>0</v>
          </cell>
          <cell r="M4032">
            <v>0</v>
          </cell>
          <cell r="P4032">
            <v>1323</v>
          </cell>
          <cell r="V4032" t="str">
            <v>Available</v>
          </cell>
        </row>
        <row r="4033">
          <cell r="E4033">
            <v>10510001</v>
          </cell>
          <cell r="H4033">
            <v>3</v>
          </cell>
          <cell r="I4033">
            <v>111.33</v>
          </cell>
          <cell r="J4033">
            <v>0</v>
          </cell>
          <cell r="K4033">
            <v>0</v>
          </cell>
          <cell r="M4033">
            <v>0</v>
          </cell>
          <cell r="P4033">
            <v>111</v>
          </cell>
          <cell r="V4033" t="str">
            <v>Available</v>
          </cell>
        </row>
        <row r="4034">
          <cell r="E4034">
            <v>10510001</v>
          </cell>
          <cell r="H4034">
            <v>22.9</v>
          </cell>
          <cell r="I4034">
            <v>826.81</v>
          </cell>
          <cell r="J4034">
            <v>0</v>
          </cell>
          <cell r="K4034">
            <v>0</v>
          </cell>
          <cell r="M4034">
            <v>0</v>
          </cell>
          <cell r="P4034">
            <v>827</v>
          </cell>
          <cell r="V4034" t="str">
            <v>Available</v>
          </cell>
        </row>
        <row r="4035">
          <cell r="E4035">
            <v>10510001</v>
          </cell>
          <cell r="H4035">
            <v>33.200000000000003</v>
          </cell>
          <cell r="I4035">
            <v>1229.6299999999999</v>
          </cell>
          <cell r="J4035">
            <v>0</v>
          </cell>
          <cell r="K4035">
            <v>0</v>
          </cell>
          <cell r="M4035">
            <v>0</v>
          </cell>
          <cell r="P4035">
            <v>1230</v>
          </cell>
          <cell r="V4035" t="str">
            <v>Available</v>
          </cell>
        </row>
        <row r="4036">
          <cell r="E4036">
            <v>10510001</v>
          </cell>
          <cell r="H4036">
            <v>4.0999999999999996</v>
          </cell>
          <cell r="I4036">
            <v>143.66</v>
          </cell>
          <cell r="J4036">
            <v>0</v>
          </cell>
          <cell r="K4036">
            <v>0</v>
          </cell>
          <cell r="M4036">
            <v>0</v>
          </cell>
          <cell r="P4036">
            <v>144</v>
          </cell>
          <cell r="V4036" t="str">
            <v>Available</v>
          </cell>
        </row>
        <row r="4037">
          <cell r="E4037">
            <v>10510001</v>
          </cell>
          <cell r="H4037">
            <v>31.4</v>
          </cell>
          <cell r="I4037">
            <v>1124.8100000000002</v>
          </cell>
          <cell r="J4037">
            <v>0</v>
          </cell>
          <cell r="K4037">
            <v>0</v>
          </cell>
          <cell r="M4037">
            <v>0</v>
          </cell>
          <cell r="P4037">
            <v>1125</v>
          </cell>
          <cell r="V4037" t="str">
            <v>Available</v>
          </cell>
        </row>
        <row r="4038">
          <cell r="E4038">
            <v>10510001</v>
          </cell>
          <cell r="H4038">
            <v>3.2</v>
          </cell>
          <cell r="I4038">
            <v>119.2</v>
          </cell>
          <cell r="J4038">
            <v>0</v>
          </cell>
          <cell r="K4038">
            <v>0</v>
          </cell>
          <cell r="M4038">
            <v>0</v>
          </cell>
          <cell r="P4038">
            <v>119</v>
          </cell>
          <cell r="V4038" t="str">
            <v>Available</v>
          </cell>
        </row>
        <row r="4039">
          <cell r="E4039">
            <v>10510001</v>
          </cell>
          <cell r="H4039">
            <v>113.3</v>
          </cell>
          <cell r="I4039">
            <v>3460.43</v>
          </cell>
          <cell r="J4039">
            <v>0</v>
          </cell>
          <cell r="K4039">
            <v>0</v>
          </cell>
          <cell r="M4039">
            <v>0</v>
          </cell>
          <cell r="P4039">
            <v>3460</v>
          </cell>
          <cell r="V4039" t="str">
            <v>Available</v>
          </cell>
        </row>
        <row r="4040">
          <cell r="E4040">
            <v>10510001</v>
          </cell>
          <cell r="H4040">
            <v>5.8</v>
          </cell>
          <cell r="I4040">
            <v>213.54</v>
          </cell>
          <cell r="J4040">
            <v>0</v>
          </cell>
          <cell r="K4040">
            <v>0</v>
          </cell>
          <cell r="M4040">
            <v>0</v>
          </cell>
          <cell r="P4040">
            <v>214</v>
          </cell>
          <cell r="V4040" t="str">
            <v>Available</v>
          </cell>
        </row>
        <row r="4041">
          <cell r="E4041">
            <v>10510001</v>
          </cell>
          <cell r="H4041">
            <v>71.5</v>
          </cell>
          <cell r="I4041">
            <v>2945.0299999999993</v>
          </cell>
          <cell r="J4041">
            <v>0</v>
          </cell>
          <cell r="K4041">
            <v>0</v>
          </cell>
          <cell r="M4041">
            <v>0</v>
          </cell>
          <cell r="P4041">
            <v>2945</v>
          </cell>
          <cell r="V4041" t="str">
            <v>Available</v>
          </cell>
        </row>
        <row r="4042">
          <cell r="E4042">
            <v>10510001</v>
          </cell>
          <cell r="H4042">
            <v>59</v>
          </cell>
          <cell r="I4042">
            <v>2152.79</v>
          </cell>
          <cell r="J4042">
            <v>0</v>
          </cell>
          <cell r="K4042">
            <v>0</v>
          </cell>
          <cell r="M4042">
            <v>0</v>
          </cell>
          <cell r="P4042">
            <v>2153</v>
          </cell>
          <cell r="V4042" t="str">
            <v>Available</v>
          </cell>
        </row>
        <row r="4043">
          <cell r="E4043">
            <v>10510001</v>
          </cell>
          <cell r="H4043">
            <v>26.1</v>
          </cell>
          <cell r="I4043">
            <v>956.98</v>
          </cell>
          <cell r="J4043">
            <v>0</v>
          </cell>
          <cell r="K4043">
            <v>0</v>
          </cell>
          <cell r="M4043">
            <v>0</v>
          </cell>
          <cell r="P4043">
            <v>957</v>
          </cell>
          <cell r="V4043" t="str">
            <v>Available</v>
          </cell>
        </row>
        <row r="4044">
          <cell r="E4044">
            <v>10510001</v>
          </cell>
          <cell r="H4044">
            <v>9</v>
          </cell>
          <cell r="I4044">
            <v>327.78000000000003</v>
          </cell>
          <cell r="J4044">
            <v>0</v>
          </cell>
          <cell r="K4044">
            <v>0</v>
          </cell>
          <cell r="M4044">
            <v>0</v>
          </cell>
          <cell r="P4044">
            <v>328</v>
          </cell>
          <cell r="V4044" t="str">
            <v>Available</v>
          </cell>
        </row>
        <row r="4045">
          <cell r="E4045">
            <v>10510001</v>
          </cell>
          <cell r="H4045">
            <v>70.100000000000009</v>
          </cell>
          <cell r="I4045">
            <v>3380.8899999999994</v>
          </cell>
          <cell r="J4045">
            <v>0</v>
          </cell>
          <cell r="K4045">
            <v>0</v>
          </cell>
          <cell r="M4045">
            <v>0</v>
          </cell>
          <cell r="P4045">
            <v>3381</v>
          </cell>
          <cell r="V4045" t="str">
            <v>Available</v>
          </cell>
        </row>
        <row r="4046">
          <cell r="E4046">
            <v>10510001</v>
          </cell>
          <cell r="H4046">
            <v>20.3</v>
          </cell>
          <cell r="I4046">
            <v>747.23</v>
          </cell>
          <cell r="J4046">
            <v>0</v>
          </cell>
          <cell r="K4046">
            <v>0</v>
          </cell>
          <cell r="M4046">
            <v>0</v>
          </cell>
          <cell r="P4046">
            <v>747</v>
          </cell>
          <cell r="V4046" t="str">
            <v>Available</v>
          </cell>
        </row>
        <row r="4047">
          <cell r="E4047">
            <v>10510001</v>
          </cell>
          <cell r="H4047">
            <v>26.000000000000004</v>
          </cell>
          <cell r="I4047">
            <v>936.48000000000013</v>
          </cell>
          <cell r="J4047">
            <v>0</v>
          </cell>
          <cell r="K4047">
            <v>0</v>
          </cell>
          <cell r="M4047">
            <v>0</v>
          </cell>
          <cell r="P4047">
            <v>936</v>
          </cell>
          <cell r="V4047" t="str">
            <v>Available</v>
          </cell>
        </row>
        <row r="4048">
          <cell r="E4048">
            <v>10510001</v>
          </cell>
          <cell r="H4048">
            <v>6.4</v>
          </cell>
          <cell r="I4048">
            <v>230.89</v>
          </cell>
          <cell r="J4048">
            <v>0</v>
          </cell>
          <cell r="K4048">
            <v>0</v>
          </cell>
          <cell r="M4048">
            <v>0</v>
          </cell>
          <cell r="P4048">
            <v>231</v>
          </cell>
          <cell r="V4048" t="str">
            <v>Available</v>
          </cell>
        </row>
        <row r="4049">
          <cell r="E4049">
            <v>10510001</v>
          </cell>
          <cell r="H4049">
            <v>18.399999999999999</v>
          </cell>
          <cell r="I4049">
            <v>660.67</v>
          </cell>
          <cell r="J4049">
            <v>0</v>
          </cell>
          <cell r="K4049">
            <v>0</v>
          </cell>
          <cell r="M4049">
            <v>0</v>
          </cell>
          <cell r="P4049">
            <v>661</v>
          </cell>
          <cell r="V4049" t="str">
            <v>Available</v>
          </cell>
        </row>
        <row r="4050">
          <cell r="E4050">
            <v>10510001</v>
          </cell>
          <cell r="H4050">
            <v>27.5</v>
          </cell>
          <cell r="I4050">
            <v>1008.6100000000001</v>
          </cell>
          <cell r="J4050">
            <v>0</v>
          </cell>
          <cell r="K4050">
            <v>0</v>
          </cell>
          <cell r="M4050">
            <v>0</v>
          </cell>
          <cell r="P4050">
            <v>1009</v>
          </cell>
          <cell r="V4050" t="str">
            <v>Available</v>
          </cell>
        </row>
        <row r="4051">
          <cell r="E4051">
            <v>10510001</v>
          </cell>
          <cell r="H4051">
            <v>9.1</v>
          </cell>
          <cell r="I4051">
            <v>327.98</v>
          </cell>
          <cell r="J4051">
            <v>0</v>
          </cell>
          <cell r="K4051">
            <v>0</v>
          </cell>
          <cell r="M4051">
            <v>0</v>
          </cell>
          <cell r="P4051">
            <v>328</v>
          </cell>
          <cell r="V4051" t="str">
            <v>Available</v>
          </cell>
        </row>
        <row r="4052">
          <cell r="E4052">
            <v>10510001</v>
          </cell>
          <cell r="H4052">
            <v>15.4</v>
          </cell>
          <cell r="I4052">
            <v>517.98</v>
          </cell>
          <cell r="J4052">
            <v>0</v>
          </cell>
          <cell r="K4052">
            <v>0</v>
          </cell>
          <cell r="M4052">
            <v>0</v>
          </cell>
          <cell r="P4052">
            <v>518</v>
          </cell>
          <cell r="V4052" t="str">
            <v>Available</v>
          </cell>
        </row>
        <row r="4053">
          <cell r="E4053">
            <v>10510002</v>
          </cell>
          <cell r="H4053">
            <v>5.370000000000001</v>
          </cell>
          <cell r="I4053">
            <v>223.17000000000002</v>
          </cell>
          <cell r="J4053">
            <v>0</v>
          </cell>
          <cell r="K4053">
            <v>223.17000000000002</v>
          </cell>
          <cell r="M4053">
            <v>0</v>
          </cell>
          <cell r="P4053">
            <v>0</v>
          </cell>
          <cell r="V4053" t="str">
            <v>Not Available</v>
          </cell>
        </row>
        <row r="4054">
          <cell r="E4054">
            <v>10510002</v>
          </cell>
          <cell r="H4054">
            <v>386.6400000000001</v>
          </cell>
          <cell r="I4054">
            <v>15936.06</v>
          </cell>
          <cell r="J4054">
            <v>0</v>
          </cell>
          <cell r="K4054">
            <v>0</v>
          </cell>
          <cell r="M4054">
            <v>0</v>
          </cell>
          <cell r="P4054">
            <v>15820</v>
          </cell>
          <cell r="V4054" t="str">
            <v>Available</v>
          </cell>
        </row>
        <row r="4055">
          <cell r="E4055">
            <v>10510002</v>
          </cell>
          <cell r="H4055">
            <v>385.30000000000007</v>
          </cell>
          <cell r="I4055">
            <v>15894.41</v>
          </cell>
          <cell r="J4055">
            <v>0</v>
          </cell>
          <cell r="K4055">
            <v>0</v>
          </cell>
          <cell r="M4055">
            <v>0</v>
          </cell>
          <cell r="P4055">
            <v>15894</v>
          </cell>
          <cell r="V4055" t="str">
            <v>Available</v>
          </cell>
        </row>
        <row r="4056">
          <cell r="E4056">
            <v>10510002</v>
          </cell>
          <cell r="H4056">
            <v>2.11</v>
          </cell>
          <cell r="I4056">
            <v>88.58</v>
          </cell>
          <cell r="J4056">
            <v>0</v>
          </cell>
          <cell r="K4056">
            <v>0</v>
          </cell>
          <cell r="M4056">
            <v>0</v>
          </cell>
          <cell r="P4056">
            <v>89</v>
          </cell>
          <cell r="V4056" t="str">
            <v>Available</v>
          </cell>
        </row>
        <row r="4057">
          <cell r="E4057">
            <v>10510002</v>
          </cell>
          <cell r="H4057">
            <v>50.309999999999995</v>
          </cell>
          <cell r="I4057">
            <v>2334.0700000000006</v>
          </cell>
          <cell r="J4057">
            <v>0</v>
          </cell>
          <cell r="K4057">
            <v>0</v>
          </cell>
          <cell r="M4057">
            <v>0</v>
          </cell>
          <cell r="P4057">
            <v>2334</v>
          </cell>
          <cell r="V4057" t="str">
            <v>Available</v>
          </cell>
        </row>
        <row r="4058">
          <cell r="E4058">
            <v>10510002</v>
          </cell>
          <cell r="H4058">
            <v>221.03</v>
          </cell>
          <cell r="I4058">
            <v>9156.9699999999993</v>
          </cell>
          <cell r="J4058">
            <v>0</v>
          </cell>
          <cell r="K4058">
            <v>0</v>
          </cell>
          <cell r="M4058">
            <v>0</v>
          </cell>
          <cell r="P4058">
            <v>9157</v>
          </cell>
          <cell r="V4058" t="str">
            <v>Available</v>
          </cell>
        </row>
        <row r="4059">
          <cell r="E4059">
            <v>10510002</v>
          </cell>
          <cell r="H4059">
            <v>24.43</v>
          </cell>
          <cell r="I4059">
            <v>1005.0999999999999</v>
          </cell>
          <cell r="J4059">
            <v>0</v>
          </cell>
          <cell r="K4059">
            <v>0</v>
          </cell>
          <cell r="M4059">
            <v>0</v>
          </cell>
          <cell r="P4059">
            <v>1005</v>
          </cell>
          <cell r="V4059" t="str">
            <v>Available</v>
          </cell>
        </row>
        <row r="4060">
          <cell r="E4060">
            <v>10510004</v>
          </cell>
          <cell r="H4060">
            <v>22.099999999999994</v>
          </cell>
          <cell r="I4060">
            <v>1199.8899999999999</v>
          </cell>
          <cell r="J4060">
            <v>0</v>
          </cell>
          <cell r="K4060">
            <v>1199.8899999999999</v>
          </cell>
          <cell r="M4060">
            <v>0</v>
          </cell>
          <cell r="P4060">
            <v>0</v>
          </cell>
          <cell r="V4060" t="str">
            <v>Not Available</v>
          </cell>
        </row>
        <row r="4061">
          <cell r="E4061">
            <v>10510004</v>
          </cell>
          <cell r="H4061">
            <v>1960</v>
          </cell>
          <cell r="I4061">
            <v>86269.60000000002</v>
          </cell>
          <cell r="J4061">
            <v>0</v>
          </cell>
          <cell r="K4061">
            <v>0</v>
          </cell>
          <cell r="M4061">
            <v>0</v>
          </cell>
          <cell r="P4061">
            <v>68210</v>
          </cell>
          <cell r="V4061" t="str">
            <v>Available</v>
          </cell>
        </row>
        <row r="4062">
          <cell r="E4062">
            <v>10510004</v>
          </cell>
          <cell r="H4062">
            <v>31.1</v>
          </cell>
          <cell r="I4062">
            <v>1928.2400000000002</v>
          </cell>
          <cell r="J4062">
            <v>0</v>
          </cell>
          <cell r="K4062">
            <v>0</v>
          </cell>
          <cell r="M4062">
            <v>0</v>
          </cell>
          <cell r="P4062">
            <v>1928</v>
          </cell>
          <cell r="V4062" t="str">
            <v>Available</v>
          </cell>
        </row>
        <row r="4063">
          <cell r="E4063">
            <v>10510004</v>
          </cell>
          <cell r="H4063">
            <v>12.100000000000001</v>
          </cell>
          <cell r="I4063">
            <v>424.21</v>
          </cell>
          <cell r="J4063">
            <v>0</v>
          </cell>
          <cell r="K4063">
            <v>0</v>
          </cell>
          <cell r="M4063">
            <v>0</v>
          </cell>
          <cell r="P4063">
            <v>424</v>
          </cell>
          <cell r="V4063" t="str">
            <v>Available</v>
          </cell>
        </row>
        <row r="4064">
          <cell r="E4064">
            <v>10510004</v>
          </cell>
          <cell r="H4064">
            <v>2.4</v>
          </cell>
          <cell r="I4064">
            <v>152.11000000000001</v>
          </cell>
          <cell r="J4064">
            <v>0</v>
          </cell>
          <cell r="K4064">
            <v>0</v>
          </cell>
          <cell r="M4064">
            <v>0</v>
          </cell>
          <cell r="P4064">
            <v>152</v>
          </cell>
          <cell r="V4064" t="str">
            <v>Available</v>
          </cell>
        </row>
        <row r="4065">
          <cell r="E4065">
            <v>10530001</v>
          </cell>
          <cell r="H4065">
            <v>36.28</v>
          </cell>
          <cell r="I4065">
            <v>1548.26</v>
          </cell>
          <cell r="J4065">
            <v>0</v>
          </cell>
          <cell r="K4065">
            <v>1548.26</v>
          </cell>
          <cell r="M4065">
            <v>0</v>
          </cell>
          <cell r="P4065">
            <v>0</v>
          </cell>
          <cell r="V4065" t="str">
            <v>Not Available</v>
          </cell>
        </row>
        <row r="4066">
          <cell r="E4066">
            <v>10530001</v>
          </cell>
          <cell r="H4066">
            <v>132.40999999999997</v>
          </cell>
          <cell r="I4066">
            <v>6382.18</v>
          </cell>
          <cell r="J4066">
            <v>0</v>
          </cell>
          <cell r="K4066">
            <v>0</v>
          </cell>
          <cell r="M4066">
            <v>0</v>
          </cell>
          <cell r="P4066">
            <v>6382</v>
          </cell>
          <cell r="V4066" t="str">
            <v>Available</v>
          </cell>
        </row>
        <row r="4067">
          <cell r="E4067">
            <v>10530001</v>
          </cell>
          <cell r="H4067">
            <v>43.219999999999992</v>
          </cell>
          <cell r="I4067">
            <v>1809.99</v>
          </cell>
          <cell r="J4067">
            <v>0</v>
          </cell>
          <cell r="K4067">
            <v>0</v>
          </cell>
          <cell r="M4067">
            <v>0</v>
          </cell>
          <cell r="P4067">
            <v>1810</v>
          </cell>
          <cell r="V4067" t="str">
            <v>Available</v>
          </cell>
        </row>
        <row r="4068">
          <cell r="E4068">
            <v>10530001</v>
          </cell>
          <cell r="H4068">
            <v>49.230000000000011</v>
          </cell>
          <cell r="I4068">
            <v>2257.37</v>
          </cell>
          <cell r="J4068">
            <v>0</v>
          </cell>
          <cell r="K4068">
            <v>0</v>
          </cell>
          <cell r="M4068">
            <v>0</v>
          </cell>
          <cell r="P4068">
            <v>2257</v>
          </cell>
          <cell r="V4068" t="str">
            <v>Available</v>
          </cell>
        </row>
        <row r="4069">
          <cell r="E4069">
            <v>10530001</v>
          </cell>
          <cell r="H4069">
            <v>113.44</v>
          </cell>
          <cell r="I4069">
            <v>4848.71</v>
          </cell>
          <cell r="J4069">
            <v>0</v>
          </cell>
          <cell r="K4069">
            <v>0</v>
          </cell>
          <cell r="M4069">
            <v>2800</v>
          </cell>
          <cell r="P4069">
            <v>2049</v>
          </cell>
          <cell r="V4069" t="str">
            <v>Available</v>
          </cell>
        </row>
        <row r="4070">
          <cell r="E4070">
            <v>10530001</v>
          </cell>
          <cell r="H4070">
            <v>7.38</v>
          </cell>
          <cell r="I4070">
            <v>309.94</v>
          </cell>
          <cell r="J4070">
            <v>0</v>
          </cell>
          <cell r="K4070">
            <v>0</v>
          </cell>
          <cell r="M4070">
            <v>0</v>
          </cell>
          <cell r="P4070">
            <v>310</v>
          </cell>
          <cell r="V4070" t="str">
            <v>Available</v>
          </cell>
        </row>
        <row r="4071">
          <cell r="E4071">
            <v>10530001</v>
          </cell>
          <cell r="H4071">
            <v>6.120000000000001</v>
          </cell>
          <cell r="I4071">
            <v>259.78000000000003</v>
          </cell>
          <cell r="J4071">
            <v>0</v>
          </cell>
          <cell r="K4071">
            <v>0</v>
          </cell>
          <cell r="M4071">
            <v>0</v>
          </cell>
          <cell r="P4071">
            <v>260</v>
          </cell>
          <cell r="V4071" t="str">
            <v>Available</v>
          </cell>
        </row>
        <row r="4072">
          <cell r="E4072">
            <v>10530001</v>
          </cell>
          <cell r="H4072">
            <v>24.630000000000003</v>
          </cell>
          <cell r="I4072">
            <v>997.18000000000006</v>
          </cell>
          <cell r="J4072">
            <v>0</v>
          </cell>
          <cell r="K4072">
            <v>0</v>
          </cell>
          <cell r="M4072">
            <v>0</v>
          </cell>
          <cell r="P4072">
            <v>997</v>
          </cell>
          <cell r="V4072" t="str">
            <v>Available</v>
          </cell>
        </row>
        <row r="4073">
          <cell r="E4073">
            <v>10530001</v>
          </cell>
          <cell r="H4073">
            <v>2.08</v>
          </cell>
          <cell r="I4073">
            <v>84.990000000000009</v>
          </cell>
          <cell r="J4073">
            <v>0</v>
          </cell>
          <cell r="K4073">
            <v>0</v>
          </cell>
          <cell r="M4073">
            <v>0</v>
          </cell>
          <cell r="P4073">
            <v>85</v>
          </cell>
          <cell r="V4073" t="str">
            <v>Available</v>
          </cell>
        </row>
        <row r="4074">
          <cell r="E4074">
            <v>10530001</v>
          </cell>
          <cell r="H4074">
            <v>9.3600000000000012</v>
          </cell>
          <cell r="I4074">
            <v>346.56999999999994</v>
          </cell>
          <cell r="J4074">
            <v>0</v>
          </cell>
          <cell r="K4074">
            <v>0</v>
          </cell>
          <cell r="M4074">
            <v>0</v>
          </cell>
          <cell r="P4074">
            <v>347</v>
          </cell>
          <cell r="V4074" t="str">
            <v>Available</v>
          </cell>
        </row>
        <row r="4075">
          <cell r="E4075">
            <v>10530001</v>
          </cell>
          <cell r="H4075">
            <v>19.36</v>
          </cell>
          <cell r="I4075">
            <v>744.37000000000012</v>
          </cell>
          <cell r="J4075">
            <v>0</v>
          </cell>
          <cell r="K4075">
            <v>0</v>
          </cell>
          <cell r="M4075">
            <v>0</v>
          </cell>
          <cell r="P4075">
            <v>744</v>
          </cell>
          <cell r="V4075" t="str">
            <v>Available</v>
          </cell>
        </row>
        <row r="4076">
          <cell r="E4076">
            <v>10530001</v>
          </cell>
          <cell r="H4076">
            <v>31.610000000000003</v>
          </cell>
          <cell r="I4076">
            <v>1178.1399999999999</v>
          </cell>
          <cell r="J4076">
            <v>0</v>
          </cell>
          <cell r="K4076">
            <v>0</v>
          </cell>
          <cell r="M4076">
            <v>0</v>
          </cell>
          <cell r="P4076">
            <v>1178</v>
          </cell>
          <cell r="V4076" t="str">
            <v>Available</v>
          </cell>
        </row>
        <row r="4077">
          <cell r="E4077">
            <v>10530001</v>
          </cell>
          <cell r="H4077">
            <v>37.389999999999993</v>
          </cell>
          <cell r="I4077">
            <v>2625.2100000000005</v>
          </cell>
          <cell r="J4077">
            <v>0</v>
          </cell>
          <cell r="K4077">
            <v>0</v>
          </cell>
          <cell r="M4077">
            <v>0</v>
          </cell>
          <cell r="P4077">
            <v>2625</v>
          </cell>
          <cell r="V4077" t="str">
            <v>Available</v>
          </cell>
        </row>
        <row r="4078">
          <cell r="E4078">
            <v>10530001</v>
          </cell>
          <cell r="H4078">
            <v>44.759999999999991</v>
          </cell>
          <cell r="I4078">
            <v>1730.38</v>
          </cell>
          <cell r="J4078">
            <v>0</v>
          </cell>
          <cell r="K4078">
            <v>0</v>
          </cell>
          <cell r="M4078">
            <v>0</v>
          </cell>
          <cell r="P4078">
            <v>1730</v>
          </cell>
          <cell r="V4078" t="str">
            <v>Available</v>
          </cell>
        </row>
        <row r="4079">
          <cell r="E4079">
            <v>10530001</v>
          </cell>
          <cell r="H4079">
            <v>386.41</v>
          </cell>
          <cell r="I4079">
            <v>15464.030000000002</v>
          </cell>
          <cell r="J4079">
            <v>0</v>
          </cell>
          <cell r="K4079">
            <v>0</v>
          </cell>
          <cell r="M4079">
            <v>0</v>
          </cell>
          <cell r="P4079">
            <v>15464</v>
          </cell>
          <cell r="V4079" t="str">
            <v>Available</v>
          </cell>
        </row>
        <row r="4080">
          <cell r="E4080">
            <v>10530001</v>
          </cell>
          <cell r="H4080">
            <v>37.260000000000005</v>
          </cell>
          <cell r="I4080">
            <v>2577.79</v>
          </cell>
          <cell r="J4080">
            <v>0</v>
          </cell>
          <cell r="K4080">
            <v>0</v>
          </cell>
          <cell r="M4080">
            <v>0</v>
          </cell>
          <cell r="P4080">
            <v>2578</v>
          </cell>
          <cell r="V4080" t="str">
            <v>Available</v>
          </cell>
        </row>
        <row r="4081">
          <cell r="E4081">
            <v>10530001</v>
          </cell>
          <cell r="H4081">
            <v>6.46</v>
          </cell>
          <cell r="I4081">
            <v>327.33</v>
          </cell>
          <cell r="J4081">
            <v>0</v>
          </cell>
          <cell r="K4081">
            <v>0</v>
          </cell>
          <cell r="M4081">
            <v>0</v>
          </cell>
          <cell r="P4081">
            <v>327</v>
          </cell>
          <cell r="V4081" t="str">
            <v>Available</v>
          </cell>
        </row>
        <row r="4082">
          <cell r="E4082">
            <v>10530001</v>
          </cell>
          <cell r="H4082">
            <v>64.989999999999995</v>
          </cell>
          <cell r="I4082">
            <v>2532.44</v>
          </cell>
          <cell r="J4082">
            <v>0</v>
          </cell>
          <cell r="K4082">
            <v>0</v>
          </cell>
          <cell r="M4082">
            <v>0</v>
          </cell>
          <cell r="P4082">
            <v>2532</v>
          </cell>
          <cell r="V4082" t="str">
            <v>Available</v>
          </cell>
        </row>
        <row r="4083">
          <cell r="E4083">
            <v>10530001</v>
          </cell>
          <cell r="H4083">
            <v>14.239999999999998</v>
          </cell>
          <cell r="I4083">
            <v>1021.86</v>
          </cell>
          <cell r="J4083">
            <v>0</v>
          </cell>
          <cell r="K4083">
            <v>0</v>
          </cell>
          <cell r="M4083">
            <v>0</v>
          </cell>
          <cell r="P4083">
            <v>1022</v>
          </cell>
          <cell r="V4083" t="str">
            <v>Available</v>
          </cell>
        </row>
        <row r="4084">
          <cell r="E4084">
            <v>10530001</v>
          </cell>
          <cell r="H4084">
            <v>15.74</v>
          </cell>
          <cell r="I4084">
            <v>1002.99</v>
          </cell>
          <cell r="J4084">
            <v>0</v>
          </cell>
          <cell r="K4084">
            <v>0</v>
          </cell>
          <cell r="M4084">
            <v>0</v>
          </cell>
          <cell r="P4084">
            <v>1003</v>
          </cell>
          <cell r="V4084" t="str">
            <v>Available</v>
          </cell>
        </row>
        <row r="4085">
          <cell r="E4085">
            <v>10530001</v>
          </cell>
          <cell r="H4085">
            <v>17.04</v>
          </cell>
          <cell r="I4085">
            <v>674.45</v>
          </cell>
          <cell r="J4085">
            <v>0</v>
          </cell>
          <cell r="K4085">
            <v>0</v>
          </cell>
          <cell r="M4085">
            <v>0</v>
          </cell>
          <cell r="P4085">
            <v>674</v>
          </cell>
          <cell r="V4085" t="str">
            <v>Available</v>
          </cell>
        </row>
        <row r="4086">
          <cell r="E4086">
            <v>10530001</v>
          </cell>
          <cell r="H4086">
            <v>58.36</v>
          </cell>
          <cell r="I4086">
            <v>2639.06</v>
          </cell>
          <cell r="J4086">
            <v>0</v>
          </cell>
          <cell r="K4086">
            <v>0</v>
          </cell>
          <cell r="M4086">
            <v>0</v>
          </cell>
          <cell r="P4086">
            <v>2639</v>
          </cell>
          <cell r="V4086" t="str">
            <v>Available</v>
          </cell>
        </row>
        <row r="4087">
          <cell r="E4087">
            <v>10530001</v>
          </cell>
          <cell r="H4087">
            <v>8.69</v>
          </cell>
          <cell r="I4087">
            <v>358.27</v>
          </cell>
          <cell r="J4087">
            <v>0</v>
          </cell>
          <cell r="K4087">
            <v>0</v>
          </cell>
          <cell r="M4087">
            <v>0</v>
          </cell>
          <cell r="P4087">
            <v>358</v>
          </cell>
          <cell r="V4087" t="str">
            <v>Available</v>
          </cell>
        </row>
        <row r="4088">
          <cell r="E4088">
            <v>10530001</v>
          </cell>
          <cell r="H4088">
            <v>11.18</v>
          </cell>
          <cell r="I4088">
            <v>405.46000000000004</v>
          </cell>
          <cell r="J4088">
            <v>0</v>
          </cell>
          <cell r="K4088">
            <v>0</v>
          </cell>
          <cell r="M4088">
            <v>0</v>
          </cell>
          <cell r="P4088">
            <v>405</v>
          </cell>
          <cell r="V4088" t="str">
            <v>Available</v>
          </cell>
        </row>
        <row r="4089">
          <cell r="E4089">
            <v>10530001</v>
          </cell>
          <cell r="H4089">
            <v>10.11</v>
          </cell>
          <cell r="I4089">
            <v>371.19</v>
          </cell>
          <cell r="J4089">
            <v>0</v>
          </cell>
          <cell r="K4089">
            <v>0</v>
          </cell>
          <cell r="M4089">
            <v>0</v>
          </cell>
          <cell r="P4089">
            <v>371</v>
          </cell>
          <cell r="V4089" t="str">
            <v>Available</v>
          </cell>
        </row>
        <row r="4090">
          <cell r="E4090">
            <v>10530001</v>
          </cell>
          <cell r="H4090">
            <v>24.55</v>
          </cell>
          <cell r="I4090">
            <v>1605.4900000000002</v>
          </cell>
          <cell r="J4090">
            <v>0</v>
          </cell>
          <cell r="K4090">
            <v>0</v>
          </cell>
          <cell r="M4090">
            <v>0</v>
          </cell>
          <cell r="P4090">
            <v>1605</v>
          </cell>
          <cell r="V4090" t="str">
            <v>Available</v>
          </cell>
        </row>
        <row r="4091">
          <cell r="E4091">
            <v>10530001</v>
          </cell>
          <cell r="H4091">
            <v>31.41</v>
          </cell>
          <cell r="I4091">
            <v>1312.36</v>
          </cell>
          <cell r="J4091">
            <v>0</v>
          </cell>
          <cell r="K4091">
            <v>0</v>
          </cell>
          <cell r="M4091">
            <v>0</v>
          </cell>
          <cell r="P4091">
            <v>1312</v>
          </cell>
          <cell r="V4091" t="str">
            <v>Available</v>
          </cell>
        </row>
        <row r="4092">
          <cell r="E4092">
            <v>10530001</v>
          </cell>
          <cell r="H4092">
            <v>68.330000000000013</v>
          </cell>
          <cell r="I4092">
            <v>2524.1800000000003</v>
          </cell>
          <cell r="J4092">
            <v>0</v>
          </cell>
          <cell r="K4092">
            <v>0</v>
          </cell>
          <cell r="M4092">
            <v>0</v>
          </cell>
          <cell r="P4092">
            <v>2524</v>
          </cell>
          <cell r="V4092" t="str">
            <v>Available</v>
          </cell>
        </row>
        <row r="4093">
          <cell r="E4093">
            <v>10530001</v>
          </cell>
          <cell r="H4093">
            <v>112.7</v>
          </cell>
          <cell r="I4093">
            <v>4246</v>
          </cell>
          <cell r="J4093">
            <v>0</v>
          </cell>
          <cell r="K4093">
            <v>0</v>
          </cell>
          <cell r="M4093">
            <v>0</v>
          </cell>
          <cell r="P4093">
            <v>4246</v>
          </cell>
          <cell r="V4093" t="str">
            <v>Available</v>
          </cell>
        </row>
        <row r="4094">
          <cell r="E4094">
            <v>10530001</v>
          </cell>
          <cell r="H4094">
            <v>42.599999999999994</v>
          </cell>
          <cell r="I4094">
            <v>1837.63</v>
          </cell>
          <cell r="J4094">
            <v>0</v>
          </cell>
          <cell r="K4094">
            <v>0</v>
          </cell>
          <cell r="M4094">
            <v>0</v>
          </cell>
          <cell r="P4094">
            <v>1838</v>
          </cell>
          <cell r="V4094" t="str">
            <v>Available</v>
          </cell>
        </row>
        <row r="4095">
          <cell r="E4095">
            <v>10530002</v>
          </cell>
          <cell r="H4095">
            <v>18.12</v>
          </cell>
          <cell r="I4095">
            <v>733.42000000000007</v>
          </cell>
          <cell r="J4095">
            <v>0</v>
          </cell>
          <cell r="K4095">
            <v>733.42000000000007</v>
          </cell>
          <cell r="M4095">
            <v>0</v>
          </cell>
          <cell r="P4095">
            <v>0</v>
          </cell>
          <cell r="V4095" t="str">
            <v>Not Available</v>
          </cell>
        </row>
        <row r="4096">
          <cell r="E4096">
            <v>10530002</v>
          </cell>
          <cell r="H4096">
            <v>155.02999999999997</v>
          </cell>
          <cell r="I4096">
            <v>5765.9699999999993</v>
          </cell>
          <cell r="J4096">
            <v>0</v>
          </cell>
          <cell r="K4096">
            <v>0</v>
          </cell>
          <cell r="M4096">
            <v>980</v>
          </cell>
          <cell r="P4096">
            <v>4786</v>
          </cell>
          <cell r="V4096" t="str">
            <v>Available</v>
          </cell>
        </row>
        <row r="4097">
          <cell r="E4097">
            <v>10530002</v>
          </cell>
          <cell r="H4097">
            <v>149.32999999999998</v>
          </cell>
          <cell r="I4097">
            <v>5895.8899999999994</v>
          </cell>
          <cell r="J4097">
            <v>0</v>
          </cell>
          <cell r="K4097">
            <v>0</v>
          </cell>
          <cell r="M4097">
            <v>0</v>
          </cell>
          <cell r="P4097">
            <v>5896</v>
          </cell>
          <cell r="V4097" t="str">
            <v>Available</v>
          </cell>
        </row>
        <row r="4098">
          <cell r="E4098">
            <v>10530002</v>
          </cell>
          <cell r="H4098">
            <v>2.94</v>
          </cell>
          <cell r="I4098">
            <v>134.44999999999999</v>
          </cell>
          <cell r="J4098">
            <v>0</v>
          </cell>
          <cell r="K4098">
            <v>0</v>
          </cell>
          <cell r="M4098">
            <v>0</v>
          </cell>
          <cell r="P4098">
            <v>134</v>
          </cell>
          <cell r="V4098" t="str">
            <v>Available</v>
          </cell>
        </row>
        <row r="4099">
          <cell r="E4099">
            <v>10530002</v>
          </cell>
          <cell r="H4099">
            <v>21.040000000000003</v>
          </cell>
          <cell r="I4099">
            <v>752.06999999999994</v>
          </cell>
          <cell r="J4099">
            <v>0</v>
          </cell>
          <cell r="K4099">
            <v>0</v>
          </cell>
          <cell r="M4099">
            <v>0</v>
          </cell>
          <cell r="P4099">
            <v>752</v>
          </cell>
          <cell r="V4099" t="str">
            <v>Available</v>
          </cell>
        </row>
        <row r="4100">
          <cell r="E4100">
            <v>10530002</v>
          </cell>
          <cell r="H4100">
            <v>58.499999999999993</v>
          </cell>
          <cell r="I4100">
            <v>2128.52</v>
          </cell>
          <cell r="J4100">
            <v>0</v>
          </cell>
          <cell r="K4100">
            <v>0</v>
          </cell>
          <cell r="M4100">
            <v>0</v>
          </cell>
          <cell r="P4100">
            <v>2129</v>
          </cell>
          <cell r="V4100" t="str">
            <v>Available</v>
          </cell>
        </row>
        <row r="4101">
          <cell r="E4101">
            <v>10530002</v>
          </cell>
          <cell r="H4101">
            <v>13.190000000000001</v>
          </cell>
          <cell r="I4101">
            <v>600.02</v>
          </cell>
          <cell r="J4101">
            <v>0</v>
          </cell>
          <cell r="K4101">
            <v>0</v>
          </cell>
          <cell r="M4101">
            <v>600</v>
          </cell>
          <cell r="P4101">
            <v>0</v>
          </cell>
          <cell r="V4101" t="str">
            <v>Available</v>
          </cell>
        </row>
        <row r="4102">
          <cell r="E4102">
            <v>10530002</v>
          </cell>
          <cell r="H4102">
            <v>4.95</v>
          </cell>
          <cell r="I4102">
            <v>191.19</v>
          </cell>
          <cell r="J4102">
            <v>0</v>
          </cell>
          <cell r="K4102">
            <v>0</v>
          </cell>
          <cell r="M4102">
            <v>0</v>
          </cell>
          <cell r="P4102">
            <v>191</v>
          </cell>
          <cell r="V4102" t="str">
            <v>Available</v>
          </cell>
        </row>
        <row r="4103">
          <cell r="E4103">
            <v>10530002</v>
          </cell>
          <cell r="H4103">
            <v>10.629999999999999</v>
          </cell>
          <cell r="I4103">
            <v>382.5</v>
          </cell>
          <cell r="J4103">
            <v>0</v>
          </cell>
          <cell r="K4103">
            <v>0</v>
          </cell>
          <cell r="M4103">
            <v>0</v>
          </cell>
          <cell r="P4103">
            <v>383</v>
          </cell>
          <cell r="V4103" t="str">
            <v>Available</v>
          </cell>
        </row>
        <row r="4104">
          <cell r="E4104">
            <v>10530002</v>
          </cell>
          <cell r="H4104">
            <v>26.61</v>
          </cell>
          <cell r="I4104">
            <v>991.17000000000007</v>
          </cell>
          <cell r="J4104">
            <v>0</v>
          </cell>
          <cell r="K4104">
            <v>0</v>
          </cell>
          <cell r="M4104">
            <v>0</v>
          </cell>
          <cell r="P4104">
            <v>991</v>
          </cell>
          <cell r="V4104" t="str">
            <v>Available</v>
          </cell>
        </row>
        <row r="4105">
          <cell r="E4105">
            <v>10530002</v>
          </cell>
          <cell r="H4105">
            <v>40.450000000000003</v>
          </cell>
          <cell r="I4105">
            <v>1779.09</v>
          </cell>
          <cell r="J4105">
            <v>0</v>
          </cell>
          <cell r="K4105">
            <v>0</v>
          </cell>
          <cell r="M4105">
            <v>0</v>
          </cell>
          <cell r="P4105">
            <v>1779</v>
          </cell>
          <cell r="V4105" t="str">
            <v>Available</v>
          </cell>
        </row>
        <row r="4106">
          <cell r="E4106">
            <v>10530002</v>
          </cell>
          <cell r="H4106">
            <v>51.599999999999994</v>
          </cell>
          <cell r="I4106">
            <v>1941.6499999999999</v>
          </cell>
          <cell r="J4106">
            <v>0</v>
          </cell>
          <cell r="K4106">
            <v>0</v>
          </cell>
          <cell r="M4106">
            <v>0</v>
          </cell>
          <cell r="P4106">
            <v>1942</v>
          </cell>
          <cell r="V4106" t="str">
            <v>Available</v>
          </cell>
        </row>
        <row r="4107">
          <cell r="E4107">
            <v>10530002</v>
          </cell>
          <cell r="H4107">
            <v>12.22</v>
          </cell>
          <cell r="I4107">
            <v>692.2299999999999</v>
          </cell>
          <cell r="J4107">
            <v>0</v>
          </cell>
          <cell r="K4107">
            <v>0</v>
          </cell>
          <cell r="M4107">
            <v>0</v>
          </cell>
          <cell r="P4107">
            <v>692</v>
          </cell>
          <cell r="V4107" t="str">
            <v>Available</v>
          </cell>
        </row>
        <row r="4108">
          <cell r="E4108">
            <v>10530002</v>
          </cell>
          <cell r="H4108">
            <v>24.659999999999997</v>
          </cell>
          <cell r="I4108">
            <v>1052.8799999999999</v>
          </cell>
          <cell r="J4108">
            <v>0</v>
          </cell>
          <cell r="K4108">
            <v>0</v>
          </cell>
          <cell r="M4108">
            <v>0</v>
          </cell>
          <cell r="P4108">
            <v>1053</v>
          </cell>
          <cell r="V4108" t="str">
            <v>Available</v>
          </cell>
        </row>
        <row r="4109">
          <cell r="E4109">
            <v>10530002</v>
          </cell>
          <cell r="H4109">
            <v>65.86</v>
          </cell>
          <cell r="I4109">
            <v>2462.58</v>
          </cell>
          <cell r="J4109">
            <v>0</v>
          </cell>
          <cell r="K4109">
            <v>0</v>
          </cell>
          <cell r="M4109">
            <v>0</v>
          </cell>
          <cell r="P4109">
            <v>2463</v>
          </cell>
          <cell r="V4109" t="str">
            <v>Available</v>
          </cell>
        </row>
        <row r="4110">
          <cell r="E4110">
            <v>10530002</v>
          </cell>
          <cell r="H4110">
            <v>81.09</v>
          </cell>
          <cell r="I4110">
            <v>3770.49</v>
          </cell>
          <cell r="J4110">
            <v>0</v>
          </cell>
          <cell r="K4110">
            <v>0</v>
          </cell>
          <cell r="M4110">
            <v>0</v>
          </cell>
          <cell r="P4110">
            <v>3770</v>
          </cell>
          <cell r="V4110" t="str">
            <v>Available</v>
          </cell>
        </row>
        <row r="4111">
          <cell r="E4111">
            <v>10530002</v>
          </cell>
          <cell r="H4111">
            <v>200.26999999999998</v>
          </cell>
          <cell r="I4111">
            <v>9259.380000000001</v>
          </cell>
          <cell r="J4111">
            <v>0</v>
          </cell>
          <cell r="K4111">
            <v>0</v>
          </cell>
          <cell r="M4111">
            <v>0</v>
          </cell>
          <cell r="P4111">
            <v>9259</v>
          </cell>
          <cell r="V4111" t="str">
            <v>Available</v>
          </cell>
        </row>
        <row r="4112">
          <cell r="E4112">
            <v>10530002</v>
          </cell>
          <cell r="H4112">
            <v>2.77</v>
          </cell>
          <cell r="I4112">
            <v>206.35000000000002</v>
          </cell>
          <cell r="J4112">
            <v>0</v>
          </cell>
          <cell r="K4112">
            <v>0</v>
          </cell>
          <cell r="M4112">
            <v>0</v>
          </cell>
          <cell r="P4112">
            <v>206</v>
          </cell>
          <cell r="V4112" t="str">
            <v>Available</v>
          </cell>
        </row>
        <row r="4113">
          <cell r="E4113">
            <v>10530002</v>
          </cell>
          <cell r="H4113">
            <v>20.79</v>
          </cell>
          <cell r="I4113">
            <v>741.41</v>
          </cell>
          <cell r="J4113">
            <v>0</v>
          </cell>
          <cell r="K4113">
            <v>0</v>
          </cell>
          <cell r="M4113">
            <v>0</v>
          </cell>
          <cell r="P4113">
            <v>741</v>
          </cell>
          <cell r="V4113" t="str">
            <v>Available</v>
          </cell>
        </row>
        <row r="4114">
          <cell r="E4114">
            <v>10530002</v>
          </cell>
          <cell r="H4114">
            <v>33.870000000000005</v>
          </cell>
          <cell r="I4114">
            <v>1211.75</v>
          </cell>
          <cell r="J4114">
            <v>0</v>
          </cell>
          <cell r="K4114">
            <v>0</v>
          </cell>
          <cell r="M4114">
            <v>0</v>
          </cell>
          <cell r="P4114">
            <v>1212</v>
          </cell>
          <cell r="V4114" t="str">
            <v>Available</v>
          </cell>
        </row>
        <row r="4115">
          <cell r="E4115">
            <v>10530002</v>
          </cell>
          <cell r="H4115">
            <v>37.6</v>
          </cell>
          <cell r="I4115">
            <v>1294.46</v>
          </cell>
          <cell r="J4115">
            <v>0</v>
          </cell>
          <cell r="K4115">
            <v>0</v>
          </cell>
          <cell r="M4115">
            <v>0</v>
          </cell>
          <cell r="P4115">
            <v>1294</v>
          </cell>
          <cell r="V4115" t="str">
            <v>Available</v>
          </cell>
        </row>
        <row r="4116">
          <cell r="E4116">
            <v>10530002</v>
          </cell>
          <cell r="H4116">
            <v>11.260000000000002</v>
          </cell>
          <cell r="I4116">
            <v>792.53000000000009</v>
          </cell>
          <cell r="J4116">
            <v>0</v>
          </cell>
          <cell r="K4116">
            <v>0</v>
          </cell>
          <cell r="M4116">
            <v>0</v>
          </cell>
          <cell r="P4116">
            <v>793</v>
          </cell>
          <cell r="V4116" t="str">
            <v>Available</v>
          </cell>
        </row>
        <row r="4117">
          <cell r="E4117">
            <v>10530002</v>
          </cell>
          <cell r="H4117">
            <v>24.709999999999997</v>
          </cell>
          <cell r="I4117">
            <v>1126.8399999999999</v>
          </cell>
          <cell r="J4117">
            <v>0</v>
          </cell>
          <cell r="K4117">
            <v>0</v>
          </cell>
          <cell r="M4117">
            <v>0</v>
          </cell>
          <cell r="P4117">
            <v>1127</v>
          </cell>
          <cell r="V4117" t="str">
            <v>Available</v>
          </cell>
        </row>
        <row r="4118">
          <cell r="E4118">
            <v>10530002</v>
          </cell>
          <cell r="H4118">
            <v>26.62</v>
          </cell>
          <cell r="I4118">
            <v>1209.8100000000002</v>
          </cell>
          <cell r="J4118">
            <v>0</v>
          </cell>
          <cell r="K4118">
            <v>0</v>
          </cell>
          <cell r="M4118">
            <v>0</v>
          </cell>
          <cell r="P4118">
            <v>1210</v>
          </cell>
          <cell r="V4118" t="str">
            <v>Available</v>
          </cell>
        </row>
        <row r="4119">
          <cell r="E4119">
            <v>10530002</v>
          </cell>
          <cell r="H4119">
            <v>192.32999999999998</v>
          </cell>
          <cell r="I4119">
            <v>7973.71</v>
          </cell>
          <cell r="J4119">
            <v>0</v>
          </cell>
          <cell r="K4119">
            <v>0</v>
          </cell>
          <cell r="M4119">
            <v>0</v>
          </cell>
          <cell r="P4119">
            <v>7974</v>
          </cell>
          <cell r="V4119" t="str">
            <v>Available</v>
          </cell>
        </row>
        <row r="4120">
          <cell r="E4120">
            <v>10530002</v>
          </cell>
          <cell r="H4120">
            <v>33.510000000000005</v>
          </cell>
          <cell r="I4120">
            <v>1456.71</v>
          </cell>
          <cell r="J4120">
            <v>0</v>
          </cell>
          <cell r="K4120">
            <v>0</v>
          </cell>
          <cell r="M4120">
            <v>0</v>
          </cell>
          <cell r="P4120">
            <v>1457</v>
          </cell>
          <cell r="V4120" t="str">
            <v>Available</v>
          </cell>
        </row>
        <row r="4121">
          <cell r="E4121">
            <v>10530002</v>
          </cell>
          <cell r="H4121">
            <v>30.29</v>
          </cell>
          <cell r="I4121">
            <v>1187.4000000000001</v>
          </cell>
          <cell r="J4121">
            <v>0</v>
          </cell>
          <cell r="K4121">
            <v>0</v>
          </cell>
          <cell r="M4121">
            <v>0</v>
          </cell>
          <cell r="P4121">
            <v>1187</v>
          </cell>
          <cell r="V4121" t="str">
            <v>Available</v>
          </cell>
        </row>
        <row r="4122">
          <cell r="E4122">
            <v>10530002</v>
          </cell>
          <cell r="H4122">
            <v>32.11</v>
          </cell>
          <cell r="I4122">
            <v>1303.73</v>
          </cell>
          <cell r="J4122">
            <v>0</v>
          </cell>
          <cell r="K4122">
            <v>0</v>
          </cell>
          <cell r="M4122">
            <v>0</v>
          </cell>
          <cell r="P4122">
            <v>1304</v>
          </cell>
          <cell r="V4122" t="str">
            <v>Available</v>
          </cell>
        </row>
        <row r="4123">
          <cell r="E4123">
            <v>10530002</v>
          </cell>
          <cell r="H4123">
            <v>23.61</v>
          </cell>
          <cell r="I4123">
            <v>865.42</v>
          </cell>
          <cell r="J4123">
            <v>0</v>
          </cell>
          <cell r="K4123">
            <v>0</v>
          </cell>
          <cell r="M4123">
            <v>0</v>
          </cell>
          <cell r="P4123">
            <v>865</v>
          </cell>
          <cell r="V4123" t="str">
            <v>Available</v>
          </cell>
        </row>
        <row r="4124">
          <cell r="E4124">
            <v>10530002</v>
          </cell>
          <cell r="H4124">
            <v>50.779999999999994</v>
          </cell>
          <cell r="I4124">
            <v>1998.6699999999998</v>
          </cell>
          <cell r="J4124">
            <v>0</v>
          </cell>
          <cell r="K4124">
            <v>0</v>
          </cell>
          <cell r="M4124">
            <v>0</v>
          </cell>
          <cell r="P4124">
            <v>1999</v>
          </cell>
          <cell r="V4124" t="str">
            <v>Available</v>
          </cell>
        </row>
        <row r="4125">
          <cell r="E4125">
            <v>10530002</v>
          </cell>
          <cell r="H4125">
            <v>31.25</v>
          </cell>
          <cell r="I4125">
            <v>1252.78</v>
          </cell>
          <cell r="J4125">
            <v>0</v>
          </cell>
          <cell r="K4125">
            <v>0</v>
          </cell>
          <cell r="M4125">
            <v>0</v>
          </cell>
          <cell r="P4125">
            <v>1253</v>
          </cell>
          <cell r="V4125" t="str">
            <v>Available</v>
          </cell>
        </row>
        <row r="4126">
          <cell r="E4126">
            <v>10530002</v>
          </cell>
          <cell r="H4126">
            <v>52.540000000000006</v>
          </cell>
          <cell r="I4126">
            <v>1916.7</v>
          </cell>
          <cell r="J4126">
            <v>0</v>
          </cell>
          <cell r="K4126">
            <v>0</v>
          </cell>
          <cell r="M4126">
            <v>0</v>
          </cell>
          <cell r="P4126">
            <v>1917</v>
          </cell>
          <cell r="V4126" t="str">
            <v>Available</v>
          </cell>
        </row>
        <row r="4127">
          <cell r="E4127">
            <v>10530002</v>
          </cell>
          <cell r="H4127">
            <v>20.779999999999998</v>
          </cell>
          <cell r="I4127">
            <v>855.09</v>
          </cell>
          <cell r="J4127">
            <v>0</v>
          </cell>
          <cell r="K4127">
            <v>0</v>
          </cell>
          <cell r="M4127">
            <v>0</v>
          </cell>
          <cell r="P4127">
            <v>855</v>
          </cell>
          <cell r="V4127" t="str">
            <v>Available</v>
          </cell>
        </row>
        <row r="4128">
          <cell r="E4128">
            <v>10530002</v>
          </cell>
          <cell r="H4128">
            <v>87.320000000000007</v>
          </cell>
          <cell r="I4128">
            <v>3535.3</v>
          </cell>
          <cell r="J4128">
            <v>0</v>
          </cell>
          <cell r="K4128">
            <v>0</v>
          </cell>
          <cell r="M4128">
            <v>0</v>
          </cell>
          <cell r="P4128">
            <v>3535</v>
          </cell>
          <cell r="V4128" t="str">
            <v>Available</v>
          </cell>
        </row>
        <row r="4129">
          <cell r="E4129">
            <v>10530002</v>
          </cell>
          <cell r="H4129">
            <v>34.19</v>
          </cell>
          <cell r="I4129">
            <v>1426.85</v>
          </cell>
          <cell r="J4129">
            <v>0</v>
          </cell>
          <cell r="K4129">
            <v>0</v>
          </cell>
          <cell r="M4129">
            <v>0</v>
          </cell>
          <cell r="P4129">
            <v>1427</v>
          </cell>
          <cell r="V4129" t="str">
            <v>Available</v>
          </cell>
        </row>
        <row r="4130">
          <cell r="E4130">
            <v>10530002</v>
          </cell>
          <cell r="H4130">
            <v>37.550000000000004</v>
          </cell>
          <cell r="I4130">
            <v>1385.88</v>
          </cell>
          <cell r="J4130">
            <v>0</v>
          </cell>
          <cell r="K4130">
            <v>0</v>
          </cell>
          <cell r="M4130">
            <v>0</v>
          </cell>
          <cell r="P4130">
            <v>1386</v>
          </cell>
          <cell r="V4130" t="str">
            <v>Available</v>
          </cell>
        </row>
        <row r="4131">
          <cell r="E4131">
            <v>10530002</v>
          </cell>
          <cell r="H4131">
            <v>19.55</v>
          </cell>
          <cell r="I4131">
            <v>707.99</v>
          </cell>
          <cell r="J4131">
            <v>0</v>
          </cell>
          <cell r="K4131">
            <v>0</v>
          </cell>
          <cell r="M4131">
            <v>0</v>
          </cell>
          <cell r="P4131">
            <v>708</v>
          </cell>
          <cell r="V4131" t="str">
            <v>Available</v>
          </cell>
        </row>
        <row r="4132">
          <cell r="E4132">
            <v>10530003</v>
          </cell>
          <cell r="H4132">
            <v>17.68</v>
          </cell>
          <cell r="I4132">
            <v>841.68</v>
          </cell>
          <cell r="J4132">
            <v>0</v>
          </cell>
          <cell r="K4132">
            <v>841.68</v>
          </cell>
          <cell r="M4132">
            <v>0</v>
          </cell>
          <cell r="P4132">
            <v>0</v>
          </cell>
          <cell r="V4132" t="str">
            <v>Not Available</v>
          </cell>
        </row>
        <row r="4133">
          <cell r="E4133">
            <v>10530003</v>
          </cell>
          <cell r="H4133">
            <v>186.22000000000003</v>
          </cell>
          <cell r="I4133">
            <v>8855.17</v>
          </cell>
          <cell r="J4133">
            <v>0</v>
          </cell>
          <cell r="K4133">
            <v>0</v>
          </cell>
          <cell r="M4133">
            <v>0</v>
          </cell>
          <cell r="P4133">
            <v>8855</v>
          </cell>
          <cell r="V4133" t="str">
            <v>Available</v>
          </cell>
        </row>
        <row r="4134">
          <cell r="E4134">
            <v>10530003</v>
          </cell>
          <cell r="H4134">
            <v>49.38</v>
          </cell>
          <cell r="I4134">
            <v>1980.55</v>
          </cell>
          <cell r="J4134">
            <v>0</v>
          </cell>
          <cell r="K4134">
            <v>0</v>
          </cell>
          <cell r="M4134">
            <v>0</v>
          </cell>
          <cell r="P4134">
            <v>1981</v>
          </cell>
          <cell r="V4134" t="str">
            <v>Available</v>
          </cell>
        </row>
        <row r="4135">
          <cell r="E4135">
            <v>10530003</v>
          </cell>
          <cell r="H4135">
            <v>34.099999999999994</v>
          </cell>
          <cell r="I4135">
            <v>1428.7800000000002</v>
          </cell>
          <cell r="J4135">
            <v>0</v>
          </cell>
          <cell r="K4135">
            <v>0</v>
          </cell>
          <cell r="M4135">
            <v>0</v>
          </cell>
          <cell r="P4135">
            <v>1429</v>
          </cell>
          <cell r="V4135" t="str">
            <v>Available</v>
          </cell>
        </row>
        <row r="4136">
          <cell r="E4136">
            <v>10530003</v>
          </cell>
          <cell r="H4136">
            <v>7.1800000000000006</v>
          </cell>
          <cell r="I4136">
            <v>308.64999999999998</v>
          </cell>
          <cell r="J4136">
            <v>0</v>
          </cell>
          <cell r="K4136">
            <v>0</v>
          </cell>
          <cell r="M4136">
            <v>0</v>
          </cell>
          <cell r="P4136">
            <v>309</v>
          </cell>
          <cell r="V4136" t="str">
            <v>Available</v>
          </cell>
        </row>
        <row r="4137">
          <cell r="E4137">
            <v>10530003</v>
          </cell>
          <cell r="H4137">
            <v>32.08</v>
          </cell>
          <cell r="I4137">
            <v>1171.8799999999999</v>
          </cell>
          <cell r="J4137">
            <v>0</v>
          </cell>
          <cell r="K4137">
            <v>0</v>
          </cell>
          <cell r="M4137">
            <v>11</v>
          </cell>
          <cell r="P4137">
            <v>1161</v>
          </cell>
          <cell r="V4137" t="str">
            <v>Available</v>
          </cell>
        </row>
        <row r="4138">
          <cell r="E4138">
            <v>10530003</v>
          </cell>
          <cell r="H4138">
            <v>15.66</v>
          </cell>
          <cell r="I4138">
            <v>1253.3600000000001</v>
          </cell>
          <cell r="J4138">
            <v>0</v>
          </cell>
          <cell r="K4138">
            <v>0</v>
          </cell>
          <cell r="M4138">
            <v>0</v>
          </cell>
          <cell r="P4138">
            <v>1253</v>
          </cell>
          <cell r="V4138" t="str">
            <v>Available</v>
          </cell>
        </row>
        <row r="4139">
          <cell r="E4139">
            <v>10530003</v>
          </cell>
          <cell r="H4139">
            <v>35.6</v>
          </cell>
          <cell r="I4139">
            <v>1188.79</v>
          </cell>
          <cell r="J4139">
            <v>0</v>
          </cell>
          <cell r="K4139">
            <v>0</v>
          </cell>
          <cell r="M4139">
            <v>0</v>
          </cell>
          <cell r="P4139">
            <v>1189</v>
          </cell>
          <cell r="V4139" t="str">
            <v>Available</v>
          </cell>
        </row>
        <row r="4140">
          <cell r="E4140">
            <v>10530003</v>
          </cell>
          <cell r="H4140">
            <v>18.22</v>
          </cell>
          <cell r="I4140">
            <v>868.24999999999989</v>
          </cell>
          <cell r="J4140">
            <v>0</v>
          </cell>
          <cell r="K4140">
            <v>0</v>
          </cell>
          <cell r="M4140">
            <v>0</v>
          </cell>
          <cell r="P4140">
            <v>868</v>
          </cell>
          <cell r="V4140" t="str">
            <v>Available</v>
          </cell>
        </row>
        <row r="4141">
          <cell r="E4141">
            <v>10530003</v>
          </cell>
          <cell r="H4141">
            <v>165.51999999999998</v>
          </cell>
          <cell r="I4141">
            <v>6953.74</v>
          </cell>
          <cell r="J4141">
            <v>0</v>
          </cell>
          <cell r="K4141">
            <v>0</v>
          </cell>
          <cell r="M4141">
            <v>0</v>
          </cell>
          <cell r="P4141">
            <v>6954</v>
          </cell>
          <cell r="V4141" t="str">
            <v>Available</v>
          </cell>
        </row>
        <row r="4142">
          <cell r="E4142">
            <v>10530003</v>
          </cell>
          <cell r="H4142">
            <v>23.58</v>
          </cell>
          <cell r="I4142">
            <v>1109.49</v>
          </cell>
          <cell r="J4142">
            <v>0</v>
          </cell>
          <cell r="K4142">
            <v>0</v>
          </cell>
          <cell r="M4142">
            <v>0</v>
          </cell>
          <cell r="P4142">
            <v>1109</v>
          </cell>
          <cell r="V4142" t="str">
            <v>Available</v>
          </cell>
        </row>
        <row r="4143">
          <cell r="E4143">
            <v>10530003</v>
          </cell>
          <cell r="H4143">
            <v>29.1</v>
          </cell>
          <cell r="I4143">
            <v>1407.92</v>
          </cell>
          <cell r="J4143">
            <v>0</v>
          </cell>
          <cell r="K4143">
            <v>0</v>
          </cell>
          <cell r="M4143">
            <v>0</v>
          </cell>
          <cell r="P4143">
            <v>1408</v>
          </cell>
          <cell r="V4143" t="str">
            <v>Available</v>
          </cell>
        </row>
        <row r="4144">
          <cell r="E4144">
            <v>10530003</v>
          </cell>
          <cell r="H4144">
            <v>20.619999999999997</v>
          </cell>
          <cell r="I4144">
            <v>1268.9999999999998</v>
          </cell>
          <cell r="J4144">
            <v>0</v>
          </cell>
          <cell r="K4144">
            <v>0</v>
          </cell>
          <cell r="M4144">
            <v>1269</v>
          </cell>
          <cell r="P4144">
            <v>0</v>
          </cell>
          <cell r="V4144" t="str">
            <v>Available</v>
          </cell>
        </row>
        <row r="4145">
          <cell r="E4145">
            <v>10530003</v>
          </cell>
          <cell r="H4145">
            <v>56.52</v>
          </cell>
          <cell r="I4145">
            <v>2731.93</v>
          </cell>
          <cell r="J4145">
            <v>0</v>
          </cell>
          <cell r="K4145">
            <v>0</v>
          </cell>
          <cell r="M4145">
            <v>0</v>
          </cell>
          <cell r="P4145">
            <v>2732</v>
          </cell>
          <cell r="V4145" t="str">
            <v>Available</v>
          </cell>
        </row>
        <row r="4146">
          <cell r="E4146">
            <v>10530003</v>
          </cell>
          <cell r="H4146">
            <v>31.88</v>
          </cell>
          <cell r="I4146">
            <v>1276.52</v>
          </cell>
          <cell r="J4146">
            <v>0</v>
          </cell>
          <cell r="K4146">
            <v>0</v>
          </cell>
          <cell r="M4146">
            <v>0</v>
          </cell>
          <cell r="P4146">
            <v>1277</v>
          </cell>
          <cell r="V4146" t="str">
            <v>Available</v>
          </cell>
        </row>
        <row r="4147">
          <cell r="E4147">
            <v>10530003</v>
          </cell>
          <cell r="H4147">
            <v>7.1199999999999992</v>
          </cell>
          <cell r="I4147">
            <v>333.23</v>
          </cell>
          <cell r="J4147">
            <v>0</v>
          </cell>
          <cell r="K4147">
            <v>0</v>
          </cell>
          <cell r="M4147">
            <v>333</v>
          </cell>
          <cell r="P4147">
            <v>0</v>
          </cell>
          <cell r="V4147" t="str">
            <v>Available</v>
          </cell>
        </row>
        <row r="4148">
          <cell r="E4148">
            <v>10530003</v>
          </cell>
          <cell r="H4148">
            <v>16.079999999999998</v>
          </cell>
          <cell r="I4148">
            <v>888.59000000000015</v>
          </cell>
          <cell r="J4148">
            <v>0</v>
          </cell>
          <cell r="K4148">
            <v>0</v>
          </cell>
          <cell r="M4148">
            <v>0</v>
          </cell>
          <cell r="P4148">
            <v>889</v>
          </cell>
          <cell r="V4148" t="str">
            <v>Available</v>
          </cell>
        </row>
        <row r="4149">
          <cell r="E4149">
            <v>10530003</v>
          </cell>
          <cell r="H4149">
            <v>209.3</v>
          </cell>
          <cell r="I4149">
            <v>8282.0299999999988</v>
          </cell>
          <cell r="J4149">
            <v>0</v>
          </cell>
          <cell r="K4149">
            <v>0</v>
          </cell>
          <cell r="M4149">
            <v>0</v>
          </cell>
          <cell r="P4149">
            <v>8282</v>
          </cell>
          <cell r="V4149" t="str">
            <v>Available</v>
          </cell>
        </row>
        <row r="4150">
          <cell r="E4150">
            <v>10530003</v>
          </cell>
          <cell r="H4150">
            <v>14.86</v>
          </cell>
          <cell r="I4150">
            <v>552.28</v>
          </cell>
          <cell r="J4150">
            <v>0</v>
          </cell>
          <cell r="K4150">
            <v>0</v>
          </cell>
          <cell r="M4150">
            <v>0</v>
          </cell>
          <cell r="P4150">
            <v>552</v>
          </cell>
          <cell r="V4150" t="str">
            <v>Available</v>
          </cell>
        </row>
        <row r="4151">
          <cell r="E4151">
            <v>10530003</v>
          </cell>
          <cell r="H4151">
            <v>23.939999999999998</v>
          </cell>
          <cell r="I4151">
            <v>1142.9299999999998</v>
          </cell>
          <cell r="J4151">
            <v>0</v>
          </cell>
          <cell r="K4151">
            <v>0</v>
          </cell>
          <cell r="M4151">
            <v>0</v>
          </cell>
          <cell r="P4151">
            <v>1143</v>
          </cell>
          <cell r="V4151" t="str">
            <v>Available</v>
          </cell>
        </row>
        <row r="4152">
          <cell r="E4152">
            <v>10530003</v>
          </cell>
          <cell r="H4152">
            <v>18.080000000000002</v>
          </cell>
          <cell r="I4152">
            <v>836.2</v>
          </cell>
          <cell r="J4152">
            <v>0</v>
          </cell>
          <cell r="K4152">
            <v>0</v>
          </cell>
          <cell r="M4152">
            <v>0</v>
          </cell>
          <cell r="P4152">
            <v>836</v>
          </cell>
          <cell r="V4152" t="str">
            <v>Available</v>
          </cell>
        </row>
        <row r="4153">
          <cell r="E4153">
            <v>10530003</v>
          </cell>
          <cell r="H4153">
            <v>4.6199999999999992</v>
          </cell>
          <cell r="I4153">
            <v>174.9</v>
          </cell>
          <cell r="J4153">
            <v>0</v>
          </cell>
          <cell r="K4153">
            <v>0</v>
          </cell>
          <cell r="M4153">
            <v>0</v>
          </cell>
          <cell r="P4153">
            <v>175</v>
          </cell>
          <cell r="V4153" t="str">
            <v>Available</v>
          </cell>
        </row>
        <row r="4154">
          <cell r="E4154">
            <v>10530003</v>
          </cell>
          <cell r="H4154">
            <v>34.660000000000004</v>
          </cell>
          <cell r="I4154">
            <v>1373.8600000000001</v>
          </cell>
          <cell r="J4154">
            <v>0</v>
          </cell>
          <cell r="K4154">
            <v>0</v>
          </cell>
          <cell r="M4154">
            <v>0</v>
          </cell>
          <cell r="P4154">
            <v>1374</v>
          </cell>
          <cell r="V4154" t="str">
            <v>Available</v>
          </cell>
        </row>
        <row r="4155">
          <cell r="E4155">
            <v>10530003</v>
          </cell>
          <cell r="H4155">
            <v>3.38</v>
          </cell>
          <cell r="I4155">
            <v>140.47</v>
          </cell>
          <cell r="J4155">
            <v>0</v>
          </cell>
          <cell r="K4155">
            <v>0</v>
          </cell>
          <cell r="M4155">
            <v>0</v>
          </cell>
          <cell r="P4155">
            <v>140</v>
          </cell>
          <cell r="V4155" t="str">
            <v>Available</v>
          </cell>
        </row>
        <row r="4156">
          <cell r="E4156">
            <v>10530003</v>
          </cell>
          <cell r="H4156">
            <v>25.459999999999997</v>
          </cell>
          <cell r="I4156">
            <v>1106.42</v>
          </cell>
          <cell r="J4156">
            <v>0</v>
          </cell>
          <cell r="K4156">
            <v>0</v>
          </cell>
          <cell r="M4156">
            <v>289</v>
          </cell>
          <cell r="P4156">
            <v>817</v>
          </cell>
          <cell r="V4156" t="str">
            <v>Available</v>
          </cell>
        </row>
        <row r="4157">
          <cell r="E4157">
            <v>10530003</v>
          </cell>
          <cell r="H4157">
            <v>79.400000000000006</v>
          </cell>
          <cell r="I4157">
            <v>3706.77</v>
          </cell>
          <cell r="J4157">
            <v>0</v>
          </cell>
          <cell r="K4157">
            <v>0</v>
          </cell>
          <cell r="M4157">
            <v>2800</v>
          </cell>
          <cell r="P4157">
            <v>907</v>
          </cell>
          <cell r="V4157" t="str">
            <v>Available</v>
          </cell>
        </row>
        <row r="4158">
          <cell r="E4158">
            <v>10530003</v>
          </cell>
          <cell r="H4158">
            <v>1.82</v>
          </cell>
          <cell r="I4158">
            <v>78.930000000000007</v>
          </cell>
          <cell r="J4158">
            <v>0</v>
          </cell>
          <cell r="K4158">
            <v>0</v>
          </cell>
          <cell r="M4158">
            <v>0</v>
          </cell>
          <cell r="P4158">
            <v>79</v>
          </cell>
          <cell r="V4158" t="str">
            <v>Available</v>
          </cell>
        </row>
        <row r="4159">
          <cell r="E4159">
            <v>10530003</v>
          </cell>
          <cell r="H4159">
            <v>45.000000000000007</v>
          </cell>
          <cell r="I4159">
            <v>2685.88</v>
          </cell>
          <cell r="J4159">
            <v>0</v>
          </cell>
          <cell r="K4159">
            <v>0</v>
          </cell>
          <cell r="M4159">
            <v>0</v>
          </cell>
          <cell r="P4159">
            <v>2686</v>
          </cell>
          <cell r="V4159" t="str">
            <v>Available</v>
          </cell>
        </row>
        <row r="4160">
          <cell r="E4160">
            <v>10530003</v>
          </cell>
          <cell r="H4160">
            <v>31.459999999999997</v>
          </cell>
          <cell r="I4160">
            <v>1480.2</v>
          </cell>
          <cell r="J4160">
            <v>0</v>
          </cell>
          <cell r="K4160">
            <v>0</v>
          </cell>
          <cell r="M4160">
            <v>0</v>
          </cell>
          <cell r="P4160">
            <v>1480</v>
          </cell>
          <cell r="V4160" t="str">
            <v>Available</v>
          </cell>
        </row>
        <row r="4161">
          <cell r="E4161">
            <v>10530003</v>
          </cell>
          <cell r="H4161">
            <v>20.079999999999998</v>
          </cell>
          <cell r="I4161">
            <v>856.12</v>
          </cell>
          <cell r="J4161">
            <v>0</v>
          </cell>
          <cell r="K4161">
            <v>0</v>
          </cell>
          <cell r="M4161">
            <v>0</v>
          </cell>
          <cell r="P4161">
            <v>856</v>
          </cell>
          <cell r="V4161" t="str">
            <v>Available</v>
          </cell>
        </row>
        <row r="4162">
          <cell r="E4162">
            <v>10530003</v>
          </cell>
          <cell r="H4162">
            <v>33.020000000000003</v>
          </cell>
          <cell r="I4162">
            <v>1204.8900000000001</v>
          </cell>
          <cell r="J4162">
            <v>0</v>
          </cell>
          <cell r="K4162">
            <v>0</v>
          </cell>
          <cell r="M4162">
            <v>0</v>
          </cell>
          <cell r="P4162">
            <v>1205</v>
          </cell>
          <cell r="V4162" t="str">
            <v>Available</v>
          </cell>
        </row>
        <row r="4163">
          <cell r="E4163">
            <v>10530005</v>
          </cell>
          <cell r="H4163">
            <v>10.700000000000001</v>
          </cell>
          <cell r="I4163">
            <v>478.21999999999997</v>
          </cell>
          <cell r="J4163">
            <v>0</v>
          </cell>
          <cell r="K4163">
            <v>478.21999999999997</v>
          </cell>
          <cell r="M4163">
            <v>0</v>
          </cell>
          <cell r="P4163">
            <v>0</v>
          </cell>
          <cell r="V4163" t="str">
            <v>Not Available</v>
          </cell>
        </row>
        <row r="4164">
          <cell r="E4164">
            <v>10530005</v>
          </cell>
          <cell r="H4164">
            <v>18.2</v>
          </cell>
          <cell r="I4164">
            <v>824.6099999999999</v>
          </cell>
          <cell r="J4164">
            <v>0</v>
          </cell>
          <cell r="K4164">
            <v>0</v>
          </cell>
          <cell r="M4164">
            <v>360</v>
          </cell>
          <cell r="P4164">
            <v>465</v>
          </cell>
          <cell r="V4164" t="str">
            <v>Available</v>
          </cell>
        </row>
        <row r="4165">
          <cell r="E4165">
            <v>10530005</v>
          </cell>
          <cell r="H4165">
            <v>10.56</v>
          </cell>
          <cell r="I4165">
            <v>667.89</v>
          </cell>
          <cell r="J4165">
            <v>0</v>
          </cell>
          <cell r="K4165">
            <v>0</v>
          </cell>
          <cell r="M4165">
            <v>0</v>
          </cell>
          <cell r="P4165">
            <v>668</v>
          </cell>
          <cell r="V4165" t="str">
            <v>Available</v>
          </cell>
        </row>
        <row r="4166">
          <cell r="E4166">
            <v>10530005</v>
          </cell>
          <cell r="H4166">
            <v>127.91999999999999</v>
          </cell>
          <cell r="I4166">
            <v>6849.7400000000007</v>
          </cell>
          <cell r="J4166">
            <v>0</v>
          </cell>
          <cell r="K4166">
            <v>0</v>
          </cell>
          <cell r="M4166">
            <v>1400</v>
          </cell>
          <cell r="P4166">
            <v>5450</v>
          </cell>
          <cell r="V4166" t="str">
            <v>Available</v>
          </cell>
        </row>
        <row r="4167">
          <cell r="E4167">
            <v>10530005</v>
          </cell>
          <cell r="H4167">
            <v>52.73</v>
          </cell>
          <cell r="I4167">
            <v>2699.6099999999997</v>
          </cell>
          <cell r="J4167">
            <v>0</v>
          </cell>
          <cell r="K4167">
            <v>0</v>
          </cell>
          <cell r="M4167">
            <v>1400</v>
          </cell>
          <cell r="P4167">
            <v>1300</v>
          </cell>
          <cell r="V4167" t="str">
            <v>Available</v>
          </cell>
        </row>
        <row r="4168">
          <cell r="E4168">
            <v>10530005</v>
          </cell>
          <cell r="H4168">
            <v>40.72</v>
          </cell>
          <cell r="I4168">
            <v>1844.6700000000003</v>
          </cell>
          <cell r="J4168">
            <v>0</v>
          </cell>
          <cell r="K4168">
            <v>0</v>
          </cell>
          <cell r="M4168">
            <v>1400</v>
          </cell>
          <cell r="P4168">
            <v>445</v>
          </cell>
          <cell r="V4168" t="str">
            <v>Available</v>
          </cell>
        </row>
        <row r="4169">
          <cell r="E4169">
            <v>10530005</v>
          </cell>
          <cell r="H4169">
            <v>71.09</v>
          </cell>
          <cell r="I4169">
            <v>3528.6699999999996</v>
          </cell>
          <cell r="J4169">
            <v>0</v>
          </cell>
          <cell r="K4169">
            <v>0</v>
          </cell>
          <cell r="M4169">
            <v>1400</v>
          </cell>
          <cell r="P4169">
            <v>2129</v>
          </cell>
          <cell r="V4169" t="str">
            <v>Available</v>
          </cell>
        </row>
        <row r="4170">
          <cell r="E4170">
            <v>10530005</v>
          </cell>
          <cell r="H4170">
            <v>28.740000000000002</v>
          </cell>
          <cell r="I4170">
            <v>1356.2499999999998</v>
          </cell>
          <cell r="J4170">
            <v>0</v>
          </cell>
          <cell r="K4170">
            <v>0</v>
          </cell>
          <cell r="M4170">
            <v>0</v>
          </cell>
          <cell r="P4170">
            <v>1356</v>
          </cell>
          <cell r="V4170" t="str">
            <v>Available</v>
          </cell>
        </row>
        <row r="4171">
          <cell r="E4171">
            <v>10530005</v>
          </cell>
          <cell r="H4171">
            <v>20.720000000000002</v>
          </cell>
          <cell r="I4171">
            <v>763.67</v>
          </cell>
          <cell r="J4171">
            <v>0</v>
          </cell>
          <cell r="K4171">
            <v>0</v>
          </cell>
          <cell r="M4171">
            <v>0</v>
          </cell>
          <cell r="P4171">
            <v>764</v>
          </cell>
          <cell r="V4171" t="str">
            <v>Available</v>
          </cell>
        </row>
        <row r="4172">
          <cell r="E4172">
            <v>10530005</v>
          </cell>
          <cell r="H4172">
            <v>26.62</v>
          </cell>
          <cell r="I4172">
            <v>1919.1100000000001</v>
          </cell>
          <cell r="J4172">
            <v>0</v>
          </cell>
          <cell r="K4172">
            <v>0</v>
          </cell>
          <cell r="M4172">
            <v>0</v>
          </cell>
          <cell r="P4172">
            <v>1919</v>
          </cell>
          <cell r="V4172" t="str">
            <v>Available</v>
          </cell>
        </row>
        <row r="4173">
          <cell r="E4173">
            <v>10530005</v>
          </cell>
          <cell r="H4173">
            <v>16.05</v>
          </cell>
          <cell r="I4173">
            <v>667.88</v>
          </cell>
          <cell r="J4173">
            <v>0</v>
          </cell>
          <cell r="K4173">
            <v>0</v>
          </cell>
          <cell r="M4173">
            <v>0</v>
          </cell>
          <cell r="P4173">
            <v>668</v>
          </cell>
          <cell r="V4173" t="str">
            <v>Available</v>
          </cell>
        </row>
        <row r="4174">
          <cell r="E4174">
            <v>10530005</v>
          </cell>
          <cell r="H4174">
            <v>13.07</v>
          </cell>
          <cell r="I4174">
            <v>1024.6100000000001</v>
          </cell>
          <cell r="J4174">
            <v>0</v>
          </cell>
          <cell r="K4174">
            <v>0</v>
          </cell>
          <cell r="M4174">
            <v>0</v>
          </cell>
          <cell r="P4174">
            <v>1025</v>
          </cell>
          <cell r="V4174" t="str">
            <v>Available</v>
          </cell>
        </row>
        <row r="4175">
          <cell r="E4175">
            <v>10530005</v>
          </cell>
          <cell r="H4175">
            <v>46.29</v>
          </cell>
          <cell r="I4175">
            <v>1679.77</v>
          </cell>
          <cell r="J4175">
            <v>0</v>
          </cell>
          <cell r="K4175">
            <v>0</v>
          </cell>
          <cell r="M4175">
            <v>0</v>
          </cell>
          <cell r="P4175">
            <v>1680</v>
          </cell>
          <cell r="V4175" t="str">
            <v>Available</v>
          </cell>
        </row>
        <row r="4176">
          <cell r="E4176">
            <v>10530005</v>
          </cell>
          <cell r="H4176">
            <v>41.25</v>
          </cell>
          <cell r="I4176">
            <v>1618.6200000000001</v>
          </cell>
          <cell r="J4176">
            <v>0</v>
          </cell>
          <cell r="K4176">
            <v>0</v>
          </cell>
          <cell r="M4176">
            <v>0</v>
          </cell>
          <cell r="P4176">
            <v>1619</v>
          </cell>
          <cell r="V4176" t="str">
            <v>Available</v>
          </cell>
        </row>
        <row r="4177">
          <cell r="E4177">
            <v>10530005</v>
          </cell>
          <cell r="H4177">
            <v>28.66</v>
          </cell>
          <cell r="I4177">
            <v>1370.4299999999998</v>
          </cell>
          <cell r="J4177">
            <v>0</v>
          </cell>
          <cell r="K4177">
            <v>0</v>
          </cell>
          <cell r="M4177">
            <v>0</v>
          </cell>
          <cell r="P4177">
            <v>1370</v>
          </cell>
          <cell r="V4177" t="str">
            <v>Available</v>
          </cell>
        </row>
        <row r="4178">
          <cell r="E4178">
            <v>10530005</v>
          </cell>
          <cell r="H4178">
            <v>22.689999999999998</v>
          </cell>
          <cell r="I4178">
            <v>790.26</v>
          </cell>
          <cell r="J4178">
            <v>0</v>
          </cell>
          <cell r="K4178">
            <v>0</v>
          </cell>
          <cell r="M4178">
            <v>0</v>
          </cell>
          <cell r="P4178">
            <v>790</v>
          </cell>
          <cell r="V4178" t="str">
            <v>Available</v>
          </cell>
        </row>
        <row r="4179">
          <cell r="E4179">
            <v>10530005</v>
          </cell>
          <cell r="H4179">
            <v>18.54</v>
          </cell>
          <cell r="I4179">
            <v>880.02</v>
          </cell>
          <cell r="J4179">
            <v>0</v>
          </cell>
          <cell r="K4179">
            <v>0</v>
          </cell>
          <cell r="M4179">
            <v>0</v>
          </cell>
          <cell r="P4179">
            <v>880</v>
          </cell>
          <cell r="V4179" t="str">
            <v>Available</v>
          </cell>
        </row>
        <row r="4180">
          <cell r="E4180">
            <v>10530005</v>
          </cell>
          <cell r="H4180">
            <v>23.62</v>
          </cell>
          <cell r="I4180">
            <v>935.3</v>
          </cell>
          <cell r="J4180">
            <v>0</v>
          </cell>
          <cell r="K4180">
            <v>0</v>
          </cell>
          <cell r="M4180">
            <v>0</v>
          </cell>
          <cell r="P4180">
            <v>935</v>
          </cell>
          <cell r="V4180" t="str">
            <v>Available</v>
          </cell>
        </row>
        <row r="4181">
          <cell r="E4181">
            <v>10530006</v>
          </cell>
          <cell r="H4181">
            <v>36.029999999999994</v>
          </cell>
          <cell r="I4181">
            <v>1882.79</v>
          </cell>
          <cell r="J4181">
            <v>0</v>
          </cell>
          <cell r="K4181">
            <v>1882.79</v>
          </cell>
          <cell r="M4181">
            <v>0</v>
          </cell>
          <cell r="P4181">
            <v>0</v>
          </cell>
          <cell r="V4181" t="str">
            <v>Not Available</v>
          </cell>
        </row>
        <row r="4182">
          <cell r="E4182">
            <v>10530006</v>
          </cell>
          <cell r="H4182">
            <v>40.69</v>
          </cell>
          <cell r="I4182">
            <v>1412.65</v>
          </cell>
          <cell r="J4182">
            <v>0</v>
          </cell>
          <cell r="K4182">
            <v>0</v>
          </cell>
          <cell r="M4182">
            <v>0</v>
          </cell>
          <cell r="P4182">
            <v>1413</v>
          </cell>
          <cell r="V4182" t="str">
            <v>Available</v>
          </cell>
        </row>
        <row r="4183">
          <cell r="E4183">
            <v>10530006</v>
          </cell>
          <cell r="H4183">
            <v>34.049999999999997</v>
          </cell>
          <cell r="I4183">
            <v>1122.75</v>
          </cell>
          <cell r="J4183">
            <v>0</v>
          </cell>
          <cell r="K4183">
            <v>0</v>
          </cell>
          <cell r="M4183">
            <v>1123</v>
          </cell>
          <cell r="P4183">
            <v>0</v>
          </cell>
          <cell r="V4183" t="str">
            <v>Available</v>
          </cell>
        </row>
        <row r="4184">
          <cell r="E4184">
            <v>10530006</v>
          </cell>
          <cell r="H4184">
            <v>35.220000000000006</v>
          </cell>
          <cell r="I4184">
            <v>1482.21</v>
          </cell>
          <cell r="J4184">
            <v>0</v>
          </cell>
          <cell r="K4184">
            <v>0</v>
          </cell>
          <cell r="M4184">
            <v>1400</v>
          </cell>
          <cell r="P4184">
            <v>82</v>
          </cell>
          <cell r="V4184" t="str">
            <v>Available</v>
          </cell>
        </row>
        <row r="4185">
          <cell r="E4185">
            <v>10530006</v>
          </cell>
          <cell r="H4185">
            <v>27.970000000000002</v>
          </cell>
          <cell r="I4185">
            <v>1631.51</v>
          </cell>
          <cell r="J4185">
            <v>0</v>
          </cell>
          <cell r="K4185">
            <v>0</v>
          </cell>
          <cell r="M4185">
            <v>0</v>
          </cell>
          <cell r="P4185">
            <v>1632</v>
          </cell>
          <cell r="V4185" t="str">
            <v>Available</v>
          </cell>
        </row>
        <row r="4186">
          <cell r="E4186">
            <v>10530006</v>
          </cell>
          <cell r="H4186">
            <v>24.6</v>
          </cell>
          <cell r="I4186">
            <v>925.5</v>
          </cell>
          <cell r="J4186">
            <v>0</v>
          </cell>
          <cell r="K4186">
            <v>0</v>
          </cell>
          <cell r="M4186">
            <v>0</v>
          </cell>
          <cell r="P4186">
            <v>926</v>
          </cell>
          <cell r="V4186" t="str">
            <v>Available</v>
          </cell>
        </row>
        <row r="4187">
          <cell r="E4187">
            <v>10530006</v>
          </cell>
          <cell r="H4187">
            <v>11.3</v>
          </cell>
          <cell r="I4187">
            <v>437.69</v>
          </cell>
          <cell r="J4187">
            <v>0</v>
          </cell>
          <cell r="K4187">
            <v>0</v>
          </cell>
          <cell r="M4187">
            <v>0</v>
          </cell>
          <cell r="P4187">
            <v>438</v>
          </cell>
          <cell r="V4187" t="str">
            <v>Available</v>
          </cell>
        </row>
        <row r="4188">
          <cell r="E4188">
            <v>10530006</v>
          </cell>
          <cell r="H4188">
            <v>8.83</v>
          </cell>
          <cell r="I4188">
            <v>385.59</v>
          </cell>
          <cell r="J4188">
            <v>0</v>
          </cell>
          <cell r="K4188">
            <v>0</v>
          </cell>
          <cell r="M4188">
            <v>0</v>
          </cell>
          <cell r="P4188">
            <v>386</v>
          </cell>
          <cell r="V4188" t="str">
            <v>Available</v>
          </cell>
        </row>
        <row r="4189">
          <cell r="E4189">
            <v>10530006</v>
          </cell>
          <cell r="H4189">
            <v>5.7899999999999991</v>
          </cell>
          <cell r="I4189">
            <v>301.57</v>
          </cell>
          <cell r="J4189">
            <v>0</v>
          </cell>
          <cell r="K4189">
            <v>0</v>
          </cell>
          <cell r="M4189">
            <v>0</v>
          </cell>
          <cell r="P4189">
            <v>302</v>
          </cell>
          <cell r="V4189" t="str">
            <v>Available</v>
          </cell>
        </row>
        <row r="4190">
          <cell r="E4190">
            <v>10530006</v>
          </cell>
          <cell r="H4190">
            <v>6.63</v>
          </cell>
          <cell r="I4190">
            <v>329.21999999999997</v>
          </cell>
          <cell r="J4190">
            <v>0</v>
          </cell>
          <cell r="K4190">
            <v>0</v>
          </cell>
          <cell r="M4190">
            <v>0</v>
          </cell>
          <cell r="P4190">
            <v>329</v>
          </cell>
          <cell r="V4190" t="str">
            <v>Available</v>
          </cell>
        </row>
        <row r="4191">
          <cell r="E4191">
            <v>10530006</v>
          </cell>
          <cell r="H4191">
            <v>15.500000000000002</v>
          </cell>
          <cell r="I4191">
            <v>507.37</v>
          </cell>
          <cell r="J4191">
            <v>0</v>
          </cell>
          <cell r="K4191">
            <v>0</v>
          </cell>
          <cell r="M4191">
            <v>0</v>
          </cell>
          <cell r="P4191">
            <v>507</v>
          </cell>
          <cell r="V4191" t="str">
            <v>Available</v>
          </cell>
        </row>
        <row r="4192">
          <cell r="E4192">
            <v>10530006</v>
          </cell>
          <cell r="H4192">
            <v>8.5400000000000009</v>
          </cell>
          <cell r="I4192">
            <v>505.03999999999996</v>
          </cell>
          <cell r="J4192">
            <v>0</v>
          </cell>
          <cell r="K4192">
            <v>0</v>
          </cell>
          <cell r="M4192">
            <v>0</v>
          </cell>
          <cell r="P4192">
            <v>505</v>
          </cell>
          <cell r="V4192" t="str">
            <v>Available</v>
          </cell>
        </row>
        <row r="4193">
          <cell r="E4193">
            <v>10530006</v>
          </cell>
          <cell r="H4193">
            <v>21.03</v>
          </cell>
          <cell r="I4193">
            <v>780.38</v>
          </cell>
          <cell r="J4193">
            <v>0</v>
          </cell>
          <cell r="K4193">
            <v>0</v>
          </cell>
          <cell r="M4193">
            <v>0</v>
          </cell>
          <cell r="P4193">
            <v>780</v>
          </cell>
          <cell r="V4193" t="str">
            <v>Available</v>
          </cell>
        </row>
        <row r="4194">
          <cell r="E4194">
            <v>10530006</v>
          </cell>
          <cell r="H4194">
            <v>29.18</v>
          </cell>
          <cell r="I4194">
            <v>983.46</v>
          </cell>
          <cell r="J4194">
            <v>0</v>
          </cell>
          <cell r="K4194">
            <v>0</v>
          </cell>
          <cell r="M4194">
            <v>0</v>
          </cell>
          <cell r="P4194">
            <v>983</v>
          </cell>
          <cell r="V4194" t="str">
            <v>Available</v>
          </cell>
        </row>
        <row r="4195">
          <cell r="E4195">
            <v>10530006</v>
          </cell>
          <cell r="H4195">
            <v>53.500000000000007</v>
          </cell>
          <cell r="I4195">
            <v>2936</v>
          </cell>
          <cell r="J4195">
            <v>0</v>
          </cell>
          <cell r="K4195">
            <v>0</v>
          </cell>
          <cell r="M4195">
            <v>0</v>
          </cell>
          <cell r="P4195">
            <v>2936</v>
          </cell>
          <cell r="V4195" t="str">
            <v>Available</v>
          </cell>
        </row>
        <row r="4196">
          <cell r="E4196">
            <v>10530006</v>
          </cell>
          <cell r="H4196">
            <v>29.27</v>
          </cell>
          <cell r="I4196">
            <v>891.38000000000011</v>
          </cell>
          <cell r="J4196">
            <v>0</v>
          </cell>
          <cell r="K4196">
            <v>0</v>
          </cell>
          <cell r="M4196">
            <v>0</v>
          </cell>
          <cell r="P4196">
            <v>891</v>
          </cell>
          <cell r="V4196" t="str">
            <v>Available</v>
          </cell>
        </row>
        <row r="4197">
          <cell r="E4197">
            <v>10530006</v>
          </cell>
          <cell r="H4197">
            <v>15.430000000000001</v>
          </cell>
          <cell r="I4197">
            <v>528.02</v>
          </cell>
          <cell r="J4197">
            <v>0</v>
          </cell>
          <cell r="K4197">
            <v>0</v>
          </cell>
          <cell r="M4197">
            <v>0</v>
          </cell>
          <cell r="P4197">
            <v>528</v>
          </cell>
          <cell r="V4197" t="str">
            <v>Available</v>
          </cell>
        </row>
        <row r="4198">
          <cell r="E4198">
            <v>10530006</v>
          </cell>
          <cell r="H4198">
            <v>30.11</v>
          </cell>
          <cell r="I4198">
            <v>1502.2599999999998</v>
          </cell>
          <cell r="J4198">
            <v>0</v>
          </cell>
          <cell r="K4198">
            <v>0</v>
          </cell>
          <cell r="M4198">
            <v>0</v>
          </cell>
          <cell r="P4198">
            <v>1502</v>
          </cell>
          <cell r="V4198" t="str">
            <v>Available</v>
          </cell>
        </row>
        <row r="4199">
          <cell r="E4199">
            <v>10530006</v>
          </cell>
          <cell r="H4199">
            <v>34.849999999999994</v>
          </cell>
          <cell r="I4199">
            <v>1379.3100000000002</v>
          </cell>
          <cell r="J4199">
            <v>0</v>
          </cell>
          <cell r="K4199">
            <v>0</v>
          </cell>
          <cell r="M4199">
            <v>0</v>
          </cell>
          <cell r="P4199">
            <v>1379</v>
          </cell>
          <cell r="V4199" t="str">
            <v>Available</v>
          </cell>
        </row>
        <row r="4200">
          <cell r="E4200">
            <v>10530006</v>
          </cell>
          <cell r="H4200">
            <v>15.219999999999999</v>
          </cell>
          <cell r="I4200">
            <v>668.67000000000007</v>
          </cell>
          <cell r="J4200">
            <v>0</v>
          </cell>
          <cell r="K4200">
            <v>0</v>
          </cell>
          <cell r="M4200">
            <v>0</v>
          </cell>
          <cell r="P4200">
            <v>669</v>
          </cell>
          <cell r="V4200" t="str">
            <v>Available</v>
          </cell>
        </row>
        <row r="4201">
          <cell r="E4201">
            <v>10530006</v>
          </cell>
          <cell r="H4201">
            <v>30.509999999999998</v>
          </cell>
          <cell r="I4201">
            <v>1787.8300000000002</v>
          </cell>
          <cell r="J4201">
            <v>0</v>
          </cell>
          <cell r="K4201">
            <v>0</v>
          </cell>
          <cell r="M4201">
            <v>0</v>
          </cell>
          <cell r="P4201">
            <v>1788</v>
          </cell>
          <cell r="V4201" t="str">
            <v>Available</v>
          </cell>
        </row>
        <row r="4202">
          <cell r="E4202">
            <v>10530006</v>
          </cell>
          <cell r="H4202">
            <v>4.67</v>
          </cell>
          <cell r="I4202">
            <v>374.16999999999996</v>
          </cell>
          <cell r="J4202">
            <v>0</v>
          </cell>
          <cell r="K4202">
            <v>0</v>
          </cell>
          <cell r="M4202">
            <v>0</v>
          </cell>
          <cell r="P4202">
            <v>374</v>
          </cell>
          <cell r="V4202" t="str">
            <v>Available</v>
          </cell>
        </row>
        <row r="4203">
          <cell r="E4203">
            <v>10530006</v>
          </cell>
          <cell r="H4203">
            <v>6.59</v>
          </cell>
          <cell r="I4203">
            <v>367.4</v>
          </cell>
          <cell r="J4203">
            <v>0</v>
          </cell>
          <cell r="K4203">
            <v>0</v>
          </cell>
          <cell r="M4203">
            <v>0</v>
          </cell>
          <cell r="P4203">
            <v>367</v>
          </cell>
          <cell r="V4203" t="str">
            <v>Available</v>
          </cell>
        </row>
        <row r="4204">
          <cell r="E4204">
            <v>10530006</v>
          </cell>
          <cell r="H4204">
            <v>11.370000000000001</v>
          </cell>
          <cell r="I4204">
            <v>459.74</v>
          </cell>
          <cell r="J4204">
            <v>0</v>
          </cell>
          <cell r="K4204">
            <v>0</v>
          </cell>
          <cell r="M4204">
            <v>0</v>
          </cell>
          <cell r="P4204">
            <v>460</v>
          </cell>
          <cell r="V4204" t="str">
            <v>Available</v>
          </cell>
        </row>
        <row r="4205">
          <cell r="E4205">
            <v>10530006</v>
          </cell>
          <cell r="H4205">
            <v>7.73</v>
          </cell>
          <cell r="I4205">
            <v>263.35000000000002</v>
          </cell>
          <cell r="J4205">
            <v>0</v>
          </cell>
          <cell r="K4205">
            <v>0</v>
          </cell>
          <cell r="M4205">
            <v>0</v>
          </cell>
          <cell r="P4205">
            <v>263</v>
          </cell>
          <cell r="V4205" t="str">
            <v>Available</v>
          </cell>
        </row>
        <row r="4206">
          <cell r="E4206">
            <v>10530006</v>
          </cell>
          <cell r="H4206">
            <v>6.8699999999999992</v>
          </cell>
          <cell r="I4206">
            <v>253.10999999999999</v>
          </cell>
          <cell r="J4206">
            <v>0</v>
          </cell>
          <cell r="K4206">
            <v>0</v>
          </cell>
          <cell r="M4206">
            <v>0</v>
          </cell>
          <cell r="P4206">
            <v>253</v>
          </cell>
          <cell r="V4206" t="str">
            <v>Available</v>
          </cell>
        </row>
        <row r="4207">
          <cell r="E4207">
            <v>10530006</v>
          </cell>
          <cell r="H4207">
            <v>36.39</v>
          </cell>
          <cell r="I4207">
            <v>1874.9499999999998</v>
          </cell>
          <cell r="J4207">
            <v>0</v>
          </cell>
          <cell r="K4207">
            <v>0</v>
          </cell>
          <cell r="M4207">
            <v>0</v>
          </cell>
          <cell r="P4207">
            <v>1875</v>
          </cell>
          <cell r="V4207" t="str">
            <v>Available</v>
          </cell>
        </row>
        <row r="4208">
          <cell r="E4208">
            <v>10530006</v>
          </cell>
          <cell r="H4208">
            <v>29.749999999999996</v>
          </cell>
          <cell r="I4208">
            <v>1356.1799999999998</v>
          </cell>
          <cell r="J4208">
            <v>0</v>
          </cell>
          <cell r="K4208">
            <v>0</v>
          </cell>
          <cell r="M4208">
            <v>0</v>
          </cell>
          <cell r="P4208">
            <v>1356</v>
          </cell>
          <cell r="V4208" t="str">
            <v>Available</v>
          </cell>
        </row>
        <row r="4209">
          <cell r="E4209">
            <v>10530006</v>
          </cell>
          <cell r="H4209">
            <v>13.030000000000001</v>
          </cell>
          <cell r="I4209">
            <v>977.1099999999999</v>
          </cell>
          <cell r="J4209">
            <v>0</v>
          </cell>
          <cell r="K4209">
            <v>0</v>
          </cell>
          <cell r="M4209">
            <v>0</v>
          </cell>
          <cell r="P4209">
            <v>977</v>
          </cell>
          <cell r="V4209" t="str">
            <v>Available</v>
          </cell>
        </row>
        <row r="4210">
          <cell r="E4210">
            <v>10530006</v>
          </cell>
          <cell r="H4210">
            <v>15.899999999999999</v>
          </cell>
          <cell r="I4210">
            <v>772.59</v>
          </cell>
          <cell r="J4210">
            <v>0</v>
          </cell>
          <cell r="K4210">
            <v>0</v>
          </cell>
          <cell r="M4210">
            <v>0</v>
          </cell>
          <cell r="P4210">
            <v>773</v>
          </cell>
          <cell r="V4210" t="str">
            <v>Available</v>
          </cell>
        </row>
        <row r="4211">
          <cell r="E4211">
            <v>10530006</v>
          </cell>
          <cell r="H4211">
            <v>16.400000000000002</v>
          </cell>
          <cell r="I4211">
            <v>674.07</v>
          </cell>
          <cell r="J4211">
            <v>0</v>
          </cell>
          <cell r="K4211">
            <v>0</v>
          </cell>
          <cell r="M4211">
            <v>0</v>
          </cell>
          <cell r="P4211">
            <v>674</v>
          </cell>
          <cell r="V4211" t="str">
            <v>Available</v>
          </cell>
        </row>
        <row r="4212">
          <cell r="E4212">
            <v>10530006</v>
          </cell>
          <cell r="H4212">
            <v>14.07</v>
          </cell>
          <cell r="I4212">
            <v>516.19999999999993</v>
          </cell>
          <cell r="J4212">
            <v>0</v>
          </cell>
          <cell r="K4212">
            <v>0</v>
          </cell>
          <cell r="M4212">
            <v>0</v>
          </cell>
          <cell r="P4212">
            <v>516</v>
          </cell>
          <cell r="V4212" t="str">
            <v>Available</v>
          </cell>
        </row>
        <row r="4213">
          <cell r="E4213">
            <v>10530006</v>
          </cell>
          <cell r="H4213">
            <v>7.72</v>
          </cell>
          <cell r="I4213">
            <v>541.35</v>
          </cell>
          <cell r="J4213">
            <v>0</v>
          </cell>
          <cell r="K4213">
            <v>0</v>
          </cell>
          <cell r="M4213">
            <v>0</v>
          </cell>
          <cell r="P4213">
            <v>541</v>
          </cell>
          <cell r="V4213" t="str">
            <v>Available</v>
          </cell>
        </row>
        <row r="4214">
          <cell r="E4214">
            <v>10530006</v>
          </cell>
          <cell r="H4214">
            <v>12.48</v>
          </cell>
          <cell r="I4214">
            <v>468.21999999999997</v>
          </cell>
          <cell r="J4214">
            <v>0</v>
          </cell>
          <cell r="K4214">
            <v>0</v>
          </cell>
          <cell r="M4214">
            <v>468</v>
          </cell>
          <cell r="P4214">
            <v>0</v>
          </cell>
          <cell r="V4214" t="str">
            <v>Available</v>
          </cell>
        </row>
        <row r="4215">
          <cell r="E4215">
            <v>10530006</v>
          </cell>
          <cell r="H4215">
            <v>3.67</v>
          </cell>
          <cell r="I4215">
            <v>112.47999999999999</v>
          </cell>
          <cell r="J4215">
            <v>0</v>
          </cell>
          <cell r="K4215">
            <v>0</v>
          </cell>
          <cell r="M4215">
            <v>0</v>
          </cell>
          <cell r="P4215">
            <v>112</v>
          </cell>
          <cell r="V4215" t="str">
            <v>Available</v>
          </cell>
        </row>
        <row r="4216">
          <cell r="E4216">
            <v>10530006</v>
          </cell>
          <cell r="H4216">
            <v>15.709999999999999</v>
          </cell>
          <cell r="I4216">
            <v>549.16000000000008</v>
          </cell>
          <cell r="J4216">
            <v>0</v>
          </cell>
          <cell r="K4216">
            <v>0</v>
          </cell>
          <cell r="M4216">
            <v>0</v>
          </cell>
          <cell r="P4216">
            <v>549</v>
          </cell>
          <cell r="V4216" t="str">
            <v>Available</v>
          </cell>
        </row>
        <row r="4217">
          <cell r="E4217">
            <v>10530006</v>
          </cell>
          <cell r="H4217">
            <v>19.86</v>
          </cell>
          <cell r="I4217">
            <v>757.23</v>
          </cell>
          <cell r="J4217">
            <v>0</v>
          </cell>
          <cell r="K4217">
            <v>0</v>
          </cell>
          <cell r="M4217">
            <v>0</v>
          </cell>
          <cell r="P4217">
            <v>757</v>
          </cell>
          <cell r="V4217" t="str">
            <v>Available</v>
          </cell>
        </row>
        <row r="4218">
          <cell r="E4218">
            <v>10530006</v>
          </cell>
          <cell r="H4218">
            <v>10.82</v>
          </cell>
          <cell r="I4218">
            <v>446.1</v>
          </cell>
          <cell r="J4218">
            <v>0</v>
          </cell>
          <cell r="K4218">
            <v>0</v>
          </cell>
          <cell r="M4218">
            <v>0</v>
          </cell>
          <cell r="P4218">
            <v>446</v>
          </cell>
          <cell r="V4218" t="str">
            <v>Available</v>
          </cell>
        </row>
        <row r="4219">
          <cell r="E4219">
            <v>10530006</v>
          </cell>
          <cell r="H4219">
            <v>19.629999999999995</v>
          </cell>
          <cell r="I4219">
            <v>750.48</v>
          </cell>
          <cell r="J4219">
            <v>0</v>
          </cell>
          <cell r="K4219">
            <v>0</v>
          </cell>
          <cell r="M4219">
            <v>0</v>
          </cell>
          <cell r="P4219">
            <v>750</v>
          </cell>
          <cell r="V4219" t="str">
            <v>Available</v>
          </cell>
        </row>
        <row r="4220">
          <cell r="E4220">
            <v>10530006</v>
          </cell>
          <cell r="H4220">
            <v>23.23</v>
          </cell>
          <cell r="I4220">
            <v>963.99</v>
          </cell>
          <cell r="J4220">
            <v>0</v>
          </cell>
          <cell r="K4220">
            <v>0</v>
          </cell>
          <cell r="M4220">
            <v>0</v>
          </cell>
          <cell r="P4220">
            <v>964</v>
          </cell>
          <cell r="V4220" t="str">
            <v>Available</v>
          </cell>
        </row>
        <row r="4221">
          <cell r="E4221">
            <v>10530006</v>
          </cell>
          <cell r="H4221">
            <v>13.270000000000001</v>
          </cell>
          <cell r="I4221">
            <v>536.1</v>
          </cell>
          <cell r="J4221">
            <v>0</v>
          </cell>
          <cell r="K4221">
            <v>0</v>
          </cell>
          <cell r="M4221">
            <v>0</v>
          </cell>
          <cell r="P4221">
            <v>536</v>
          </cell>
          <cell r="V4221" t="str">
            <v>Available</v>
          </cell>
        </row>
        <row r="4222">
          <cell r="E4222">
            <v>10530006</v>
          </cell>
          <cell r="H4222">
            <v>9.39</v>
          </cell>
          <cell r="I4222">
            <v>393.76000000000005</v>
          </cell>
          <cell r="J4222">
            <v>0</v>
          </cell>
          <cell r="K4222">
            <v>0</v>
          </cell>
          <cell r="M4222">
            <v>0</v>
          </cell>
          <cell r="P4222">
            <v>394</v>
          </cell>
          <cell r="V4222" t="str">
            <v>Available</v>
          </cell>
        </row>
        <row r="4223">
          <cell r="E4223">
            <v>10530006</v>
          </cell>
          <cell r="H4223">
            <v>5.5500000000000007</v>
          </cell>
          <cell r="I4223">
            <v>181.04000000000002</v>
          </cell>
          <cell r="J4223">
            <v>0</v>
          </cell>
          <cell r="K4223">
            <v>0</v>
          </cell>
          <cell r="M4223">
            <v>0</v>
          </cell>
          <cell r="P4223">
            <v>181</v>
          </cell>
          <cell r="V4223" t="str">
            <v>Available</v>
          </cell>
        </row>
        <row r="4224">
          <cell r="E4224">
            <v>10530006</v>
          </cell>
          <cell r="H4224">
            <v>26.580000000000002</v>
          </cell>
          <cell r="I4224">
            <v>1100.51</v>
          </cell>
          <cell r="J4224">
            <v>0</v>
          </cell>
          <cell r="K4224">
            <v>0</v>
          </cell>
          <cell r="M4224">
            <v>0</v>
          </cell>
          <cell r="P4224">
            <v>1101</v>
          </cell>
          <cell r="V4224" t="str">
            <v>Available</v>
          </cell>
        </row>
        <row r="4225">
          <cell r="E4225">
            <v>10530006</v>
          </cell>
          <cell r="H4225">
            <v>5.38</v>
          </cell>
          <cell r="I4225">
            <v>228.35</v>
          </cell>
          <cell r="J4225">
            <v>0</v>
          </cell>
          <cell r="K4225">
            <v>0</v>
          </cell>
          <cell r="M4225">
            <v>0</v>
          </cell>
          <cell r="P4225">
            <v>228</v>
          </cell>
          <cell r="V4225" t="str">
            <v>Available</v>
          </cell>
        </row>
        <row r="4226">
          <cell r="E4226">
            <v>10530006</v>
          </cell>
          <cell r="H4226">
            <v>15.39</v>
          </cell>
          <cell r="I4226">
            <v>495.89000000000004</v>
          </cell>
          <cell r="J4226">
            <v>0</v>
          </cell>
          <cell r="K4226">
            <v>0</v>
          </cell>
          <cell r="M4226">
            <v>0</v>
          </cell>
          <cell r="P4226">
            <v>496</v>
          </cell>
          <cell r="V4226" t="str">
            <v>Available</v>
          </cell>
        </row>
        <row r="4227">
          <cell r="E4227">
            <v>10530006</v>
          </cell>
          <cell r="H4227">
            <v>13.940000000000001</v>
          </cell>
          <cell r="I4227">
            <v>633.84</v>
          </cell>
          <cell r="J4227">
            <v>0</v>
          </cell>
          <cell r="K4227">
            <v>0</v>
          </cell>
          <cell r="M4227">
            <v>0</v>
          </cell>
          <cell r="P4227">
            <v>634</v>
          </cell>
          <cell r="V4227" t="str">
            <v>Available</v>
          </cell>
        </row>
        <row r="4228">
          <cell r="E4228">
            <v>10530006</v>
          </cell>
          <cell r="H4228">
            <v>3.96</v>
          </cell>
          <cell r="I4228">
            <v>149.15</v>
          </cell>
          <cell r="J4228">
            <v>0</v>
          </cell>
          <cell r="K4228">
            <v>0</v>
          </cell>
          <cell r="M4228">
            <v>0</v>
          </cell>
          <cell r="P4228">
            <v>149</v>
          </cell>
          <cell r="V4228" t="str">
            <v>Available</v>
          </cell>
        </row>
        <row r="4229">
          <cell r="E4229">
            <v>10530006</v>
          </cell>
          <cell r="H4229">
            <v>3.3800000000000003</v>
          </cell>
          <cell r="I4229">
            <v>159.59</v>
          </cell>
          <cell r="J4229">
            <v>0</v>
          </cell>
          <cell r="K4229">
            <v>0</v>
          </cell>
          <cell r="M4229">
            <v>0</v>
          </cell>
          <cell r="P4229">
            <v>160</v>
          </cell>
          <cell r="V4229" t="str">
            <v>Available</v>
          </cell>
        </row>
        <row r="4230">
          <cell r="E4230">
            <v>10530006</v>
          </cell>
          <cell r="H4230">
            <v>8.9700000000000006</v>
          </cell>
          <cell r="I4230">
            <v>295.52</v>
          </cell>
          <cell r="J4230">
            <v>0</v>
          </cell>
          <cell r="K4230">
            <v>0</v>
          </cell>
          <cell r="M4230">
            <v>0</v>
          </cell>
          <cell r="P4230">
            <v>296</v>
          </cell>
          <cell r="V4230" t="str">
            <v>Available</v>
          </cell>
        </row>
        <row r="4231">
          <cell r="E4231">
            <v>10530006</v>
          </cell>
          <cell r="H4231">
            <v>13.79</v>
          </cell>
          <cell r="I4231">
            <v>498.65</v>
          </cell>
          <cell r="J4231">
            <v>0</v>
          </cell>
          <cell r="K4231">
            <v>0</v>
          </cell>
          <cell r="M4231">
            <v>0</v>
          </cell>
          <cell r="P4231">
            <v>499</v>
          </cell>
          <cell r="V4231" t="str">
            <v>Available</v>
          </cell>
        </row>
        <row r="4232">
          <cell r="E4232">
            <v>10530006</v>
          </cell>
          <cell r="H4232">
            <v>8.75</v>
          </cell>
          <cell r="I4232">
            <v>280.33999999999997</v>
          </cell>
          <cell r="J4232">
            <v>0</v>
          </cell>
          <cell r="K4232">
            <v>0</v>
          </cell>
          <cell r="M4232">
            <v>0</v>
          </cell>
          <cell r="P4232">
            <v>280</v>
          </cell>
          <cell r="V4232" t="str">
            <v>Available</v>
          </cell>
        </row>
        <row r="4233">
          <cell r="E4233">
            <v>10530006</v>
          </cell>
          <cell r="H4233">
            <v>14.11</v>
          </cell>
          <cell r="I4233">
            <v>575.78</v>
          </cell>
          <cell r="J4233">
            <v>0</v>
          </cell>
          <cell r="K4233">
            <v>0</v>
          </cell>
          <cell r="M4233">
            <v>0</v>
          </cell>
          <cell r="P4233">
            <v>576</v>
          </cell>
          <cell r="V4233" t="str">
            <v>Available</v>
          </cell>
        </row>
        <row r="4234">
          <cell r="E4234">
            <v>10530006</v>
          </cell>
          <cell r="H4234">
            <v>11.589999999999998</v>
          </cell>
          <cell r="I4234">
            <v>652.72</v>
          </cell>
          <cell r="J4234">
            <v>0</v>
          </cell>
          <cell r="K4234">
            <v>0</v>
          </cell>
          <cell r="M4234">
            <v>0</v>
          </cell>
          <cell r="P4234">
            <v>653</v>
          </cell>
          <cell r="V4234" t="str">
            <v>Available</v>
          </cell>
        </row>
        <row r="4235">
          <cell r="E4235">
            <v>10530006</v>
          </cell>
          <cell r="H4235">
            <v>3.48</v>
          </cell>
          <cell r="I4235">
            <v>247.67</v>
          </cell>
          <cell r="J4235">
            <v>0</v>
          </cell>
          <cell r="K4235">
            <v>0</v>
          </cell>
          <cell r="M4235">
            <v>0</v>
          </cell>
          <cell r="P4235">
            <v>248</v>
          </cell>
          <cell r="V4235" t="str">
            <v>Available</v>
          </cell>
        </row>
        <row r="4236">
          <cell r="E4236">
            <v>10530006</v>
          </cell>
          <cell r="H4236">
            <v>24.729999999999997</v>
          </cell>
          <cell r="I4236">
            <v>892.44</v>
          </cell>
          <cell r="J4236">
            <v>0</v>
          </cell>
          <cell r="K4236">
            <v>0</v>
          </cell>
          <cell r="M4236">
            <v>0</v>
          </cell>
          <cell r="P4236">
            <v>892</v>
          </cell>
          <cell r="V4236" t="str">
            <v>Available</v>
          </cell>
        </row>
        <row r="4237">
          <cell r="E4237">
            <v>10530006</v>
          </cell>
          <cell r="H4237">
            <v>11.67</v>
          </cell>
          <cell r="I4237">
            <v>764.08999999999992</v>
          </cell>
          <cell r="J4237">
            <v>0</v>
          </cell>
          <cell r="K4237">
            <v>0</v>
          </cell>
          <cell r="M4237">
            <v>0</v>
          </cell>
          <cell r="P4237">
            <v>764</v>
          </cell>
          <cell r="V4237" t="str">
            <v>Available</v>
          </cell>
        </row>
        <row r="4238">
          <cell r="E4238">
            <v>10530006</v>
          </cell>
          <cell r="H4238">
            <v>31.48</v>
          </cell>
          <cell r="I4238">
            <v>2058.2500000000005</v>
          </cell>
          <cell r="J4238">
            <v>0</v>
          </cell>
          <cell r="K4238">
            <v>0</v>
          </cell>
          <cell r="M4238">
            <v>0</v>
          </cell>
          <cell r="P4238">
            <v>2058</v>
          </cell>
          <cell r="V4238" t="str">
            <v>Available</v>
          </cell>
        </row>
        <row r="4239">
          <cell r="E4239">
            <v>10530006</v>
          </cell>
          <cell r="H4239">
            <v>11.59</v>
          </cell>
          <cell r="I4239">
            <v>584.07000000000005</v>
          </cell>
          <cell r="J4239">
            <v>0</v>
          </cell>
          <cell r="K4239">
            <v>0</v>
          </cell>
          <cell r="M4239">
            <v>0</v>
          </cell>
          <cell r="P4239">
            <v>584</v>
          </cell>
          <cell r="V4239" t="str">
            <v>Available</v>
          </cell>
        </row>
        <row r="4240">
          <cell r="E4240">
            <v>10530006</v>
          </cell>
          <cell r="H4240">
            <v>93.679999999999993</v>
          </cell>
          <cell r="I4240">
            <v>4829.74</v>
          </cell>
          <cell r="J4240">
            <v>0</v>
          </cell>
          <cell r="K4240">
            <v>0</v>
          </cell>
          <cell r="M4240">
            <v>0</v>
          </cell>
          <cell r="P4240">
            <v>4830</v>
          </cell>
          <cell r="V4240" t="str">
            <v>Available</v>
          </cell>
        </row>
        <row r="4241">
          <cell r="E4241">
            <v>10530006</v>
          </cell>
          <cell r="H4241">
            <v>62.769999999999996</v>
          </cell>
          <cell r="I4241">
            <v>3074.0399999999995</v>
          </cell>
          <cell r="J4241">
            <v>0</v>
          </cell>
          <cell r="K4241">
            <v>0</v>
          </cell>
          <cell r="M4241">
            <v>0</v>
          </cell>
          <cell r="P4241">
            <v>3074</v>
          </cell>
          <cell r="V4241" t="str">
            <v>Available</v>
          </cell>
        </row>
        <row r="4242">
          <cell r="E4242">
            <v>10530006</v>
          </cell>
          <cell r="H4242">
            <v>5.65</v>
          </cell>
          <cell r="I4242">
            <v>263.05999999999995</v>
          </cell>
          <cell r="J4242">
            <v>0</v>
          </cell>
          <cell r="K4242">
            <v>0</v>
          </cell>
          <cell r="M4242">
            <v>0</v>
          </cell>
          <cell r="P4242">
            <v>263</v>
          </cell>
          <cell r="V4242" t="str">
            <v>Available</v>
          </cell>
        </row>
        <row r="4243">
          <cell r="E4243">
            <v>10530007</v>
          </cell>
          <cell r="H4243">
            <v>0.23</v>
          </cell>
          <cell r="I4243">
            <v>9.43</v>
          </cell>
          <cell r="J4243">
            <v>0</v>
          </cell>
          <cell r="K4243">
            <v>9.43</v>
          </cell>
          <cell r="M4243">
            <v>0</v>
          </cell>
          <cell r="P4243">
            <v>0</v>
          </cell>
          <cell r="V4243" t="str">
            <v>Not Available</v>
          </cell>
        </row>
        <row r="4244">
          <cell r="E4244">
            <v>10530007</v>
          </cell>
          <cell r="H4244">
            <v>111.99000000000001</v>
          </cell>
          <cell r="I4244">
            <v>5324.12</v>
          </cell>
          <cell r="J4244">
            <v>0</v>
          </cell>
          <cell r="K4244">
            <v>0</v>
          </cell>
          <cell r="M4244">
            <v>0</v>
          </cell>
          <cell r="P4244">
            <v>5324</v>
          </cell>
          <cell r="V4244" t="str">
            <v>Available</v>
          </cell>
        </row>
        <row r="4245">
          <cell r="E4245">
            <v>10530007</v>
          </cell>
          <cell r="H4245">
            <v>70.709999999999994</v>
          </cell>
          <cell r="I4245">
            <v>3497.2500000000005</v>
          </cell>
          <cell r="J4245">
            <v>0</v>
          </cell>
          <cell r="K4245">
            <v>0</v>
          </cell>
          <cell r="M4245">
            <v>0</v>
          </cell>
          <cell r="P4245">
            <v>3497</v>
          </cell>
          <cell r="V4245" t="str">
            <v>Available</v>
          </cell>
        </row>
        <row r="4246">
          <cell r="E4246">
            <v>10530007</v>
          </cell>
          <cell r="H4246">
            <v>51.899999999999991</v>
          </cell>
          <cell r="I4246">
            <v>2508.61</v>
          </cell>
          <cell r="J4246">
            <v>0</v>
          </cell>
          <cell r="K4246">
            <v>0</v>
          </cell>
          <cell r="M4246">
            <v>0</v>
          </cell>
          <cell r="P4246">
            <v>2509</v>
          </cell>
          <cell r="V4246" t="str">
            <v>Available</v>
          </cell>
        </row>
        <row r="4247">
          <cell r="E4247">
            <v>10530007</v>
          </cell>
          <cell r="H4247">
            <v>45.68</v>
          </cell>
          <cell r="I4247">
            <v>1863.5200000000002</v>
          </cell>
          <cell r="J4247">
            <v>0</v>
          </cell>
          <cell r="K4247">
            <v>0</v>
          </cell>
          <cell r="M4247">
            <v>0</v>
          </cell>
          <cell r="P4247">
            <v>1864</v>
          </cell>
          <cell r="V4247" t="str">
            <v>Available</v>
          </cell>
        </row>
        <row r="4248">
          <cell r="E4248">
            <v>10530007</v>
          </cell>
          <cell r="H4248">
            <v>24.53</v>
          </cell>
          <cell r="I4248">
            <v>906.59000000000015</v>
          </cell>
          <cell r="J4248">
            <v>0</v>
          </cell>
          <cell r="K4248">
            <v>0</v>
          </cell>
          <cell r="M4248">
            <v>0</v>
          </cell>
          <cell r="P4248">
            <v>907</v>
          </cell>
          <cell r="V4248" t="str">
            <v>Available</v>
          </cell>
        </row>
        <row r="4249">
          <cell r="E4249">
            <v>10530007</v>
          </cell>
          <cell r="H4249">
            <v>46.29</v>
          </cell>
          <cell r="I4249">
            <v>2625.7999999999997</v>
          </cell>
          <cell r="J4249">
            <v>0</v>
          </cell>
          <cell r="K4249">
            <v>0</v>
          </cell>
          <cell r="M4249">
            <v>0</v>
          </cell>
          <cell r="P4249">
            <v>2626</v>
          </cell>
          <cell r="V4249" t="str">
            <v>Available</v>
          </cell>
        </row>
        <row r="4250">
          <cell r="E4250">
            <v>10530007</v>
          </cell>
          <cell r="H4250">
            <v>18.8</v>
          </cell>
          <cell r="I4250">
            <v>737.99</v>
          </cell>
          <cell r="J4250">
            <v>0</v>
          </cell>
          <cell r="K4250">
            <v>0</v>
          </cell>
          <cell r="M4250">
            <v>0</v>
          </cell>
          <cell r="P4250">
            <v>738</v>
          </cell>
          <cell r="V4250" t="str">
            <v>Available</v>
          </cell>
        </row>
        <row r="4251">
          <cell r="E4251">
            <v>10530007</v>
          </cell>
          <cell r="H4251">
            <v>29.85</v>
          </cell>
          <cell r="I4251">
            <v>1861.6200000000001</v>
          </cell>
          <cell r="J4251">
            <v>0</v>
          </cell>
          <cell r="K4251">
            <v>0</v>
          </cell>
          <cell r="M4251">
            <v>0</v>
          </cell>
          <cell r="P4251">
            <v>1862</v>
          </cell>
          <cell r="V4251" t="str">
            <v>Available</v>
          </cell>
        </row>
        <row r="4252">
          <cell r="E4252">
            <v>10530007</v>
          </cell>
          <cell r="H4252">
            <v>51.449999999999989</v>
          </cell>
          <cell r="I4252">
            <v>2669.54</v>
          </cell>
          <cell r="J4252">
            <v>0</v>
          </cell>
          <cell r="K4252">
            <v>0</v>
          </cell>
          <cell r="M4252">
            <v>0</v>
          </cell>
          <cell r="P4252">
            <v>2670</v>
          </cell>
          <cell r="V4252" t="str">
            <v>Available</v>
          </cell>
        </row>
        <row r="4253">
          <cell r="E4253">
            <v>10530007</v>
          </cell>
          <cell r="H4253">
            <v>13.37</v>
          </cell>
          <cell r="I4253">
            <v>883.87</v>
          </cell>
          <cell r="J4253">
            <v>0</v>
          </cell>
          <cell r="K4253">
            <v>0</v>
          </cell>
          <cell r="M4253">
            <v>0</v>
          </cell>
          <cell r="P4253">
            <v>884</v>
          </cell>
          <cell r="V4253" t="str">
            <v>Available</v>
          </cell>
        </row>
        <row r="4254">
          <cell r="E4254">
            <v>10530007</v>
          </cell>
          <cell r="H4254">
            <v>20.02</v>
          </cell>
          <cell r="I4254">
            <v>917.91000000000008</v>
          </cell>
          <cell r="J4254">
            <v>0</v>
          </cell>
          <cell r="K4254">
            <v>0</v>
          </cell>
          <cell r="M4254">
            <v>0</v>
          </cell>
          <cell r="P4254">
            <v>918</v>
          </cell>
          <cell r="V4254" t="str">
            <v>Available</v>
          </cell>
        </row>
        <row r="4255">
          <cell r="E4255">
            <v>10530007</v>
          </cell>
          <cell r="H4255">
            <v>33.559999999999995</v>
          </cell>
          <cell r="I4255">
            <v>1555.52</v>
          </cell>
          <cell r="J4255">
            <v>0</v>
          </cell>
          <cell r="K4255">
            <v>0</v>
          </cell>
          <cell r="M4255">
            <v>0</v>
          </cell>
          <cell r="P4255">
            <v>1556</v>
          </cell>
          <cell r="V4255" t="str">
            <v>Available</v>
          </cell>
        </row>
        <row r="4256">
          <cell r="E4256">
            <v>10530007</v>
          </cell>
          <cell r="H4256">
            <v>43.8</v>
          </cell>
          <cell r="I4256">
            <v>2201.6</v>
          </cell>
          <cell r="J4256">
            <v>0</v>
          </cell>
          <cell r="K4256">
            <v>0</v>
          </cell>
          <cell r="M4256">
            <v>0</v>
          </cell>
          <cell r="P4256">
            <v>2202</v>
          </cell>
          <cell r="V4256" t="str">
            <v>Available</v>
          </cell>
        </row>
        <row r="4257">
          <cell r="E4257">
            <v>10530008</v>
          </cell>
          <cell r="H4257">
            <v>3.13</v>
          </cell>
          <cell r="I4257">
            <v>128.94</v>
          </cell>
          <cell r="J4257">
            <v>0</v>
          </cell>
          <cell r="K4257">
            <v>128.94</v>
          </cell>
          <cell r="M4257">
            <v>0</v>
          </cell>
          <cell r="P4257">
            <v>0</v>
          </cell>
          <cell r="V4257" t="str">
            <v>Not Available</v>
          </cell>
        </row>
        <row r="4258">
          <cell r="E4258">
            <v>10530008</v>
          </cell>
          <cell r="H4258">
            <v>146.30000000000001</v>
          </cell>
          <cell r="I4258">
            <v>8292.5400000000009</v>
          </cell>
          <cell r="J4258">
            <v>0</v>
          </cell>
          <cell r="K4258">
            <v>0</v>
          </cell>
          <cell r="M4258">
            <v>4200</v>
          </cell>
          <cell r="P4258">
            <v>4093</v>
          </cell>
          <cell r="V4258" t="str">
            <v>Available</v>
          </cell>
        </row>
        <row r="4259">
          <cell r="E4259">
            <v>10530008</v>
          </cell>
          <cell r="H4259">
            <v>40.98</v>
          </cell>
          <cell r="I4259">
            <v>1460.2899999999997</v>
          </cell>
          <cell r="J4259">
            <v>0</v>
          </cell>
          <cell r="K4259">
            <v>0</v>
          </cell>
          <cell r="M4259">
            <v>279</v>
          </cell>
          <cell r="P4259">
            <v>1181</v>
          </cell>
          <cell r="V4259" t="str">
            <v>Available</v>
          </cell>
        </row>
        <row r="4260">
          <cell r="E4260">
            <v>10530008</v>
          </cell>
          <cell r="H4260">
            <v>18.760000000000002</v>
          </cell>
          <cell r="I4260">
            <v>709.96</v>
          </cell>
          <cell r="J4260">
            <v>0</v>
          </cell>
          <cell r="K4260">
            <v>0</v>
          </cell>
          <cell r="M4260">
            <v>0</v>
          </cell>
          <cell r="P4260">
            <v>710</v>
          </cell>
          <cell r="V4260" t="str">
            <v>Available</v>
          </cell>
        </row>
        <row r="4261">
          <cell r="E4261">
            <v>10530008</v>
          </cell>
          <cell r="H4261">
            <v>122.79999999999998</v>
          </cell>
          <cell r="I4261">
            <v>4932.2299999999996</v>
          </cell>
          <cell r="J4261">
            <v>0</v>
          </cell>
          <cell r="K4261">
            <v>0</v>
          </cell>
          <cell r="M4261">
            <v>4200</v>
          </cell>
          <cell r="P4261">
            <v>732</v>
          </cell>
          <cell r="V4261" t="str">
            <v>Available</v>
          </cell>
        </row>
        <row r="4262">
          <cell r="E4262">
            <v>10530008</v>
          </cell>
          <cell r="H4262">
            <v>5.42</v>
          </cell>
          <cell r="I4262">
            <v>427.48999999999995</v>
          </cell>
          <cell r="J4262">
            <v>0</v>
          </cell>
          <cell r="K4262">
            <v>0</v>
          </cell>
          <cell r="M4262">
            <v>0</v>
          </cell>
          <cell r="P4262">
            <v>427</v>
          </cell>
          <cell r="V4262" t="str">
            <v>Available</v>
          </cell>
        </row>
        <row r="4263">
          <cell r="E4263">
            <v>10530032</v>
          </cell>
          <cell r="H4263">
            <v>33.769999999999996</v>
          </cell>
          <cell r="I4263">
            <v>1379.6599999999999</v>
          </cell>
          <cell r="J4263">
            <v>0</v>
          </cell>
          <cell r="K4263">
            <v>1379.6599999999999</v>
          </cell>
          <cell r="M4263">
            <v>0</v>
          </cell>
          <cell r="P4263">
            <v>0</v>
          </cell>
          <cell r="V4263" t="str">
            <v>Not Available</v>
          </cell>
        </row>
        <row r="4264">
          <cell r="E4264">
            <v>10530032</v>
          </cell>
          <cell r="H4264">
            <v>21.19</v>
          </cell>
          <cell r="I4264">
            <v>922.93000000000006</v>
          </cell>
          <cell r="J4264">
            <v>0</v>
          </cell>
          <cell r="K4264">
            <v>0</v>
          </cell>
          <cell r="M4264">
            <v>0</v>
          </cell>
          <cell r="P4264">
            <v>923</v>
          </cell>
          <cell r="V4264" t="str">
            <v>Available</v>
          </cell>
        </row>
        <row r="4265">
          <cell r="E4265">
            <v>10530032</v>
          </cell>
          <cell r="H4265">
            <v>30.43</v>
          </cell>
          <cell r="I4265">
            <v>2039.5700000000002</v>
          </cell>
          <cell r="J4265">
            <v>0</v>
          </cell>
          <cell r="K4265">
            <v>0</v>
          </cell>
          <cell r="M4265">
            <v>0</v>
          </cell>
          <cell r="P4265">
            <v>2040</v>
          </cell>
          <cell r="V4265" t="str">
            <v>Available</v>
          </cell>
        </row>
        <row r="4266">
          <cell r="E4266">
            <v>10530032</v>
          </cell>
          <cell r="H4266">
            <v>12.270000000000001</v>
          </cell>
          <cell r="I4266">
            <v>820.95</v>
          </cell>
          <cell r="J4266">
            <v>0</v>
          </cell>
          <cell r="K4266">
            <v>0</v>
          </cell>
          <cell r="M4266">
            <v>0</v>
          </cell>
          <cell r="P4266">
            <v>821</v>
          </cell>
          <cell r="V4266" t="str">
            <v>Available</v>
          </cell>
        </row>
        <row r="4267">
          <cell r="E4267">
            <v>10530032</v>
          </cell>
          <cell r="H4267">
            <v>38.01</v>
          </cell>
          <cell r="I4267">
            <v>1438.76</v>
          </cell>
          <cell r="J4267">
            <v>0</v>
          </cell>
          <cell r="K4267">
            <v>0</v>
          </cell>
          <cell r="M4267">
            <v>1439</v>
          </cell>
          <cell r="P4267">
            <v>0</v>
          </cell>
          <cell r="V4267" t="str">
            <v>Available</v>
          </cell>
        </row>
        <row r="4268">
          <cell r="E4268">
            <v>10530032</v>
          </cell>
          <cell r="H4268">
            <v>42.18</v>
          </cell>
          <cell r="I4268">
            <v>2098.0600000000004</v>
          </cell>
          <cell r="J4268">
            <v>0</v>
          </cell>
          <cell r="K4268">
            <v>0</v>
          </cell>
          <cell r="M4268">
            <v>0</v>
          </cell>
          <cell r="P4268">
            <v>2098</v>
          </cell>
          <cell r="V4268" t="str">
            <v>Available</v>
          </cell>
        </row>
        <row r="4269">
          <cell r="E4269">
            <v>10530032</v>
          </cell>
          <cell r="H4269">
            <v>42.82</v>
          </cell>
          <cell r="I4269">
            <v>2137.62</v>
          </cell>
          <cell r="J4269">
            <v>0</v>
          </cell>
          <cell r="K4269">
            <v>0</v>
          </cell>
          <cell r="M4269">
            <v>0</v>
          </cell>
          <cell r="P4269">
            <v>2138</v>
          </cell>
          <cell r="V4269" t="str">
            <v>Available</v>
          </cell>
        </row>
        <row r="4270">
          <cell r="E4270">
            <v>10530032</v>
          </cell>
          <cell r="H4270">
            <v>30.38</v>
          </cell>
          <cell r="I4270">
            <v>1664.76</v>
          </cell>
          <cell r="J4270">
            <v>0</v>
          </cell>
          <cell r="K4270">
            <v>0</v>
          </cell>
          <cell r="M4270">
            <v>264</v>
          </cell>
          <cell r="P4270">
            <v>1401</v>
          </cell>
          <cell r="V4270" t="str">
            <v>Available</v>
          </cell>
        </row>
        <row r="4271">
          <cell r="E4271">
            <v>10530032</v>
          </cell>
          <cell r="H4271">
            <v>4.6900000000000004</v>
          </cell>
          <cell r="I4271">
            <v>195.47</v>
          </cell>
          <cell r="J4271">
            <v>0</v>
          </cell>
          <cell r="K4271">
            <v>0</v>
          </cell>
          <cell r="M4271">
            <v>0</v>
          </cell>
          <cell r="P4271">
            <v>195</v>
          </cell>
          <cell r="V4271" t="str">
            <v>Available</v>
          </cell>
        </row>
        <row r="4272">
          <cell r="E4272">
            <v>10530032</v>
          </cell>
          <cell r="H4272">
            <v>41.53</v>
          </cell>
          <cell r="I4272">
            <v>2098.39</v>
          </cell>
          <cell r="J4272">
            <v>0</v>
          </cell>
          <cell r="K4272">
            <v>0</v>
          </cell>
          <cell r="M4272">
            <v>0</v>
          </cell>
          <cell r="P4272">
            <v>2098</v>
          </cell>
          <cell r="V4272" t="str">
            <v>Available</v>
          </cell>
        </row>
        <row r="4273">
          <cell r="E4273">
            <v>10530032</v>
          </cell>
          <cell r="H4273">
            <v>11.03</v>
          </cell>
          <cell r="I4273">
            <v>537.87</v>
          </cell>
          <cell r="J4273">
            <v>0</v>
          </cell>
          <cell r="K4273">
            <v>0</v>
          </cell>
          <cell r="M4273">
            <v>0</v>
          </cell>
          <cell r="P4273">
            <v>538</v>
          </cell>
          <cell r="V4273" t="str">
            <v>Available</v>
          </cell>
        </row>
        <row r="4274">
          <cell r="E4274">
            <v>10530032</v>
          </cell>
          <cell r="H4274">
            <v>22.22</v>
          </cell>
          <cell r="I4274">
            <v>1516.8799999999999</v>
          </cell>
          <cell r="J4274">
            <v>0</v>
          </cell>
          <cell r="K4274">
            <v>0</v>
          </cell>
          <cell r="M4274">
            <v>0</v>
          </cell>
          <cell r="P4274">
            <v>1517</v>
          </cell>
          <cell r="V4274" t="str">
            <v>Available</v>
          </cell>
        </row>
        <row r="4275">
          <cell r="E4275">
            <v>10530032</v>
          </cell>
          <cell r="H4275">
            <v>6.96</v>
          </cell>
          <cell r="I4275">
            <v>365.72</v>
          </cell>
          <cell r="J4275">
            <v>0</v>
          </cell>
          <cell r="K4275">
            <v>0</v>
          </cell>
          <cell r="M4275">
            <v>0</v>
          </cell>
          <cell r="P4275">
            <v>366</v>
          </cell>
          <cell r="V4275" t="str">
            <v>Available</v>
          </cell>
        </row>
        <row r="4276">
          <cell r="E4276">
            <v>10530032</v>
          </cell>
          <cell r="H4276">
            <v>26.43</v>
          </cell>
          <cell r="I4276">
            <v>1339.04</v>
          </cell>
          <cell r="J4276">
            <v>0</v>
          </cell>
          <cell r="K4276">
            <v>0</v>
          </cell>
          <cell r="M4276">
            <v>0</v>
          </cell>
          <cell r="P4276">
            <v>1339</v>
          </cell>
          <cell r="V4276" t="str">
            <v>Available</v>
          </cell>
        </row>
        <row r="4277">
          <cell r="E4277">
            <v>10530032</v>
          </cell>
          <cell r="H4277">
            <v>34.81</v>
          </cell>
          <cell r="I4277">
            <v>1653.9199999999998</v>
          </cell>
          <cell r="J4277">
            <v>0</v>
          </cell>
          <cell r="K4277">
            <v>0</v>
          </cell>
          <cell r="M4277">
            <v>0</v>
          </cell>
          <cell r="P4277">
            <v>1654</v>
          </cell>
          <cell r="V4277" t="str">
            <v>Available</v>
          </cell>
        </row>
        <row r="4278">
          <cell r="E4278">
            <v>10530032</v>
          </cell>
          <cell r="H4278">
            <v>4.84</v>
          </cell>
          <cell r="I4278">
            <v>252.52000000000004</v>
          </cell>
          <cell r="J4278">
            <v>0</v>
          </cell>
          <cell r="K4278">
            <v>0</v>
          </cell>
          <cell r="M4278">
            <v>253</v>
          </cell>
          <cell r="P4278">
            <v>0</v>
          </cell>
          <cell r="V4278" t="str">
            <v>Available</v>
          </cell>
        </row>
        <row r="4279">
          <cell r="E4279">
            <v>10530032</v>
          </cell>
          <cell r="H4279">
            <v>33.22</v>
          </cell>
          <cell r="I4279">
            <v>1621.36</v>
          </cell>
          <cell r="J4279">
            <v>0</v>
          </cell>
          <cell r="K4279">
            <v>0</v>
          </cell>
          <cell r="M4279">
            <v>0</v>
          </cell>
          <cell r="P4279">
            <v>1621</v>
          </cell>
          <cell r="V4279" t="str">
            <v>Available</v>
          </cell>
        </row>
        <row r="4280">
          <cell r="E4280">
            <v>10530032</v>
          </cell>
          <cell r="H4280">
            <v>42.89</v>
          </cell>
          <cell r="I4280">
            <v>2212.4899999999998</v>
          </cell>
          <cell r="J4280">
            <v>0</v>
          </cell>
          <cell r="K4280">
            <v>0</v>
          </cell>
          <cell r="M4280">
            <v>0</v>
          </cell>
          <cell r="P4280">
            <v>2212</v>
          </cell>
          <cell r="V4280" t="str">
            <v>Available</v>
          </cell>
        </row>
        <row r="4281">
          <cell r="E4281">
            <v>10530032</v>
          </cell>
          <cell r="H4281">
            <v>21.59</v>
          </cell>
          <cell r="I4281">
            <v>917.28</v>
          </cell>
          <cell r="J4281">
            <v>0</v>
          </cell>
          <cell r="K4281">
            <v>0</v>
          </cell>
          <cell r="M4281">
            <v>0</v>
          </cell>
          <cell r="P4281">
            <v>917</v>
          </cell>
          <cell r="V4281" t="str">
            <v>Available</v>
          </cell>
        </row>
        <row r="4282">
          <cell r="E4282">
            <v>10530032</v>
          </cell>
          <cell r="H4282">
            <v>33.019999999999996</v>
          </cell>
          <cell r="I4282">
            <v>1725.23</v>
          </cell>
          <cell r="J4282">
            <v>0</v>
          </cell>
          <cell r="K4282">
            <v>0</v>
          </cell>
          <cell r="M4282">
            <v>0</v>
          </cell>
          <cell r="P4282">
            <v>1725</v>
          </cell>
          <cell r="V4282" t="str">
            <v>Available</v>
          </cell>
        </row>
        <row r="4283">
          <cell r="E4283">
            <v>10530032</v>
          </cell>
          <cell r="H4283">
            <v>8.73</v>
          </cell>
          <cell r="I4283">
            <v>676.62</v>
          </cell>
          <cell r="J4283">
            <v>0</v>
          </cell>
          <cell r="K4283">
            <v>0</v>
          </cell>
          <cell r="M4283">
            <v>0</v>
          </cell>
          <cell r="P4283">
            <v>677</v>
          </cell>
          <cell r="V4283" t="str">
            <v>Available</v>
          </cell>
        </row>
        <row r="4284">
          <cell r="E4284">
            <v>10530032</v>
          </cell>
          <cell r="H4284">
            <v>4.99</v>
          </cell>
          <cell r="I4284">
            <v>300.28999999999996</v>
          </cell>
          <cell r="J4284">
            <v>0</v>
          </cell>
          <cell r="K4284">
            <v>0</v>
          </cell>
          <cell r="M4284">
            <v>0</v>
          </cell>
          <cell r="P4284">
            <v>300</v>
          </cell>
          <cell r="V4284" t="str">
            <v>Available</v>
          </cell>
        </row>
        <row r="4285">
          <cell r="E4285">
            <v>10530032</v>
          </cell>
          <cell r="H4285">
            <v>47.4</v>
          </cell>
          <cell r="I4285">
            <v>1786.4099999999999</v>
          </cell>
          <cell r="J4285">
            <v>0</v>
          </cell>
          <cell r="K4285">
            <v>0</v>
          </cell>
          <cell r="M4285">
            <v>0</v>
          </cell>
          <cell r="P4285">
            <v>1786</v>
          </cell>
          <cell r="V4285" t="str">
            <v>Available</v>
          </cell>
        </row>
        <row r="4286">
          <cell r="E4286">
            <v>10530032</v>
          </cell>
          <cell r="H4286">
            <v>73.83</v>
          </cell>
          <cell r="I4286">
            <v>2809.6099999999997</v>
          </cell>
          <cell r="J4286">
            <v>0</v>
          </cell>
          <cell r="K4286">
            <v>0</v>
          </cell>
          <cell r="M4286">
            <v>1400</v>
          </cell>
          <cell r="P4286">
            <v>1410</v>
          </cell>
          <cell r="V4286" t="str">
            <v>Available</v>
          </cell>
        </row>
        <row r="4287">
          <cell r="E4287">
            <v>10530032</v>
          </cell>
          <cell r="H4287">
            <v>20.25</v>
          </cell>
          <cell r="I4287">
            <v>970.56000000000006</v>
          </cell>
          <cell r="J4287">
            <v>0</v>
          </cell>
          <cell r="K4287">
            <v>0</v>
          </cell>
          <cell r="M4287">
            <v>464</v>
          </cell>
          <cell r="P4287">
            <v>507</v>
          </cell>
          <cell r="V4287" t="str">
            <v>Available</v>
          </cell>
        </row>
        <row r="4288">
          <cell r="E4288">
            <v>10530032</v>
          </cell>
          <cell r="H4288">
            <v>53.779999999999994</v>
          </cell>
          <cell r="I4288">
            <v>2548.6799999999998</v>
          </cell>
          <cell r="J4288">
            <v>0</v>
          </cell>
          <cell r="K4288">
            <v>0</v>
          </cell>
          <cell r="M4288">
            <v>264</v>
          </cell>
          <cell r="P4288">
            <v>2285</v>
          </cell>
          <cell r="V4288" t="str">
            <v>Available</v>
          </cell>
        </row>
        <row r="4289">
          <cell r="E4289">
            <v>10530032</v>
          </cell>
          <cell r="H4289">
            <v>38.569999999999993</v>
          </cell>
          <cell r="I4289">
            <v>1715.5000000000002</v>
          </cell>
          <cell r="J4289">
            <v>0</v>
          </cell>
          <cell r="K4289">
            <v>0</v>
          </cell>
          <cell r="M4289">
            <v>0</v>
          </cell>
          <cell r="P4289">
            <v>1716</v>
          </cell>
          <cell r="V4289" t="str">
            <v>Available</v>
          </cell>
        </row>
        <row r="4290">
          <cell r="E4290">
            <v>10530032</v>
          </cell>
          <cell r="H4290">
            <v>11.940000000000001</v>
          </cell>
          <cell r="I4290">
            <v>484.55000000000007</v>
          </cell>
          <cell r="J4290">
            <v>0</v>
          </cell>
          <cell r="K4290">
            <v>0</v>
          </cell>
          <cell r="M4290">
            <v>0</v>
          </cell>
          <cell r="P4290">
            <v>485</v>
          </cell>
          <cell r="V4290" t="str">
            <v>Available</v>
          </cell>
        </row>
        <row r="4291">
          <cell r="E4291">
            <v>10530033</v>
          </cell>
          <cell r="H4291">
            <v>13.509999999999998</v>
          </cell>
          <cell r="I4291">
            <v>597.26</v>
          </cell>
          <cell r="J4291">
            <v>0</v>
          </cell>
          <cell r="K4291">
            <v>597.26</v>
          </cell>
          <cell r="M4291">
            <v>0</v>
          </cell>
          <cell r="P4291">
            <v>0</v>
          </cell>
          <cell r="V4291" t="str">
            <v>Not Available</v>
          </cell>
        </row>
        <row r="4292">
          <cell r="E4292">
            <v>10530033</v>
          </cell>
          <cell r="H4292">
            <v>107.68999999999998</v>
          </cell>
          <cell r="I4292">
            <v>4725.7599999999993</v>
          </cell>
          <cell r="J4292">
            <v>0</v>
          </cell>
          <cell r="K4292">
            <v>0</v>
          </cell>
          <cell r="M4292">
            <v>0</v>
          </cell>
          <cell r="P4292">
            <v>4726</v>
          </cell>
          <cell r="V4292" t="str">
            <v>Available</v>
          </cell>
        </row>
        <row r="4293">
          <cell r="E4293">
            <v>10530033</v>
          </cell>
          <cell r="H4293">
            <v>13.170000000000002</v>
          </cell>
          <cell r="I4293">
            <v>597.26</v>
          </cell>
          <cell r="J4293">
            <v>0</v>
          </cell>
          <cell r="K4293">
            <v>0</v>
          </cell>
          <cell r="M4293">
            <v>0</v>
          </cell>
          <cell r="P4293">
            <v>597</v>
          </cell>
          <cell r="V4293" t="str">
            <v>Available</v>
          </cell>
        </row>
        <row r="4294">
          <cell r="E4294">
            <v>10530033</v>
          </cell>
          <cell r="H4294">
            <v>12.790000000000001</v>
          </cell>
          <cell r="I4294">
            <v>474.92999999999995</v>
          </cell>
          <cell r="J4294">
            <v>0</v>
          </cell>
          <cell r="K4294">
            <v>0</v>
          </cell>
          <cell r="M4294">
            <v>0</v>
          </cell>
          <cell r="P4294">
            <v>475</v>
          </cell>
          <cell r="V4294" t="str">
            <v>Available</v>
          </cell>
        </row>
        <row r="4295">
          <cell r="E4295">
            <v>10530033</v>
          </cell>
          <cell r="H4295">
            <v>37.669999999999995</v>
          </cell>
          <cell r="I4295">
            <v>1550.4600000000003</v>
          </cell>
          <cell r="J4295">
            <v>0</v>
          </cell>
          <cell r="K4295">
            <v>0</v>
          </cell>
          <cell r="M4295">
            <v>0</v>
          </cell>
          <cell r="P4295">
            <v>1550</v>
          </cell>
          <cell r="V4295" t="str">
            <v>Available</v>
          </cell>
        </row>
        <row r="4296">
          <cell r="E4296">
            <v>10530033</v>
          </cell>
          <cell r="H4296">
            <v>26.349999999999998</v>
          </cell>
          <cell r="I4296">
            <v>1126.6400000000001</v>
          </cell>
          <cell r="J4296">
            <v>0</v>
          </cell>
          <cell r="K4296">
            <v>0</v>
          </cell>
          <cell r="M4296">
            <v>0</v>
          </cell>
          <cell r="P4296">
            <v>1127</v>
          </cell>
          <cell r="V4296" t="str">
            <v>Available</v>
          </cell>
        </row>
        <row r="4297">
          <cell r="E4297">
            <v>10530033</v>
          </cell>
          <cell r="H4297">
            <v>1.56</v>
          </cell>
          <cell r="I4297">
            <v>69.61</v>
          </cell>
          <cell r="J4297">
            <v>0</v>
          </cell>
          <cell r="K4297">
            <v>0</v>
          </cell>
          <cell r="M4297">
            <v>0</v>
          </cell>
          <cell r="P4297">
            <v>70</v>
          </cell>
          <cell r="V4297" t="str">
            <v>Available</v>
          </cell>
        </row>
        <row r="4298">
          <cell r="E4298">
            <v>10530033</v>
          </cell>
          <cell r="H4298">
            <v>1.32</v>
          </cell>
          <cell r="I4298">
            <v>56.15</v>
          </cell>
          <cell r="J4298">
            <v>0</v>
          </cell>
          <cell r="K4298">
            <v>0</v>
          </cell>
          <cell r="M4298">
            <v>0</v>
          </cell>
          <cell r="P4298">
            <v>56</v>
          </cell>
          <cell r="V4298" t="str">
            <v>Available</v>
          </cell>
        </row>
        <row r="4299">
          <cell r="E4299">
            <v>10530033</v>
          </cell>
          <cell r="H4299">
            <v>60.589999999999996</v>
          </cell>
          <cell r="I4299">
            <v>2131.5100000000002</v>
          </cell>
          <cell r="J4299">
            <v>0</v>
          </cell>
          <cell r="K4299">
            <v>0</v>
          </cell>
          <cell r="M4299">
            <v>0</v>
          </cell>
          <cell r="P4299">
            <v>2132</v>
          </cell>
          <cell r="V4299" t="str">
            <v>Available</v>
          </cell>
        </row>
        <row r="4300">
          <cell r="E4300">
            <v>10530033</v>
          </cell>
          <cell r="H4300">
            <v>15.52</v>
          </cell>
          <cell r="I4300">
            <v>1091.9499999999998</v>
          </cell>
          <cell r="J4300">
            <v>0</v>
          </cell>
          <cell r="K4300">
            <v>0</v>
          </cell>
          <cell r="M4300">
            <v>0</v>
          </cell>
          <cell r="P4300">
            <v>1092</v>
          </cell>
          <cell r="V4300" t="str">
            <v>Available</v>
          </cell>
        </row>
        <row r="4301">
          <cell r="E4301">
            <v>10530033</v>
          </cell>
          <cell r="H4301">
            <v>89.690000000000012</v>
          </cell>
          <cell r="I4301">
            <v>3713.3800000000006</v>
          </cell>
          <cell r="J4301">
            <v>0</v>
          </cell>
          <cell r="K4301">
            <v>0</v>
          </cell>
          <cell r="M4301">
            <v>0</v>
          </cell>
          <cell r="P4301">
            <v>3713</v>
          </cell>
          <cell r="V4301" t="str">
            <v>Available</v>
          </cell>
        </row>
        <row r="4302">
          <cell r="E4302">
            <v>10530033</v>
          </cell>
          <cell r="H4302">
            <v>49.89</v>
          </cell>
          <cell r="I4302">
            <v>3338.93</v>
          </cell>
          <cell r="J4302">
            <v>0</v>
          </cell>
          <cell r="K4302">
            <v>0</v>
          </cell>
          <cell r="M4302">
            <v>0</v>
          </cell>
          <cell r="P4302">
            <v>3339</v>
          </cell>
          <cell r="V4302" t="str">
            <v>Available</v>
          </cell>
        </row>
        <row r="4303">
          <cell r="E4303">
            <v>10530033</v>
          </cell>
          <cell r="H4303">
            <v>9.379999999999999</v>
          </cell>
          <cell r="I4303">
            <v>541.29999999999995</v>
          </cell>
          <cell r="J4303">
            <v>0</v>
          </cell>
          <cell r="K4303">
            <v>0</v>
          </cell>
          <cell r="M4303">
            <v>0</v>
          </cell>
          <cell r="P4303">
            <v>541</v>
          </cell>
          <cell r="V4303" t="str">
            <v>Available</v>
          </cell>
        </row>
        <row r="4304">
          <cell r="E4304">
            <v>10530033</v>
          </cell>
          <cell r="H4304">
            <v>9.42</v>
          </cell>
          <cell r="I4304">
            <v>414.36</v>
          </cell>
          <cell r="J4304">
            <v>0</v>
          </cell>
          <cell r="K4304">
            <v>0</v>
          </cell>
          <cell r="M4304">
            <v>0</v>
          </cell>
          <cell r="P4304">
            <v>414</v>
          </cell>
          <cell r="V4304" t="str">
            <v>Available</v>
          </cell>
        </row>
        <row r="4305">
          <cell r="E4305">
            <v>10530033</v>
          </cell>
          <cell r="H4305">
            <v>41.320000000000007</v>
          </cell>
          <cell r="I4305">
            <v>1483.88</v>
          </cell>
          <cell r="J4305">
            <v>0</v>
          </cell>
          <cell r="K4305">
            <v>0</v>
          </cell>
          <cell r="M4305">
            <v>0</v>
          </cell>
          <cell r="P4305">
            <v>1484</v>
          </cell>
          <cell r="V4305" t="str">
            <v>Available</v>
          </cell>
        </row>
        <row r="4306">
          <cell r="E4306">
            <v>10530033</v>
          </cell>
          <cell r="H4306">
            <v>27.81</v>
          </cell>
          <cell r="I4306">
            <v>1650.5900000000001</v>
          </cell>
          <cell r="J4306">
            <v>0</v>
          </cell>
          <cell r="K4306">
            <v>0</v>
          </cell>
          <cell r="M4306">
            <v>0</v>
          </cell>
          <cell r="P4306">
            <v>1651</v>
          </cell>
          <cell r="V4306" t="str">
            <v>Available</v>
          </cell>
        </row>
        <row r="4307">
          <cell r="E4307">
            <v>10530033</v>
          </cell>
          <cell r="H4307">
            <v>34.130000000000003</v>
          </cell>
          <cell r="I4307">
            <v>1503.1499999999996</v>
          </cell>
          <cell r="J4307">
            <v>0</v>
          </cell>
          <cell r="K4307">
            <v>0</v>
          </cell>
          <cell r="M4307">
            <v>0</v>
          </cell>
          <cell r="P4307">
            <v>1503</v>
          </cell>
          <cell r="V4307" t="str">
            <v>Available</v>
          </cell>
        </row>
        <row r="4308">
          <cell r="E4308">
            <v>10530033</v>
          </cell>
          <cell r="H4308">
            <v>57.940000000000005</v>
          </cell>
          <cell r="I4308">
            <v>2275.4499999999998</v>
          </cell>
          <cell r="J4308">
            <v>0</v>
          </cell>
          <cell r="K4308">
            <v>0</v>
          </cell>
          <cell r="M4308">
            <v>0</v>
          </cell>
          <cell r="P4308">
            <v>2275</v>
          </cell>
          <cell r="V4308" t="str">
            <v>Available</v>
          </cell>
        </row>
        <row r="4309">
          <cell r="E4309">
            <v>10530033</v>
          </cell>
          <cell r="H4309">
            <v>17.350000000000001</v>
          </cell>
          <cell r="I4309">
            <v>1155.72</v>
          </cell>
          <cell r="J4309">
            <v>0</v>
          </cell>
          <cell r="K4309">
            <v>0</v>
          </cell>
          <cell r="M4309">
            <v>0</v>
          </cell>
          <cell r="P4309">
            <v>1156</v>
          </cell>
          <cell r="V4309" t="str">
            <v>Available</v>
          </cell>
        </row>
        <row r="4310">
          <cell r="E4310">
            <v>10530033</v>
          </cell>
          <cell r="H4310">
            <v>26.61</v>
          </cell>
          <cell r="I4310">
            <v>1625.5800000000002</v>
          </cell>
          <cell r="J4310">
            <v>0</v>
          </cell>
          <cell r="K4310">
            <v>0</v>
          </cell>
          <cell r="M4310">
            <v>0</v>
          </cell>
          <cell r="P4310">
            <v>1626</v>
          </cell>
          <cell r="V4310" t="str">
            <v>Available</v>
          </cell>
        </row>
        <row r="4311">
          <cell r="E4311">
            <v>10530033</v>
          </cell>
          <cell r="H4311">
            <v>38.520000000000003</v>
          </cell>
          <cell r="I4311">
            <v>1482.5</v>
          </cell>
          <cell r="J4311">
            <v>0</v>
          </cell>
          <cell r="K4311">
            <v>0</v>
          </cell>
          <cell r="M4311">
            <v>0</v>
          </cell>
          <cell r="P4311">
            <v>1483</v>
          </cell>
          <cell r="V4311" t="str">
            <v>Available</v>
          </cell>
        </row>
        <row r="4312">
          <cell r="E4312">
            <v>10530033</v>
          </cell>
          <cell r="H4312">
            <v>18.560000000000002</v>
          </cell>
          <cell r="I4312">
            <v>626.9</v>
          </cell>
          <cell r="J4312">
            <v>0</v>
          </cell>
          <cell r="K4312">
            <v>0</v>
          </cell>
          <cell r="M4312">
            <v>0</v>
          </cell>
          <cell r="P4312">
            <v>627</v>
          </cell>
          <cell r="V4312" t="str">
            <v>Available</v>
          </cell>
        </row>
        <row r="4313">
          <cell r="E4313">
            <v>10530033</v>
          </cell>
          <cell r="H4313">
            <v>35.78</v>
          </cell>
          <cell r="I4313">
            <v>1432.09</v>
          </cell>
          <cell r="J4313">
            <v>0</v>
          </cell>
          <cell r="K4313">
            <v>0</v>
          </cell>
          <cell r="M4313">
            <v>0</v>
          </cell>
          <cell r="P4313">
            <v>1432</v>
          </cell>
          <cell r="V4313" t="str">
            <v>Available</v>
          </cell>
        </row>
        <row r="4314">
          <cell r="E4314">
            <v>10530034</v>
          </cell>
          <cell r="H4314">
            <v>346.11999999999995</v>
          </cell>
          <cell r="I4314">
            <v>20347.23</v>
          </cell>
          <cell r="J4314">
            <v>0</v>
          </cell>
          <cell r="K4314">
            <v>0</v>
          </cell>
          <cell r="M4314">
            <v>0</v>
          </cell>
          <cell r="P4314">
            <v>20347</v>
          </cell>
          <cell r="V4314" t="str">
            <v>Available</v>
          </cell>
        </row>
        <row r="4315">
          <cell r="E4315">
            <v>10530034</v>
          </cell>
          <cell r="H4315">
            <v>27.949999999999996</v>
          </cell>
          <cell r="I4315">
            <v>1530.95</v>
          </cell>
          <cell r="J4315">
            <v>0</v>
          </cell>
          <cell r="K4315">
            <v>0</v>
          </cell>
          <cell r="M4315">
            <v>259</v>
          </cell>
          <cell r="P4315">
            <v>1272</v>
          </cell>
          <cell r="V4315" t="str">
            <v>Available</v>
          </cell>
        </row>
        <row r="4316">
          <cell r="E4316">
            <v>10530034</v>
          </cell>
          <cell r="H4316">
            <v>85.240000000000009</v>
          </cell>
          <cell r="I4316">
            <v>4067.0599999999995</v>
          </cell>
          <cell r="J4316">
            <v>0</v>
          </cell>
          <cell r="K4316">
            <v>0</v>
          </cell>
          <cell r="M4316">
            <v>259</v>
          </cell>
          <cell r="P4316">
            <v>3808</v>
          </cell>
          <cell r="V4316" t="str">
            <v>Available</v>
          </cell>
        </row>
        <row r="4317">
          <cell r="E4317">
            <v>10530034</v>
          </cell>
          <cell r="H4317">
            <v>97.72</v>
          </cell>
          <cell r="I4317">
            <v>4529.24</v>
          </cell>
          <cell r="J4317">
            <v>0</v>
          </cell>
          <cell r="K4317">
            <v>0</v>
          </cell>
          <cell r="M4317">
            <v>1554</v>
          </cell>
          <cell r="P4317">
            <v>2975</v>
          </cell>
          <cell r="V4317" t="str">
            <v>Available</v>
          </cell>
        </row>
        <row r="4318">
          <cell r="E4318">
            <v>10530034</v>
          </cell>
          <cell r="H4318">
            <v>35.740000000000009</v>
          </cell>
          <cell r="I4318">
            <v>2000.0699999999997</v>
          </cell>
          <cell r="J4318">
            <v>0</v>
          </cell>
          <cell r="K4318">
            <v>0</v>
          </cell>
          <cell r="M4318">
            <v>0</v>
          </cell>
          <cell r="P4318">
            <v>2000</v>
          </cell>
          <cell r="V4318" t="str">
            <v>Available</v>
          </cell>
        </row>
        <row r="4319">
          <cell r="E4319">
            <v>10530034</v>
          </cell>
          <cell r="H4319">
            <v>11.3</v>
          </cell>
          <cell r="I4319">
            <v>854.1099999999999</v>
          </cell>
          <cell r="J4319">
            <v>0</v>
          </cell>
          <cell r="K4319">
            <v>0</v>
          </cell>
          <cell r="M4319">
            <v>0</v>
          </cell>
          <cell r="P4319">
            <v>854</v>
          </cell>
          <cell r="V4319" t="str">
            <v>Available</v>
          </cell>
        </row>
        <row r="4320">
          <cell r="E4320">
            <v>10530034</v>
          </cell>
          <cell r="H4320">
            <v>32.799999999999997</v>
          </cell>
          <cell r="I4320">
            <v>1598.56</v>
          </cell>
          <cell r="J4320">
            <v>0</v>
          </cell>
          <cell r="K4320">
            <v>0</v>
          </cell>
          <cell r="M4320">
            <v>0</v>
          </cell>
          <cell r="P4320">
            <v>1599</v>
          </cell>
          <cell r="V4320" t="str">
            <v>Available</v>
          </cell>
        </row>
        <row r="4321">
          <cell r="E4321">
            <v>10530034</v>
          </cell>
          <cell r="H4321">
            <v>11</v>
          </cell>
          <cell r="I4321">
            <v>446.52</v>
          </cell>
          <cell r="J4321">
            <v>0</v>
          </cell>
          <cell r="K4321">
            <v>0</v>
          </cell>
          <cell r="M4321">
            <v>0</v>
          </cell>
          <cell r="P4321">
            <v>447</v>
          </cell>
          <cell r="V4321" t="str">
            <v>Available</v>
          </cell>
        </row>
        <row r="4322">
          <cell r="E4322">
            <v>10530034</v>
          </cell>
          <cell r="H4322">
            <v>19.350000000000001</v>
          </cell>
          <cell r="I4322">
            <v>1256.67</v>
          </cell>
          <cell r="J4322">
            <v>0</v>
          </cell>
          <cell r="K4322">
            <v>0</v>
          </cell>
          <cell r="M4322">
            <v>0</v>
          </cell>
          <cell r="P4322">
            <v>1257</v>
          </cell>
          <cell r="V4322" t="str">
            <v>Available</v>
          </cell>
        </row>
        <row r="4323">
          <cell r="E4323">
            <v>10530034</v>
          </cell>
          <cell r="H4323">
            <v>84.88000000000001</v>
          </cell>
          <cell r="I4323">
            <v>4582.58</v>
          </cell>
          <cell r="J4323">
            <v>0</v>
          </cell>
          <cell r="K4323">
            <v>0</v>
          </cell>
          <cell r="M4323">
            <v>0</v>
          </cell>
          <cell r="P4323">
            <v>4583</v>
          </cell>
          <cell r="V4323" t="str">
            <v>Available</v>
          </cell>
        </row>
        <row r="4324">
          <cell r="E4324">
            <v>10530034</v>
          </cell>
          <cell r="H4324">
            <v>44.63</v>
          </cell>
          <cell r="I4324">
            <v>1807.4099999999999</v>
          </cell>
          <cell r="J4324">
            <v>0</v>
          </cell>
          <cell r="K4324">
            <v>0</v>
          </cell>
          <cell r="M4324">
            <v>424</v>
          </cell>
          <cell r="P4324">
            <v>1383</v>
          </cell>
          <cell r="V4324" t="str">
            <v>Available</v>
          </cell>
        </row>
        <row r="4325">
          <cell r="E4325">
            <v>10530034</v>
          </cell>
          <cell r="H4325">
            <v>44.269999999999996</v>
          </cell>
          <cell r="I4325">
            <v>2636.2100000000005</v>
          </cell>
          <cell r="J4325">
            <v>0</v>
          </cell>
          <cell r="K4325">
            <v>0</v>
          </cell>
          <cell r="M4325">
            <v>0</v>
          </cell>
          <cell r="P4325">
            <v>2636</v>
          </cell>
          <cell r="V4325" t="str">
            <v>Available</v>
          </cell>
        </row>
        <row r="4326">
          <cell r="E4326">
            <v>10530034</v>
          </cell>
          <cell r="H4326">
            <v>107.16999999999999</v>
          </cell>
          <cell r="I4326">
            <v>4227.01</v>
          </cell>
          <cell r="J4326">
            <v>0</v>
          </cell>
          <cell r="K4326">
            <v>0</v>
          </cell>
          <cell r="M4326">
            <v>0</v>
          </cell>
          <cell r="P4326">
            <v>4227</v>
          </cell>
          <cell r="V4326" t="str">
            <v>Available</v>
          </cell>
        </row>
        <row r="4327">
          <cell r="E4327">
            <v>10530034</v>
          </cell>
          <cell r="H4327">
            <v>16.649999999999999</v>
          </cell>
          <cell r="I4327">
            <v>732.25</v>
          </cell>
          <cell r="J4327">
            <v>0</v>
          </cell>
          <cell r="K4327">
            <v>0</v>
          </cell>
          <cell r="M4327">
            <v>0</v>
          </cell>
          <cell r="P4327">
            <v>732</v>
          </cell>
          <cell r="V4327" t="str">
            <v>Available</v>
          </cell>
        </row>
        <row r="4328">
          <cell r="E4328">
            <v>10530034</v>
          </cell>
          <cell r="H4328">
            <v>37.96</v>
          </cell>
          <cell r="I4328">
            <v>1608.2500000000002</v>
          </cell>
          <cell r="J4328">
            <v>0</v>
          </cell>
          <cell r="K4328">
            <v>0</v>
          </cell>
          <cell r="M4328">
            <v>0</v>
          </cell>
          <cell r="P4328">
            <v>1608</v>
          </cell>
          <cell r="V4328" t="str">
            <v>Available</v>
          </cell>
        </row>
        <row r="4329">
          <cell r="E4329">
            <v>10530034</v>
          </cell>
          <cell r="H4329">
            <v>8.6199999999999992</v>
          </cell>
          <cell r="I4329">
            <v>306.21999999999997</v>
          </cell>
          <cell r="J4329">
            <v>0</v>
          </cell>
          <cell r="K4329">
            <v>0</v>
          </cell>
          <cell r="M4329">
            <v>0</v>
          </cell>
          <cell r="P4329">
            <v>306</v>
          </cell>
          <cell r="V4329" t="str">
            <v>Available</v>
          </cell>
        </row>
        <row r="4330">
          <cell r="E4330">
            <v>10530034</v>
          </cell>
          <cell r="H4330">
            <v>77.77</v>
          </cell>
          <cell r="I4330">
            <v>4577.09</v>
          </cell>
          <cell r="J4330">
            <v>0</v>
          </cell>
          <cell r="K4330">
            <v>0</v>
          </cell>
          <cell r="M4330">
            <v>424</v>
          </cell>
          <cell r="P4330">
            <v>4153</v>
          </cell>
          <cell r="V4330" t="str">
            <v>Available</v>
          </cell>
        </row>
        <row r="4331">
          <cell r="E4331">
            <v>10530034</v>
          </cell>
          <cell r="H4331">
            <v>18.950000000000003</v>
          </cell>
          <cell r="I4331">
            <v>786.96999999999991</v>
          </cell>
          <cell r="J4331">
            <v>0</v>
          </cell>
          <cell r="K4331">
            <v>0</v>
          </cell>
          <cell r="M4331">
            <v>0</v>
          </cell>
          <cell r="P4331">
            <v>787</v>
          </cell>
          <cell r="V4331" t="str">
            <v>Available</v>
          </cell>
        </row>
        <row r="4332">
          <cell r="E4332">
            <v>10530034</v>
          </cell>
          <cell r="H4332">
            <v>53.75</v>
          </cell>
          <cell r="I4332">
            <v>2940.0899999999997</v>
          </cell>
          <cell r="J4332">
            <v>0</v>
          </cell>
          <cell r="K4332">
            <v>0</v>
          </cell>
          <cell r="M4332">
            <v>165</v>
          </cell>
          <cell r="P4332">
            <v>2775</v>
          </cell>
          <cell r="V4332" t="str">
            <v>Available</v>
          </cell>
        </row>
        <row r="4333">
          <cell r="E4333">
            <v>10530034</v>
          </cell>
          <cell r="H4333">
            <v>26.370000000000005</v>
          </cell>
          <cell r="I4333">
            <v>988.86</v>
          </cell>
          <cell r="J4333">
            <v>0</v>
          </cell>
          <cell r="K4333">
            <v>0</v>
          </cell>
          <cell r="M4333">
            <v>424</v>
          </cell>
          <cell r="P4333">
            <v>565</v>
          </cell>
          <cell r="V4333" t="str">
            <v>Available</v>
          </cell>
        </row>
        <row r="4334">
          <cell r="E4334">
            <v>10530034</v>
          </cell>
          <cell r="H4334">
            <v>13.09</v>
          </cell>
          <cell r="I4334">
            <v>672.1099999999999</v>
          </cell>
          <cell r="J4334">
            <v>0</v>
          </cell>
          <cell r="K4334">
            <v>0</v>
          </cell>
          <cell r="M4334">
            <v>259</v>
          </cell>
          <cell r="P4334">
            <v>413</v>
          </cell>
          <cell r="V4334" t="str">
            <v>Available</v>
          </cell>
        </row>
        <row r="4335">
          <cell r="E4335">
            <v>10530034</v>
          </cell>
          <cell r="H4335">
            <v>74.83</v>
          </cell>
          <cell r="I4335">
            <v>4823.2499999999991</v>
          </cell>
          <cell r="J4335">
            <v>0</v>
          </cell>
          <cell r="K4335">
            <v>0</v>
          </cell>
          <cell r="M4335">
            <v>777</v>
          </cell>
          <cell r="P4335">
            <v>4046</v>
          </cell>
          <cell r="V4335" t="str">
            <v>Available</v>
          </cell>
        </row>
        <row r="4336">
          <cell r="E4336">
            <v>10530034</v>
          </cell>
          <cell r="H4336">
            <v>26.610000000000003</v>
          </cell>
          <cell r="I4336">
            <v>2062.1499999999996</v>
          </cell>
          <cell r="J4336">
            <v>0</v>
          </cell>
          <cell r="K4336">
            <v>0</v>
          </cell>
          <cell r="M4336">
            <v>0</v>
          </cell>
          <cell r="P4336">
            <v>2062</v>
          </cell>
          <cell r="V4336" t="str">
            <v>Available</v>
          </cell>
        </row>
        <row r="4337">
          <cell r="E4337">
            <v>10530034</v>
          </cell>
          <cell r="H4337">
            <v>64.61</v>
          </cell>
          <cell r="I4337">
            <v>2548.5</v>
          </cell>
          <cell r="J4337">
            <v>0</v>
          </cell>
          <cell r="K4337">
            <v>0</v>
          </cell>
          <cell r="M4337">
            <v>1554</v>
          </cell>
          <cell r="P4337">
            <v>995</v>
          </cell>
          <cell r="V4337" t="str">
            <v>Available</v>
          </cell>
        </row>
        <row r="4338">
          <cell r="E4338">
            <v>10530034</v>
          </cell>
          <cell r="H4338">
            <v>35.33</v>
          </cell>
          <cell r="I4338">
            <v>1430.01</v>
          </cell>
          <cell r="J4338">
            <v>0</v>
          </cell>
          <cell r="K4338">
            <v>0</v>
          </cell>
          <cell r="M4338">
            <v>0</v>
          </cell>
          <cell r="P4338">
            <v>1430</v>
          </cell>
          <cell r="V4338" t="str">
            <v>Available</v>
          </cell>
        </row>
        <row r="4339">
          <cell r="E4339">
            <v>10530034</v>
          </cell>
          <cell r="H4339">
            <v>7.42</v>
          </cell>
          <cell r="I4339">
            <v>289.81</v>
          </cell>
          <cell r="J4339">
            <v>0</v>
          </cell>
          <cell r="K4339">
            <v>0</v>
          </cell>
          <cell r="M4339">
            <v>0</v>
          </cell>
          <cell r="P4339">
            <v>290</v>
          </cell>
          <cell r="V4339" t="str">
            <v>Available</v>
          </cell>
        </row>
        <row r="4340">
          <cell r="E4340">
            <v>10530034</v>
          </cell>
          <cell r="H4340">
            <v>17</v>
          </cell>
          <cell r="I4340">
            <v>888.59999999999991</v>
          </cell>
          <cell r="J4340">
            <v>0</v>
          </cell>
          <cell r="K4340">
            <v>0</v>
          </cell>
          <cell r="M4340">
            <v>0</v>
          </cell>
          <cell r="P4340">
            <v>889</v>
          </cell>
          <cell r="V4340" t="str">
            <v>Available</v>
          </cell>
        </row>
        <row r="4341">
          <cell r="E4341">
            <v>10530034</v>
          </cell>
          <cell r="H4341">
            <v>33.480000000000004</v>
          </cell>
          <cell r="I4341">
            <v>1869.4699999999998</v>
          </cell>
          <cell r="J4341">
            <v>0</v>
          </cell>
          <cell r="K4341">
            <v>0</v>
          </cell>
          <cell r="M4341">
            <v>259</v>
          </cell>
          <cell r="P4341">
            <v>1610</v>
          </cell>
          <cell r="V4341" t="str">
            <v>Available</v>
          </cell>
        </row>
        <row r="4342">
          <cell r="E4342">
            <v>10530034</v>
          </cell>
          <cell r="H4342">
            <v>15.24</v>
          </cell>
          <cell r="I4342">
            <v>881.4</v>
          </cell>
          <cell r="J4342">
            <v>0</v>
          </cell>
          <cell r="K4342">
            <v>0</v>
          </cell>
          <cell r="M4342">
            <v>0</v>
          </cell>
          <cell r="P4342">
            <v>881</v>
          </cell>
          <cell r="V4342" t="str">
            <v>Available</v>
          </cell>
        </row>
        <row r="4343">
          <cell r="E4343">
            <v>10530034</v>
          </cell>
          <cell r="H4343">
            <v>33.51</v>
          </cell>
          <cell r="I4343">
            <v>1473.0400000000004</v>
          </cell>
          <cell r="J4343">
            <v>0</v>
          </cell>
          <cell r="K4343">
            <v>0</v>
          </cell>
          <cell r="M4343">
            <v>0</v>
          </cell>
          <cell r="P4343">
            <v>1473</v>
          </cell>
          <cell r="V4343" t="str">
            <v>Available</v>
          </cell>
        </row>
        <row r="4344">
          <cell r="E4344">
            <v>10530034</v>
          </cell>
          <cell r="H4344">
            <v>40.33</v>
          </cell>
          <cell r="I4344">
            <v>2446.88</v>
          </cell>
          <cell r="J4344">
            <v>0</v>
          </cell>
          <cell r="K4344">
            <v>0</v>
          </cell>
          <cell r="M4344">
            <v>777</v>
          </cell>
          <cell r="P4344">
            <v>1670</v>
          </cell>
          <cell r="V4344" t="str">
            <v>Available</v>
          </cell>
        </row>
        <row r="4345">
          <cell r="E4345">
            <v>10530034</v>
          </cell>
          <cell r="H4345">
            <v>101.21</v>
          </cell>
          <cell r="I4345">
            <v>5758.1900000000005</v>
          </cell>
          <cell r="J4345">
            <v>0</v>
          </cell>
          <cell r="K4345">
            <v>0</v>
          </cell>
          <cell r="M4345">
            <v>0</v>
          </cell>
          <cell r="P4345">
            <v>5758</v>
          </cell>
          <cell r="V4345" t="str">
            <v>Available</v>
          </cell>
        </row>
        <row r="4346">
          <cell r="E4346">
            <v>10530034</v>
          </cell>
          <cell r="H4346">
            <v>18.119999999999997</v>
          </cell>
          <cell r="I4346">
            <v>1515.94</v>
          </cell>
          <cell r="J4346">
            <v>0</v>
          </cell>
          <cell r="K4346">
            <v>0</v>
          </cell>
          <cell r="M4346">
            <v>0</v>
          </cell>
          <cell r="P4346">
            <v>1516</v>
          </cell>
          <cell r="V4346" t="str">
            <v>Available</v>
          </cell>
        </row>
        <row r="4347">
          <cell r="E4347">
            <v>10530034</v>
          </cell>
          <cell r="H4347">
            <v>24.770000000000003</v>
          </cell>
          <cell r="I4347">
            <v>1143</v>
          </cell>
          <cell r="J4347">
            <v>0</v>
          </cell>
          <cell r="K4347">
            <v>0</v>
          </cell>
          <cell r="M4347">
            <v>0</v>
          </cell>
          <cell r="P4347">
            <v>1143</v>
          </cell>
          <cell r="V4347" t="str">
            <v>Available</v>
          </cell>
        </row>
        <row r="4348">
          <cell r="E4348">
            <v>10530034</v>
          </cell>
          <cell r="H4348">
            <v>25</v>
          </cell>
          <cell r="I4348">
            <v>1282.76</v>
          </cell>
          <cell r="J4348">
            <v>0</v>
          </cell>
          <cell r="K4348">
            <v>0</v>
          </cell>
          <cell r="M4348">
            <v>0</v>
          </cell>
          <cell r="P4348">
            <v>1283</v>
          </cell>
          <cell r="V4348" t="str">
            <v>Available</v>
          </cell>
        </row>
        <row r="4349">
          <cell r="E4349">
            <v>10530034</v>
          </cell>
          <cell r="H4349">
            <v>28.1</v>
          </cell>
          <cell r="I4349">
            <v>1334.8100000000002</v>
          </cell>
          <cell r="J4349">
            <v>0</v>
          </cell>
          <cell r="K4349">
            <v>0</v>
          </cell>
          <cell r="M4349">
            <v>259</v>
          </cell>
          <cell r="P4349">
            <v>1076</v>
          </cell>
          <cell r="V4349" t="str">
            <v>Available</v>
          </cell>
        </row>
        <row r="4350">
          <cell r="E4350">
            <v>10530034</v>
          </cell>
          <cell r="H4350">
            <v>17.45</v>
          </cell>
          <cell r="I4350">
            <v>1139.4099999999999</v>
          </cell>
          <cell r="J4350">
            <v>0</v>
          </cell>
          <cell r="K4350">
            <v>0</v>
          </cell>
          <cell r="M4350">
            <v>0</v>
          </cell>
          <cell r="P4350">
            <v>1139</v>
          </cell>
          <cell r="V4350" t="str">
            <v>Available</v>
          </cell>
        </row>
        <row r="4351">
          <cell r="E4351">
            <v>10530034</v>
          </cell>
          <cell r="H4351">
            <v>18.21</v>
          </cell>
          <cell r="I4351">
            <v>1461.62</v>
          </cell>
          <cell r="J4351">
            <v>0</v>
          </cell>
          <cell r="K4351">
            <v>0</v>
          </cell>
          <cell r="M4351">
            <v>259</v>
          </cell>
          <cell r="P4351">
            <v>1203</v>
          </cell>
          <cell r="V4351" t="str">
            <v>Available</v>
          </cell>
        </row>
        <row r="4352">
          <cell r="E4352">
            <v>10530034</v>
          </cell>
          <cell r="H4352">
            <v>10.74</v>
          </cell>
          <cell r="I4352">
            <v>516.09999999999991</v>
          </cell>
          <cell r="J4352">
            <v>0</v>
          </cell>
          <cell r="K4352">
            <v>0</v>
          </cell>
          <cell r="M4352">
            <v>0</v>
          </cell>
          <cell r="P4352">
            <v>516</v>
          </cell>
          <cell r="V4352" t="str">
            <v>Available</v>
          </cell>
        </row>
        <row r="4353">
          <cell r="E4353">
            <v>10530034</v>
          </cell>
          <cell r="H4353">
            <v>20.870000000000005</v>
          </cell>
          <cell r="I4353">
            <v>1440.67</v>
          </cell>
          <cell r="J4353">
            <v>0</v>
          </cell>
          <cell r="K4353">
            <v>0</v>
          </cell>
          <cell r="M4353">
            <v>0</v>
          </cell>
          <cell r="P4353">
            <v>1441</v>
          </cell>
          <cell r="V4353" t="str">
            <v>Available</v>
          </cell>
        </row>
        <row r="4354">
          <cell r="E4354">
            <v>10530034</v>
          </cell>
          <cell r="H4354">
            <v>18.840000000000003</v>
          </cell>
          <cell r="I4354">
            <v>984.92000000000007</v>
          </cell>
          <cell r="J4354">
            <v>0</v>
          </cell>
          <cell r="K4354">
            <v>0</v>
          </cell>
          <cell r="M4354">
            <v>0</v>
          </cell>
          <cell r="P4354">
            <v>985</v>
          </cell>
          <cell r="V4354" t="str">
            <v>Available</v>
          </cell>
        </row>
        <row r="4355">
          <cell r="E4355">
            <v>10530034</v>
          </cell>
          <cell r="H4355">
            <v>23.159999999999997</v>
          </cell>
          <cell r="I4355">
            <v>1346.2499999999998</v>
          </cell>
          <cell r="J4355">
            <v>0</v>
          </cell>
          <cell r="K4355">
            <v>0</v>
          </cell>
          <cell r="M4355">
            <v>0</v>
          </cell>
          <cell r="P4355">
            <v>1346</v>
          </cell>
          <cell r="V4355" t="str">
            <v>Available</v>
          </cell>
        </row>
        <row r="4356">
          <cell r="E4356">
            <v>10530034</v>
          </cell>
          <cell r="H4356">
            <v>61.37</v>
          </cell>
          <cell r="I4356">
            <v>2728.6400000000003</v>
          </cell>
          <cell r="J4356">
            <v>0</v>
          </cell>
          <cell r="K4356">
            <v>0</v>
          </cell>
          <cell r="M4356">
            <v>0</v>
          </cell>
          <cell r="P4356">
            <v>2729</v>
          </cell>
          <cell r="V4356" t="str">
            <v>Available</v>
          </cell>
        </row>
        <row r="4357">
          <cell r="E4357">
            <v>10530034</v>
          </cell>
          <cell r="H4357">
            <v>40.75</v>
          </cell>
          <cell r="I4357">
            <v>2115.9499999999998</v>
          </cell>
          <cell r="J4357">
            <v>0</v>
          </cell>
          <cell r="K4357">
            <v>0</v>
          </cell>
          <cell r="M4357">
            <v>0</v>
          </cell>
          <cell r="P4357">
            <v>2116</v>
          </cell>
          <cell r="V4357" t="str">
            <v>Available</v>
          </cell>
        </row>
        <row r="4358">
          <cell r="E4358">
            <v>10530034</v>
          </cell>
          <cell r="H4358">
            <v>30.380000000000003</v>
          </cell>
          <cell r="I4358">
            <v>2007.41</v>
          </cell>
          <cell r="J4358">
            <v>0</v>
          </cell>
          <cell r="K4358">
            <v>0</v>
          </cell>
          <cell r="M4358">
            <v>165</v>
          </cell>
          <cell r="P4358">
            <v>1842</v>
          </cell>
          <cell r="V4358" t="str">
            <v>Available</v>
          </cell>
        </row>
        <row r="4359">
          <cell r="E4359">
            <v>10530034</v>
          </cell>
          <cell r="H4359">
            <v>23.69</v>
          </cell>
          <cell r="I4359">
            <v>879.59999999999991</v>
          </cell>
          <cell r="J4359">
            <v>0</v>
          </cell>
          <cell r="K4359">
            <v>0</v>
          </cell>
          <cell r="M4359">
            <v>0</v>
          </cell>
          <cell r="P4359">
            <v>880</v>
          </cell>
          <cell r="V4359" t="str">
            <v>Available</v>
          </cell>
        </row>
        <row r="4360">
          <cell r="E4360">
            <v>10530034</v>
          </cell>
          <cell r="H4360">
            <v>36.770000000000003</v>
          </cell>
          <cell r="I4360">
            <v>1987.0500000000002</v>
          </cell>
          <cell r="J4360">
            <v>0</v>
          </cell>
          <cell r="K4360">
            <v>0</v>
          </cell>
          <cell r="M4360">
            <v>259</v>
          </cell>
          <cell r="P4360">
            <v>1728</v>
          </cell>
          <cell r="V4360" t="str">
            <v>Available</v>
          </cell>
        </row>
        <row r="4361">
          <cell r="E4361">
            <v>10530034</v>
          </cell>
          <cell r="H4361">
            <v>42.699999999999989</v>
          </cell>
          <cell r="I4361">
            <v>2118.6000000000004</v>
          </cell>
          <cell r="J4361">
            <v>0</v>
          </cell>
          <cell r="K4361">
            <v>0</v>
          </cell>
          <cell r="M4361">
            <v>0</v>
          </cell>
          <cell r="P4361">
            <v>2119</v>
          </cell>
          <cell r="V4361" t="str">
            <v>Available</v>
          </cell>
        </row>
        <row r="4362">
          <cell r="E4362">
            <v>10530034</v>
          </cell>
          <cell r="H4362">
            <v>4.3</v>
          </cell>
          <cell r="I4362">
            <v>121.51</v>
          </cell>
          <cell r="J4362">
            <v>0</v>
          </cell>
          <cell r="K4362">
            <v>0</v>
          </cell>
          <cell r="M4362">
            <v>0</v>
          </cell>
          <cell r="P4362">
            <v>122</v>
          </cell>
          <cell r="V4362" t="str">
            <v>Available</v>
          </cell>
        </row>
        <row r="4363">
          <cell r="E4363">
            <v>10530034</v>
          </cell>
          <cell r="H4363">
            <v>42.63</v>
          </cell>
          <cell r="I4363">
            <v>1935.79</v>
          </cell>
          <cell r="J4363">
            <v>0</v>
          </cell>
          <cell r="K4363">
            <v>0</v>
          </cell>
          <cell r="M4363">
            <v>165</v>
          </cell>
          <cell r="P4363">
            <v>1771</v>
          </cell>
          <cell r="V4363" t="str">
            <v>Available</v>
          </cell>
        </row>
        <row r="4364">
          <cell r="E4364">
            <v>10530034</v>
          </cell>
          <cell r="H4364">
            <v>25.849999999999994</v>
          </cell>
          <cell r="I4364">
            <v>1254.78</v>
          </cell>
          <cell r="J4364">
            <v>0</v>
          </cell>
          <cell r="K4364">
            <v>0</v>
          </cell>
          <cell r="M4364">
            <v>0</v>
          </cell>
          <cell r="P4364">
            <v>1255</v>
          </cell>
          <cell r="V4364" t="str">
            <v>Available</v>
          </cell>
        </row>
        <row r="4365">
          <cell r="E4365">
            <v>10530034</v>
          </cell>
          <cell r="H4365">
            <v>41.819999999999993</v>
          </cell>
          <cell r="I4365">
            <v>1877</v>
          </cell>
          <cell r="J4365">
            <v>0</v>
          </cell>
          <cell r="K4365">
            <v>0</v>
          </cell>
          <cell r="M4365">
            <v>0</v>
          </cell>
          <cell r="P4365">
            <v>1877</v>
          </cell>
          <cell r="V4365" t="str">
            <v>Available</v>
          </cell>
        </row>
        <row r="4366">
          <cell r="E4366">
            <v>10530034</v>
          </cell>
          <cell r="H4366">
            <v>20.72</v>
          </cell>
          <cell r="I4366">
            <v>921.85</v>
          </cell>
          <cell r="J4366">
            <v>0</v>
          </cell>
          <cell r="K4366">
            <v>0</v>
          </cell>
          <cell r="M4366">
            <v>0</v>
          </cell>
          <cell r="P4366">
            <v>922</v>
          </cell>
          <cell r="V4366" t="str">
            <v>Available</v>
          </cell>
        </row>
        <row r="4367">
          <cell r="E4367">
            <v>10530034</v>
          </cell>
          <cell r="H4367">
            <v>35.99</v>
          </cell>
          <cell r="I4367">
            <v>1789.12</v>
          </cell>
          <cell r="J4367">
            <v>0</v>
          </cell>
          <cell r="K4367">
            <v>0</v>
          </cell>
          <cell r="M4367">
            <v>0</v>
          </cell>
          <cell r="P4367">
            <v>1789</v>
          </cell>
          <cell r="V4367" t="str">
            <v>Available</v>
          </cell>
        </row>
        <row r="4368">
          <cell r="E4368">
            <v>10530035</v>
          </cell>
          <cell r="H4368">
            <v>26.25</v>
          </cell>
          <cell r="I4368">
            <v>1267.8</v>
          </cell>
          <cell r="J4368">
            <v>0</v>
          </cell>
          <cell r="K4368">
            <v>1267.8</v>
          </cell>
          <cell r="M4368">
            <v>0</v>
          </cell>
          <cell r="P4368">
            <v>0</v>
          </cell>
          <cell r="V4368" t="str">
            <v>Not Available</v>
          </cell>
        </row>
        <row r="4369">
          <cell r="E4369">
            <v>10530035</v>
          </cell>
          <cell r="H4369">
            <v>21.520000000000003</v>
          </cell>
          <cell r="I4369">
            <v>908.39</v>
          </cell>
          <cell r="J4369">
            <v>0</v>
          </cell>
          <cell r="K4369">
            <v>0</v>
          </cell>
          <cell r="M4369">
            <v>0</v>
          </cell>
          <cell r="P4369">
            <v>908</v>
          </cell>
          <cell r="V4369" t="str">
            <v>Available</v>
          </cell>
        </row>
        <row r="4370">
          <cell r="E4370">
            <v>10530035</v>
          </cell>
          <cell r="H4370">
            <v>31</v>
          </cell>
          <cell r="I4370">
            <v>1089.3</v>
          </cell>
          <cell r="J4370">
            <v>0</v>
          </cell>
          <cell r="K4370">
            <v>0</v>
          </cell>
          <cell r="M4370">
            <v>259</v>
          </cell>
          <cell r="P4370">
            <v>830</v>
          </cell>
          <cell r="V4370" t="str">
            <v>Available</v>
          </cell>
        </row>
        <row r="4371">
          <cell r="E4371">
            <v>10530035</v>
          </cell>
          <cell r="H4371">
            <v>26.15</v>
          </cell>
          <cell r="I4371">
            <v>1091.9100000000001</v>
          </cell>
          <cell r="J4371">
            <v>0</v>
          </cell>
          <cell r="K4371">
            <v>0</v>
          </cell>
          <cell r="M4371">
            <v>259</v>
          </cell>
          <cell r="P4371">
            <v>833</v>
          </cell>
          <cell r="V4371" t="str">
            <v>Available</v>
          </cell>
        </row>
        <row r="4372">
          <cell r="E4372">
            <v>10530035</v>
          </cell>
          <cell r="H4372">
            <v>67.22</v>
          </cell>
          <cell r="I4372">
            <v>3572.83</v>
          </cell>
          <cell r="J4372">
            <v>0</v>
          </cell>
          <cell r="K4372">
            <v>0</v>
          </cell>
          <cell r="M4372">
            <v>1554</v>
          </cell>
          <cell r="P4372">
            <v>2019</v>
          </cell>
          <cell r="V4372" t="str">
            <v>Available</v>
          </cell>
        </row>
        <row r="4373">
          <cell r="E4373">
            <v>10530035</v>
          </cell>
          <cell r="H4373">
            <v>4.7</v>
          </cell>
          <cell r="I4373">
            <v>152.41999999999999</v>
          </cell>
          <cell r="J4373">
            <v>0</v>
          </cell>
          <cell r="K4373">
            <v>0</v>
          </cell>
          <cell r="M4373">
            <v>0</v>
          </cell>
          <cell r="P4373">
            <v>152</v>
          </cell>
          <cell r="V4373" t="str">
            <v>Available</v>
          </cell>
        </row>
        <row r="4374">
          <cell r="E4374">
            <v>10530035</v>
          </cell>
          <cell r="H4374">
            <v>62.84</v>
          </cell>
          <cell r="I4374">
            <v>2120.46</v>
          </cell>
          <cell r="J4374">
            <v>0</v>
          </cell>
          <cell r="K4374">
            <v>0</v>
          </cell>
          <cell r="M4374">
            <v>259</v>
          </cell>
          <cell r="P4374">
            <v>1861</v>
          </cell>
          <cell r="V4374" t="str">
            <v>Available</v>
          </cell>
        </row>
        <row r="4375">
          <cell r="E4375">
            <v>10530035</v>
          </cell>
          <cell r="H4375">
            <v>16.510000000000002</v>
          </cell>
          <cell r="I4375">
            <v>776.30000000000007</v>
          </cell>
          <cell r="J4375">
            <v>0</v>
          </cell>
          <cell r="K4375">
            <v>0</v>
          </cell>
          <cell r="M4375">
            <v>0</v>
          </cell>
          <cell r="P4375">
            <v>776</v>
          </cell>
          <cell r="V4375" t="str">
            <v>Available</v>
          </cell>
        </row>
        <row r="4376">
          <cell r="E4376">
            <v>10530035</v>
          </cell>
          <cell r="H4376">
            <v>20.58</v>
          </cell>
          <cell r="I4376">
            <v>801.26</v>
          </cell>
          <cell r="J4376">
            <v>0</v>
          </cell>
          <cell r="K4376">
            <v>0</v>
          </cell>
          <cell r="M4376">
            <v>0</v>
          </cell>
          <cell r="P4376">
            <v>801</v>
          </cell>
          <cell r="V4376" t="str">
            <v>Available</v>
          </cell>
        </row>
        <row r="4377">
          <cell r="E4377">
            <v>10530035</v>
          </cell>
          <cell r="H4377">
            <v>18.700000000000003</v>
          </cell>
          <cell r="I4377">
            <v>866.42000000000007</v>
          </cell>
          <cell r="J4377">
            <v>0</v>
          </cell>
          <cell r="K4377">
            <v>0</v>
          </cell>
          <cell r="M4377">
            <v>0</v>
          </cell>
          <cell r="P4377">
            <v>866</v>
          </cell>
          <cell r="V4377" t="str">
            <v>Available</v>
          </cell>
        </row>
        <row r="4378">
          <cell r="E4378">
            <v>10530035</v>
          </cell>
          <cell r="H4378">
            <v>29.54</v>
          </cell>
          <cell r="I4378">
            <v>1049.18</v>
          </cell>
          <cell r="J4378">
            <v>0</v>
          </cell>
          <cell r="K4378">
            <v>0</v>
          </cell>
          <cell r="M4378">
            <v>0</v>
          </cell>
          <cell r="P4378">
            <v>1049</v>
          </cell>
          <cell r="V4378" t="str">
            <v>Available</v>
          </cell>
        </row>
        <row r="4379">
          <cell r="E4379">
            <v>10530035</v>
          </cell>
          <cell r="H4379">
            <v>73.760000000000005</v>
          </cell>
          <cell r="I4379">
            <v>4528.8700000000008</v>
          </cell>
          <cell r="J4379">
            <v>0</v>
          </cell>
          <cell r="K4379">
            <v>0</v>
          </cell>
          <cell r="M4379">
            <v>683</v>
          </cell>
          <cell r="P4379">
            <v>3846</v>
          </cell>
          <cell r="V4379" t="str">
            <v>Available</v>
          </cell>
        </row>
        <row r="4380">
          <cell r="E4380">
            <v>10530035</v>
          </cell>
          <cell r="H4380">
            <v>12.969999999999999</v>
          </cell>
          <cell r="I4380">
            <v>557.93999999999994</v>
          </cell>
          <cell r="J4380">
            <v>0</v>
          </cell>
          <cell r="K4380">
            <v>0</v>
          </cell>
          <cell r="M4380">
            <v>0</v>
          </cell>
          <cell r="P4380">
            <v>558</v>
          </cell>
          <cell r="V4380" t="str">
            <v>Available</v>
          </cell>
        </row>
        <row r="4381">
          <cell r="E4381">
            <v>10530035</v>
          </cell>
          <cell r="H4381">
            <v>30.630000000000003</v>
          </cell>
          <cell r="I4381">
            <v>1239.1299999999999</v>
          </cell>
          <cell r="J4381">
            <v>0</v>
          </cell>
          <cell r="K4381">
            <v>0</v>
          </cell>
          <cell r="M4381">
            <v>165</v>
          </cell>
          <cell r="P4381">
            <v>1074</v>
          </cell>
          <cell r="V4381" t="str">
            <v>Available</v>
          </cell>
        </row>
        <row r="4382">
          <cell r="E4382">
            <v>10530035</v>
          </cell>
          <cell r="H4382">
            <v>5.03</v>
          </cell>
          <cell r="I4382">
            <v>219.26</v>
          </cell>
          <cell r="J4382">
            <v>0</v>
          </cell>
          <cell r="K4382">
            <v>0</v>
          </cell>
          <cell r="M4382">
            <v>0</v>
          </cell>
          <cell r="P4382">
            <v>219</v>
          </cell>
          <cell r="V4382" t="str">
            <v>Available</v>
          </cell>
        </row>
        <row r="4383">
          <cell r="E4383">
            <v>10530035</v>
          </cell>
          <cell r="H4383">
            <v>22.51</v>
          </cell>
          <cell r="I4383">
            <v>1376.88</v>
          </cell>
          <cell r="J4383">
            <v>0</v>
          </cell>
          <cell r="K4383">
            <v>0</v>
          </cell>
          <cell r="M4383">
            <v>0</v>
          </cell>
          <cell r="P4383">
            <v>1377</v>
          </cell>
          <cell r="V4383" t="str">
            <v>Available</v>
          </cell>
        </row>
        <row r="4384">
          <cell r="E4384">
            <v>10530035</v>
          </cell>
          <cell r="H4384">
            <v>205.28000000000003</v>
          </cell>
          <cell r="I4384">
            <v>10623.33</v>
          </cell>
          <cell r="J4384">
            <v>0</v>
          </cell>
          <cell r="K4384">
            <v>0</v>
          </cell>
          <cell r="M4384">
            <v>0</v>
          </cell>
          <cell r="P4384">
            <v>10623</v>
          </cell>
          <cell r="V4384" t="str">
            <v>Available</v>
          </cell>
        </row>
        <row r="4385">
          <cell r="E4385">
            <v>10530035</v>
          </cell>
          <cell r="H4385">
            <v>29.900000000000006</v>
          </cell>
          <cell r="I4385">
            <v>1475.2200000000003</v>
          </cell>
          <cell r="J4385">
            <v>0</v>
          </cell>
          <cell r="K4385">
            <v>0</v>
          </cell>
          <cell r="M4385">
            <v>0</v>
          </cell>
          <cell r="P4385">
            <v>1475</v>
          </cell>
          <cell r="V4385" t="str">
            <v>Available</v>
          </cell>
        </row>
        <row r="4386">
          <cell r="E4386">
            <v>10530035</v>
          </cell>
          <cell r="H4386">
            <v>56.16</v>
          </cell>
          <cell r="I4386">
            <v>2335.7999999999997</v>
          </cell>
          <cell r="J4386">
            <v>0</v>
          </cell>
          <cell r="K4386">
            <v>0</v>
          </cell>
          <cell r="M4386">
            <v>0</v>
          </cell>
          <cell r="P4386">
            <v>2336</v>
          </cell>
          <cell r="V4386" t="str">
            <v>Available</v>
          </cell>
        </row>
        <row r="4387">
          <cell r="E4387">
            <v>10530035</v>
          </cell>
          <cell r="H4387">
            <v>48.82</v>
          </cell>
          <cell r="I4387">
            <v>2082.39</v>
          </cell>
          <cell r="J4387">
            <v>0</v>
          </cell>
          <cell r="K4387">
            <v>0</v>
          </cell>
          <cell r="M4387">
            <v>0</v>
          </cell>
          <cell r="P4387">
            <v>2082</v>
          </cell>
          <cell r="V4387" t="str">
            <v>Available</v>
          </cell>
        </row>
        <row r="4388">
          <cell r="E4388">
            <v>10530035</v>
          </cell>
          <cell r="H4388">
            <v>39.739999999999988</v>
          </cell>
          <cell r="I4388">
            <v>2352.25</v>
          </cell>
          <cell r="J4388">
            <v>0</v>
          </cell>
          <cell r="K4388">
            <v>0</v>
          </cell>
          <cell r="M4388">
            <v>0</v>
          </cell>
          <cell r="P4388">
            <v>2352</v>
          </cell>
          <cell r="V4388" t="str">
            <v>Available</v>
          </cell>
        </row>
        <row r="4389">
          <cell r="E4389">
            <v>10530040</v>
          </cell>
          <cell r="H4389">
            <v>35.93</v>
          </cell>
          <cell r="I4389">
            <v>1560.9899999999998</v>
          </cell>
          <cell r="J4389">
            <v>0</v>
          </cell>
          <cell r="K4389">
            <v>1560.9899999999998</v>
          </cell>
          <cell r="M4389">
            <v>0</v>
          </cell>
          <cell r="P4389">
            <v>0</v>
          </cell>
          <cell r="V4389" t="str">
            <v>Not Available</v>
          </cell>
        </row>
        <row r="4390">
          <cell r="E4390">
            <v>10530040</v>
          </cell>
          <cell r="H4390">
            <v>89.550000000000011</v>
          </cell>
          <cell r="I4390">
            <v>4278.29</v>
          </cell>
          <cell r="J4390">
            <v>0</v>
          </cell>
          <cell r="K4390">
            <v>0</v>
          </cell>
          <cell r="M4390">
            <v>0</v>
          </cell>
          <cell r="P4390">
            <v>4278</v>
          </cell>
          <cell r="V4390" t="str">
            <v>Available</v>
          </cell>
        </row>
        <row r="4391">
          <cell r="E4391">
            <v>10530040</v>
          </cell>
          <cell r="H4391">
            <v>281.03000000000003</v>
          </cell>
          <cell r="I4391">
            <v>12352.400000000001</v>
          </cell>
          <cell r="J4391">
            <v>0</v>
          </cell>
          <cell r="K4391">
            <v>0</v>
          </cell>
          <cell r="M4391">
            <v>4200</v>
          </cell>
          <cell r="P4391">
            <v>8152</v>
          </cell>
          <cell r="V4391" t="str">
            <v>Available</v>
          </cell>
        </row>
        <row r="4392">
          <cell r="E4392">
            <v>10530040</v>
          </cell>
          <cell r="H4392">
            <v>20.85</v>
          </cell>
          <cell r="I4392">
            <v>656.9899999999999</v>
          </cell>
          <cell r="J4392">
            <v>0</v>
          </cell>
          <cell r="K4392">
            <v>0</v>
          </cell>
          <cell r="M4392">
            <v>0</v>
          </cell>
          <cell r="P4392">
            <v>657</v>
          </cell>
          <cell r="V4392" t="str">
            <v>Available</v>
          </cell>
        </row>
        <row r="4393">
          <cell r="E4393">
            <v>10530040</v>
          </cell>
          <cell r="H4393">
            <v>23.02</v>
          </cell>
          <cell r="I4393">
            <v>1035.3599999999999</v>
          </cell>
          <cell r="J4393">
            <v>0</v>
          </cell>
          <cell r="K4393">
            <v>0</v>
          </cell>
          <cell r="M4393">
            <v>0</v>
          </cell>
          <cell r="P4393">
            <v>1035</v>
          </cell>
          <cell r="V4393" t="str">
            <v>Available</v>
          </cell>
        </row>
        <row r="4394">
          <cell r="E4394">
            <v>10530040</v>
          </cell>
          <cell r="H4394">
            <v>10.039999999999999</v>
          </cell>
          <cell r="I4394">
            <v>527.39999999999986</v>
          </cell>
          <cell r="J4394">
            <v>0</v>
          </cell>
          <cell r="K4394">
            <v>0</v>
          </cell>
          <cell r="M4394">
            <v>0</v>
          </cell>
          <cell r="P4394">
            <v>527</v>
          </cell>
          <cell r="V4394" t="str">
            <v>Available</v>
          </cell>
        </row>
        <row r="4395">
          <cell r="E4395">
            <v>10530040</v>
          </cell>
          <cell r="H4395">
            <v>34.28</v>
          </cell>
          <cell r="I4395">
            <v>1459.5399999999997</v>
          </cell>
          <cell r="J4395">
            <v>0</v>
          </cell>
          <cell r="K4395">
            <v>0</v>
          </cell>
          <cell r="M4395">
            <v>0</v>
          </cell>
          <cell r="P4395">
            <v>1460</v>
          </cell>
          <cell r="V4395" t="str">
            <v>Available</v>
          </cell>
        </row>
        <row r="4396">
          <cell r="E4396">
            <v>10530040</v>
          </cell>
          <cell r="H4396">
            <v>36.349999999999994</v>
          </cell>
          <cell r="I4396">
            <v>1984.3900000000003</v>
          </cell>
          <cell r="J4396">
            <v>0</v>
          </cell>
          <cell r="K4396">
            <v>0</v>
          </cell>
          <cell r="M4396">
            <v>0</v>
          </cell>
          <cell r="P4396">
            <v>1984</v>
          </cell>
          <cell r="V4396" t="str">
            <v>Available</v>
          </cell>
        </row>
        <row r="4397">
          <cell r="E4397">
            <v>10530040</v>
          </cell>
          <cell r="H4397">
            <v>67.63</v>
          </cell>
          <cell r="I4397">
            <v>2789.99</v>
          </cell>
          <cell r="J4397">
            <v>0</v>
          </cell>
          <cell r="K4397">
            <v>0</v>
          </cell>
          <cell r="M4397">
            <v>1400</v>
          </cell>
          <cell r="P4397">
            <v>1390</v>
          </cell>
          <cell r="V4397" t="str">
            <v>Available</v>
          </cell>
        </row>
        <row r="4398">
          <cell r="E4398">
            <v>10530040</v>
          </cell>
          <cell r="H4398">
            <v>20.32</v>
          </cell>
          <cell r="I4398">
            <v>827.33000000000015</v>
          </cell>
          <cell r="J4398">
            <v>0</v>
          </cell>
          <cell r="K4398">
            <v>0</v>
          </cell>
          <cell r="M4398">
            <v>0</v>
          </cell>
          <cell r="P4398">
            <v>827</v>
          </cell>
          <cell r="V4398" t="str">
            <v>Available</v>
          </cell>
        </row>
        <row r="4399">
          <cell r="E4399">
            <v>10530040</v>
          </cell>
          <cell r="H4399">
            <v>12.850000000000001</v>
          </cell>
          <cell r="I4399">
            <v>651.81999999999994</v>
          </cell>
          <cell r="J4399">
            <v>0</v>
          </cell>
          <cell r="K4399">
            <v>0</v>
          </cell>
          <cell r="M4399">
            <v>0</v>
          </cell>
          <cell r="P4399">
            <v>652</v>
          </cell>
          <cell r="V4399" t="str">
            <v>Available</v>
          </cell>
        </row>
        <row r="4400">
          <cell r="E4400">
            <v>10530040</v>
          </cell>
          <cell r="H4400">
            <v>8.0500000000000007</v>
          </cell>
          <cell r="I4400">
            <v>341.90000000000003</v>
          </cell>
          <cell r="J4400">
            <v>0</v>
          </cell>
          <cell r="K4400">
            <v>0</v>
          </cell>
          <cell r="M4400">
            <v>0</v>
          </cell>
          <cell r="P4400">
            <v>342</v>
          </cell>
          <cell r="V4400" t="str">
            <v>Available</v>
          </cell>
        </row>
        <row r="4401">
          <cell r="E4401">
            <v>10530040</v>
          </cell>
          <cell r="H4401">
            <v>13.540000000000001</v>
          </cell>
          <cell r="I4401">
            <v>989.46</v>
          </cell>
          <cell r="J4401">
            <v>0</v>
          </cell>
          <cell r="K4401">
            <v>0</v>
          </cell>
          <cell r="M4401">
            <v>0</v>
          </cell>
          <cell r="P4401">
            <v>989</v>
          </cell>
          <cell r="V4401" t="str">
            <v>Available</v>
          </cell>
        </row>
        <row r="4402">
          <cell r="E4402">
            <v>10530040</v>
          </cell>
          <cell r="H4402">
            <v>180.14999999999998</v>
          </cell>
          <cell r="I4402">
            <v>7960.04</v>
          </cell>
          <cell r="J4402">
            <v>0</v>
          </cell>
          <cell r="K4402">
            <v>0</v>
          </cell>
          <cell r="M4402">
            <v>0</v>
          </cell>
          <cell r="P4402">
            <v>7960</v>
          </cell>
          <cell r="V4402" t="str">
            <v>Available</v>
          </cell>
        </row>
        <row r="4403">
          <cell r="E4403">
            <v>10530040</v>
          </cell>
          <cell r="H4403">
            <v>8.14</v>
          </cell>
          <cell r="I4403">
            <v>372.81</v>
          </cell>
          <cell r="J4403">
            <v>0</v>
          </cell>
          <cell r="K4403">
            <v>0</v>
          </cell>
          <cell r="M4403">
            <v>373</v>
          </cell>
          <cell r="P4403">
            <v>0</v>
          </cell>
          <cell r="V4403" t="str">
            <v>Available</v>
          </cell>
        </row>
        <row r="4404">
          <cell r="E4404">
            <v>10530040</v>
          </cell>
          <cell r="H4404">
            <v>34.450000000000003</v>
          </cell>
          <cell r="I4404">
            <v>1650.5</v>
          </cell>
          <cell r="J4404">
            <v>0</v>
          </cell>
          <cell r="K4404">
            <v>0</v>
          </cell>
          <cell r="M4404">
            <v>0</v>
          </cell>
          <cell r="P4404">
            <v>1651</v>
          </cell>
          <cell r="V4404" t="str">
            <v>Available</v>
          </cell>
        </row>
        <row r="4405">
          <cell r="E4405">
            <v>10530040</v>
          </cell>
          <cell r="H4405">
            <v>5.38</v>
          </cell>
          <cell r="I4405">
            <v>196.60999999999999</v>
          </cell>
          <cell r="J4405">
            <v>0</v>
          </cell>
          <cell r="K4405">
            <v>0</v>
          </cell>
          <cell r="M4405">
            <v>0</v>
          </cell>
          <cell r="P4405">
            <v>197</v>
          </cell>
          <cell r="V4405" t="str">
            <v>Available</v>
          </cell>
        </row>
        <row r="4406">
          <cell r="E4406">
            <v>10530040</v>
          </cell>
          <cell r="H4406">
            <v>18.829999999999998</v>
          </cell>
          <cell r="I4406">
            <v>1406.6599999999999</v>
          </cell>
          <cell r="J4406">
            <v>0</v>
          </cell>
          <cell r="K4406">
            <v>0</v>
          </cell>
          <cell r="M4406">
            <v>0</v>
          </cell>
          <cell r="P4406">
            <v>1407</v>
          </cell>
          <cell r="V4406" t="str">
            <v>Available</v>
          </cell>
        </row>
        <row r="4407">
          <cell r="E4407">
            <v>10530040</v>
          </cell>
          <cell r="H4407">
            <v>7.9399999999999995</v>
          </cell>
          <cell r="I4407">
            <v>308.3</v>
          </cell>
          <cell r="J4407">
            <v>0</v>
          </cell>
          <cell r="K4407">
            <v>0</v>
          </cell>
          <cell r="M4407">
            <v>0</v>
          </cell>
          <cell r="P4407">
            <v>308</v>
          </cell>
          <cell r="V4407" t="str">
            <v>Available</v>
          </cell>
        </row>
        <row r="4408">
          <cell r="E4408">
            <v>10530040</v>
          </cell>
          <cell r="H4408">
            <v>43.52</v>
          </cell>
          <cell r="I4408">
            <v>1785.1000000000001</v>
          </cell>
          <cell r="J4408">
            <v>0</v>
          </cell>
          <cell r="K4408">
            <v>0</v>
          </cell>
          <cell r="M4408">
            <v>0</v>
          </cell>
          <cell r="P4408">
            <v>1785</v>
          </cell>
          <cell r="V4408" t="str">
            <v>Available</v>
          </cell>
        </row>
        <row r="4409">
          <cell r="E4409">
            <v>10530040</v>
          </cell>
          <cell r="H4409">
            <v>8.52</v>
          </cell>
          <cell r="I4409">
            <v>555.05999999999995</v>
          </cell>
          <cell r="J4409">
            <v>0</v>
          </cell>
          <cell r="K4409">
            <v>0</v>
          </cell>
          <cell r="M4409">
            <v>0</v>
          </cell>
          <cell r="P4409">
            <v>555</v>
          </cell>
          <cell r="V4409" t="str">
            <v>Available</v>
          </cell>
        </row>
        <row r="4410">
          <cell r="E4410">
            <v>10530040</v>
          </cell>
          <cell r="H4410">
            <v>15.629999999999999</v>
          </cell>
          <cell r="I4410">
            <v>924.46</v>
          </cell>
          <cell r="J4410">
            <v>0</v>
          </cell>
          <cell r="K4410">
            <v>0</v>
          </cell>
          <cell r="M4410">
            <v>0</v>
          </cell>
          <cell r="P4410">
            <v>924</v>
          </cell>
          <cell r="V4410" t="str">
            <v>Available</v>
          </cell>
        </row>
        <row r="4411">
          <cell r="E4411">
            <v>10530044</v>
          </cell>
          <cell r="H4411">
            <v>37.85</v>
          </cell>
          <cell r="I4411">
            <v>1702.5800000000002</v>
          </cell>
          <cell r="J4411">
            <v>0</v>
          </cell>
          <cell r="K4411">
            <v>1702.5800000000002</v>
          </cell>
          <cell r="M4411">
            <v>0</v>
          </cell>
          <cell r="P4411">
            <v>0</v>
          </cell>
          <cell r="V4411" t="str">
            <v>Not Available</v>
          </cell>
        </row>
        <row r="4412">
          <cell r="E4412">
            <v>10530044</v>
          </cell>
          <cell r="H4412">
            <v>26.88</v>
          </cell>
          <cell r="I4412">
            <v>1116.03</v>
          </cell>
          <cell r="J4412">
            <v>0</v>
          </cell>
          <cell r="K4412">
            <v>0</v>
          </cell>
          <cell r="M4412">
            <v>0</v>
          </cell>
          <cell r="P4412">
            <v>1116</v>
          </cell>
          <cell r="V4412" t="str">
            <v>Available</v>
          </cell>
        </row>
        <row r="4413">
          <cell r="E4413">
            <v>10530044</v>
          </cell>
          <cell r="H4413">
            <v>4.38</v>
          </cell>
          <cell r="I4413">
            <v>194.21</v>
          </cell>
          <cell r="J4413">
            <v>0</v>
          </cell>
          <cell r="K4413">
            <v>0</v>
          </cell>
          <cell r="M4413">
            <v>0</v>
          </cell>
          <cell r="P4413">
            <v>194</v>
          </cell>
          <cell r="V4413" t="str">
            <v>Available</v>
          </cell>
        </row>
        <row r="4414">
          <cell r="E4414">
            <v>10530044</v>
          </cell>
          <cell r="H4414">
            <v>7.55</v>
          </cell>
          <cell r="I4414">
            <v>378.92999999999995</v>
          </cell>
          <cell r="J4414">
            <v>0</v>
          </cell>
          <cell r="K4414">
            <v>0</v>
          </cell>
          <cell r="M4414">
            <v>0</v>
          </cell>
          <cell r="P4414">
            <v>379</v>
          </cell>
          <cell r="V4414" t="str">
            <v>Available</v>
          </cell>
        </row>
        <row r="4415">
          <cell r="E4415">
            <v>10530044</v>
          </cell>
          <cell r="H4415">
            <v>24.710000000000008</v>
          </cell>
          <cell r="I4415">
            <v>903.92000000000007</v>
          </cell>
          <cell r="J4415">
            <v>0</v>
          </cell>
          <cell r="K4415">
            <v>0</v>
          </cell>
          <cell r="M4415">
            <v>0</v>
          </cell>
          <cell r="P4415">
            <v>904</v>
          </cell>
          <cell r="V4415" t="str">
            <v>Available</v>
          </cell>
        </row>
        <row r="4416">
          <cell r="E4416">
            <v>10530044</v>
          </cell>
          <cell r="H4416">
            <v>73.61</v>
          </cell>
          <cell r="I4416">
            <v>3379.26</v>
          </cell>
          <cell r="J4416">
            <v>0</v>
          </cell>
          <cell r="K4416">
            <v>0</v>
          </cell>
          <cell r="M4416">
            <v>0</v>
          </cell>
          <cell r="P4416">
            <v>3379</v>
          </cell>
          <cell r="V4416" t="str">
            <v>Available</v>
          </cell>
        </row>
        <row r="4417">
          <cell r="E4417">
            <v>10530044</v>
          </cell>
          <cell r="H4417">
            <v>8.44</v>
          </cell>
          <cell r="I4417">
            <v>328.52000000000004</v>
          </cell>
          <cell r="J4417">
            <v>0</v>
          </cell>
          <cell r="K4417">
            <v>0</v>
          </cell>
          <cell r="M4417">
            <v>0</v>
          </cell>
          <cell r="P4417">
            <v>329</v>
          </cell>
          <cell r="V4417" t="str">
            <v>Available</v>
          </cell>
        </row>
        <row r="4418">
          <cell r="E4418">
            <v>10530044</v>
          </cell>
          <cell r="H4418">
            <v>93.449999999999989</v>
          </cell>
          <cell r="I4418">
            <v>3755.0400000000004</v>
          </cell>
          <cell r="J4418">
            <v>0</v>
          </cell>
          <cell r="K4418">
            <v>0</v>
          </cell>
          <cell r="M4418">
            <v>1001</v>
          </cell>
          <cell r="P4418">
            <v>2754</v>
          </cell>
          <cell r="V4418" t="str">
            <v>Available</v>
          </cell>
        </row>
        <row r="4419">
          <cell r="E4419">
            <v>10530044</v>
          </cell>
          <cell r="H4419">
            <v>101.25999999999999</v>
          </cell>
          <cell r="I4419">
            <v>4095.77</v>
          </cell>
          <cell r="J4419">
            <v>0</v>
          </cell>
          <cell r="K4419">
            <v>0</v>
          </cell>
          <cell r="M4419">
            <v>0</v>
          </cell>
          <cell r="P4419">
            <v>4096</v>
          </cell>
          <cell r="V4419" t="str">
            <v>Available</v>
          </cell>
        </row>
        <row r="4420">
          <cell r="E4420">
            <v>10530044</v>
          </cell>
          <cell r="H4420">
            <v>39.08</v>
          </cell>
          <cell r="I4420">
            <v>1639.34</v>
          </cell>
          <cell r="J4420">
            <v>0</v>
          </cell>
          <cell r="K4420">
            <v>0</v>
          </cell>
          <cell r="M4420">
            <v>0</v>
          </cell>
          <cell r="P4420">
            <v>1639</v>
          </cell>
          <cell r="V4420" t="str">
            <v>Available</v>
          </cell>
        </row>
        <row r="4421">
          <cell r="E4421">
            <v>10530044</v>
          </cell>
          <cell r="H4421">
            <v>31.51</v>
          </cell>
          <cell r="I4421">
            <v>1352.1899999999998</v>
          </cell>
          <cell r="J4421">
            <v>0</v>
          </cell>
          <cell r="K4421">
            <v>0</v>
          </cell>
          <cell r="M4421">
            <v>0</v>
          </cell>
          <cell r="P4421">
            <v>1352</v>
          </cell>
          <cell r="V4421" t="str">
            <v>Available</v>
          </cell>
        </row>
        <row r="4422">
          <cell r="E4422">
            <v>10530044</v>
          </cell>
          <cell r="H4422">
            <v>15.66</v>
          </cell>
          <cell r="I4422">
            <v>566</v>
          </cell>
          <cell r="J4422">
            <v>0</v>
          </cell>
          <cell r="K4422">
            <v>0</v>
          </cell>
          <cell r="M4422">
            <v>0</v>
          </cell>
          <cell r="P4422">
            <v>566</v>
          </cell>
          <cell r="V4422" t="str">
            <v>Available</v>
          </cell>
        </row>
        <row r="4423">
          <cell r="E4423">
            <v>10530044</v>
          </cell>
          <cell r="H4423">
            <v>26.09</v>
          </cell>
          <cell r="I4423">
            <v>1131.58</v>
          </cell>
          <cell r="J4423">
            <v>0</v>
          </cell>
          <cell r="K4423">
            <v>0</v>
          </cell>
          <cell r="M4423">
            <v>0</v>
          </cell>
          <cell r="P4423">
            <v>1132</v>
          </cell>
          <cell r="V4423" t="str">
            <v>Available</v>
          </cell>
        </row>
        <row r="4424">
          <cell r="E4424">
            <v>10530044</v>
          </cell>
          <cell r="H4424">
            <v>56.359999999999985</v>
          </cell>
          <cell r="I4424">
            <v>2556.2999999999997</v>
          </cell>
          <cell r="J4424">
            <v>0</v>
          </cell>
          <cell r="K4424">
            <v>0</v>
          </cell>
          <cell r="M4424">
            <v>0</v>
          </cell>
          <cell r="P4424">
            <v>2556</v>
          </cell>
          <cell r="V4424" t="str">
            <v>Available</v>
          </cell>
        </row>
        <row r="4425">
          <cell r="E4425">
            <v>10530044</v>
          </cell>
          <cell r="H4425">
            <v>103.78000000000002</v>
          </cell>
          <cell r="I4425">
            <v>4474.99</v>
          </cell>
          <cell r="J4425">
            <v>0</v>
          </cell>
          <cell r="K4425">
            <v>0</v>
          </cell>
          <cell r="M4425">
            <v>1001</v>
          </cell>
          <cell r="P4425">
            <v>3474</v>
          </cell>
          <cell r="V4425" t="str">
            <v>Available</v>
          </cell>
        </row>
        <row r="4426">
          <cell r="E4426">
            <v>10530044</v>
          </cell>
          <cell r="H4426">
            <v>30.17</v>
          </cell>
          <cell r="I4426">
            <v>1556.8599999999997</v>
          </cell>
          <cell r="J4426">
            <v>0</v>
          </cell>
          <cell r="K4426">
            <v>0</v>
          </cell>
          <cell r="M4426">
            <v>0</v>
          </cell>
          <cell r="P4426">
            <v>1557</v>
          </cell>
          <cell r="V4426" t="str">
            <v>Available</v>
          </cell>
        </row>
        <row r="4427">
          <cell r="E4427">
            <v>10530044</v>
          </cell>
          <cell r="H4427">
            <v>26.400000000000002</v>
          </cell>
          <cell r="I4427">
            <v>1570.7900000000002</v>
          </cell>
          <cell r="J4427">
            <v>0</v>
          </cell>
          <cell r="K4427">
            <v>0</v>
          </cell>
          <cell r="M4427">
            <v>0</v>
          </cell>
          <cell r="P4427">
            <v>1571</v>
          </cell>
          <cell r="V4427" t="str">
            <v>Available</v>
          </cell>
        </row>
        <row r="4428">
          <cell r="E4428">
            <v>10530044</v>
          </cell>
          <cell r="H4428">
            <v>205.78999999999996</v>
          </cell>
          <cell r="I4428">
            <v>10146.250000000002</v>
          </cell>
          <cell r="J4428">
            <v>0</v>
          </cell>
          <cell r="K4428">
            <v>0</v>
          </cell>
          <cell r="M4428">
            <v>0</v>
          </cell>
          <cell r="P4428">
            <v>10146</v>
          </cell>
          <cell r="V4428" t="str">
            <v>Available</v>
          </cell>
        </row>
        <row r="4429">
          <cell r="E4429">
            <v>10530044</v>
          </cell>
          <cell r="H4429">
            <v>29.270000000000003</v>
          </cell>
          <cell r="I4429">
            <v>1232.3399999999999</v>
          </cell>
          <cell r="J4429">
            <v>0</v>
          </cell>
          <cell r="K4429">
            <v>0</v>
          </cell>
          <cell r="M4429">
            <v>0</v>
          </cell>
          <cell r="P4429">
            <v>1232</v>
          </cell>
          <cell r="V4429" t="str">
            <v>Available</v>
          </cell>
        </row>
        <row r="4430">
          <cell r="E4430">
            <v>10530044</v>
          </cell>
          <cell r="H4430">
            <v>33.35</v>
          </cell>
          <cell r="I4430">
            <v>1231.5</v>
          </cell>
          <cell r="J4430">
            <v>0</v>
          </cell>
          <cell r="K4430">
            <v>0</v>
          </cell>
          <cell r="M4430">
            <v>0</v>
          </cell>
          <cell r="P4430">
            <v>1232</v>
          </cell>
          <cell r="V4430" t="str">
            <v>Available</v>
          </cell>
        </row>
        <row r="4431">
          <cell r="E4431">
            <v>10530044</v>
          </cell>
          <cell r="H4431">
            <v>48.980000000000004</v>
          </cell>
          <cell r="I4431">
            <v>2660.7599999999998</v>
          </cell>
          <cell r="J4431">
            <v>0</v>
          </cell>
          <cell r="K4431">
            <v>0</v>
          </cell>
          <cell r="M4431">
            <v>0</v>
          </cell>
          <cell r="P4431">
            <v>2661</v>
          </cell>
          <cell r="V4431" t="str">
            <v>Available</v>
          </cell>
        </row>
        <row r="4432">
          <cell r="E4432">
            <v>10530044</v>
          </cell>
          <cell r="H4432">
            <v>16.98</v>
          </cell>
          <cell r="I4432">
            <v>1114.24</v>
          </cell>
          <cell r="J4432">
            <v>0</v>
          </cell>
          <cell r="K4432">
            <v>0</v>
          </cell>
          <cell r="M4432">
            <v>0</v>
          </cell>
          <cell r="P4432">
            <v>1114</v>
          </cell>
          <cell r="V4432" t="str">
            <v>Available</v>
          </cell>
        </row>
        <row r="4433">
          <cell r="E4433">
            <v>10530044</v>
          </cell>
          <cell r="H4433">
            <v>15.590000000000002</v>
          </cell>
          <cell r="I4433">
            <v>946.44000000000017</v>
          </cell>
          <cell r="J4433">
            <v>0</v>
          </cell>
          <cell r="K4433">
            <v>0</v>
          </cell>
          <cell r="M4433">
            <v>0</v>
          </cell>
          <cell r="P4433">
            <v>946</v>
          </cell>
          <cell r="V4433" t="str">
            <v>Available</v>
          </cell>
        </row>
        <row r="4434">
          <cell r="E4434">
            <v>10530044</v>
          </cell>
          <cell r="H4434">
            <v>33.35</v>
          </cell>
          <cell r="I4434">
            <v>1803.73</v>
          </cell>
          <cell r="J4434">
            <v>0</v>
          </cell>
          <cell r="K4434">
            <v>0</v>
          </cell>
          <cell r="M4434">
            <v>0</v>
          </cell>
          <cell r="P4434">
            <v>1804</v>
          </cell>
          <cell r="V4434" t="str">
            <v>Available</v>
          </cell>
        </row>
        <row r="4435">
          <cell r="E4435">
            <v>10530044</v>
          </cell>
          <cell r="H4435">
            <v>26.419999999999995</v>
          </cell>
          <cell r="I4435">
            <v>985.9</v>
          </cell>
          <cell r="J4435">
            <v>0</v>
          </cell>
          <cell r="K4435">
            <v>0</v>
          </cell>
          <cell r="M4435">
            <v>0</v>
          </cell>
          <cell r="P4435">
            <v>986</v>
          </cell>
          <cell r="V4435" t="str">
            <v>Available</v>
          </cell>
        </row>
        <row r="4436">
          <cell r="E4436">
            <v>10530044</v>
          </cell>
          <cell r="H4436">
            <v>35.669999999999995</v>
          </cell>
          <cell r="I4436">
            <v>1314.0300000000002</v>
          </cell>
          <cell r="J4436">
            <v>0</v>
          </cell>
          <cell r="K4436">
            <v>0</v>
          </cell>
          <cell r="M4436">
            <v>0</v>
          </cell>
          <cell r="P4436">
            <v>1314</v>
          </cell>
          <cell r="V4436" t="str">
            <v>Available</v>
          </cell>
        </row>
        <row r="4437">
          <cell r="E4437">
            <v>10530044</v>
          </cell>
          <cell r="H4437">
            <v>27.479999999999997</v>
          </cell>
          <cell r="I4437">
            <v>1429.05</v>
          </cell>
          <cell r="J4437">
            <v>0</v>
          </cell>
          <cell r="K4437">
            <v>0</v>
          </cell>
          <cell r="M4437">
            <v>0</v>
          </cell>
          <cell r="P4437">
            <v>1429</v>
          </cell>
          <cell r="V4437" t="str">
            <v>Available</v>
          </cell>
        </row>
        <row r="4438">
          <cell r="E4438">
            <v>10530044</v>
          </cell>
          <cell r="H4438">
            <v>17.740000000000002</v>
          </cell>
          <cell r="I4438">
            <v>1172.33</v>
          </cell>
          <cell r="J4438">
            <v>0</v>
          </cell>
          <cell r="K4438">
            <v>0</v>
          </cell>
          <cell r="M4438">
            <v>0</v>
          </cell>
          <cell r="P4438">
            <v>1172</v>
          </cell>
          <cell r="V4438" t="str">
            <v>Available</v>
          </cell>
        </row>
        <row r="4439">
          <cell r="E4439">
            <v>10530044</v>
          </cell>
          <cell r="H4439">
            <v>29.27</v>
          </cell>
          <cell r="I4439">
            <v>1100.6799999999998</v>
          </cell>
          <cell r="J4439">
            <v>0</v>
          </cell>
          <cell r="K4439">
            <v>0</v>
          </cell>
          <cell r="M4439">
            <v>0</v>
          </cell>
          <cell r="P4439">
            <v>1101</v>
          </cell>
          <cell r="V4439" t="str">
            <v>Available</v>
          </cell>
        </row>
        <row r="4440">
          <cell r="E4440">
            <v>10530046</v>
          </cell>
          <cell r="H4440">
            <v>6.9399999999999995</v>
          </cell>
          <cell r="I4440">
            <v>428.98</v>
          </cell>
          <cell r="J4440">
            <v>0</v>
          </cell>
          <cell r="K4440">
            <v>0</v>
          </cell>
          <cell r="M4440">
            <v>0</v>
          </cell>
          <cell r="P4440">
            <v>429</v>
          </cell>
          <cell r="V4440" t="str">
            <v>Available</v>
          </cell>
        </row>
        <row r="4441">
          <cell r="E4441">
            <v>10530046</v>
          </cell>
          <cell r="H4441">
            <v>79.44</v>
          </cell>
          <cell r="I4441">
            <v>3146.06</v>
          </cell>
          <cell r="J4441">
            <v>0</v>
          </cell>
          <cell r="K4441">
            <v>0</v>
          </cell>
          <cell r="M4441">
            <v>0</v>
          </cell>
          <cell r="P4441">
            <v>3146</v>
          </cell>
          <cell r="V4441" t="str">
            <v>Available</v>
          </cell>
        </row>
        <row r="4442">
          <cell r="E4442">
            <v>10530046</v>
          </cell>
          <cell r="H4442">
            <v>8.16</v>
          </cell>
          <cell r="I4442">
            <v>291.98</v>
          </cell>
          <cell r="J4442">
            <v>0</v>
          </cell>
          <cell r="K4442">
            <v>0</v>
          </cell>
          <cell r="M4442">
            <v>0</v>
          </cell>
          <cell r="P4442">
            <v>292</v>
          </cell>
          <cell r="V4442" t="str">
            <v>Available</v>
          </cell>
        </row>
        <row r="4443">
          <cell r="E4443">
            <v>10530046</v>
          </cell>
          <cell r="H4443">
            <v>10</v>
          </cell>
          <cell r="I4443">
            <v>307.61</v>
          </cell>
          <cell r="J4443">
            <v>0</v>
          </cell>
          <cell r="K4443">
            <v>0</v>
          </cell>
          <cell r="M4443">
            <v>0</v>
          </cell>
          <cell r="P4443">
            <v>308</v>
          </cell>
          <cell r="V4443" t="str">
            <v>Available</v>
          </cell>
        </row>
        <row r="4444">
          <cell r="E4444">
            <v>10530046</v>
          </cell>
          <cell r="H4444">
            <v>30.69</v>
          </cell>
          <cell r="I4444">
            <v>2242.83</v>
          </cell>
          <cell r="J4444">
            <v>0</v>
          </cell>
          <cell r="K4444">
            <v>0</v>
          </cell>
          <cell r="M4444">
            <v>0</v>
          </cell>
          <cell r="P4444">
            <v>2243</v>
          </cell>
          <cell r="V4444" t="str">
            <v>Available</v>
          </cell>
        </row>
        <row r="4445">
          <cell r="E4445">
            <v>10530046</v>
          </cell>
          <cell r="H4445">
            <v>19.239999999999998</v>
          </cell>
          <cell r="I4445">
            <v>840.06000000000006</v>
          </cell>
          <cell r="J4445">
            <v>0</v>
          </cell>
          <cell r="K4445">
            <v>0</v>
          </cell>
          <cell r="M4445">
            <v>0</v>
          </cell>
          <cell r="P4445">
            <v>840</v>
          </cell>
          <cell r="V4445" t="str">
            <v>Available</v>
          </cell>
        </row>
        <row r="4446">
          <cell r="E4446">
            <v>10530046</v>
          </cell>
          <cell r="H4446">
            <v>2.64</v>
          </cell>
          <cell r="I4446">
            <v>103.58</v>
          </cell>
          <cell r="J4446">
            <v>0</v>
          </cell>
          <cell r="K4446">
            <v>0</v>
          </cell>
          <cell r="M4446">
            <v>0</v>
          </cell>
          <cell r="P4446">
            <v>104</v>
          </cell>
          <cell r="V4446" t="str">
            <v>Available</v>
          </cell>
        </row>
        <row r="4447">
          <cell r="E4447">
            <v>10530046</v>
          </cell>
          <cell r="H4447">
            <v>30.610000000000003</v>
          </cell>
          <cell r="I4447">
            <v>2520.9499999999998</v>
          </cell>
          <cell r="J4447">
            <v>0</v>
          </cell>
          <cell r="K4447">
            <v>0</v>
          </cell>
          <cell r="M4447">
            <v>0</v>
          </cell>
          <cell r="P4447">
            <v>2521</v>
          </cell>
          <cell r="V4447" t="str">
            <v>Available</v>
          </cell>
        </row>
        <row r="4448">
          <cell r="E4448">
            <v>10530046</v>
          </cell>
          <cell r="H4448">
            <v>16.849999999999998</v>
          </cell>
          <cell r="I4448">
            <v>1213.1499999999999</v>
          </cell>
          <cell r="J4448">
            <v>0</v>
          </cell>
          <cell r="K4448">
            <v>0</v>
          </cell>
          <cell r="M4448">
            <v>0</v>
          </cell>
          <cell r="P4448">
            <v>1213</v>
          </cell>
          <cell r="V4448" t="str">
            <v>Available</v>
          </cell>
        </row>
        <row r="4449">
          <cell r="E4449">
            <v>10530046</v>
          </cell>
          <cell r="H4449">
            <v>12.91</v>
          </cell>
          <cell r="I4449">
            <v>574.66000000000008</v>
          </cell>
          <cell r="J4449">
            <v>0</v>
          </cell>
          <cell r="K4449">
            <v>0</v>
          </cell>
          <cell r="M4449">
            <v>0</v>
          </cell>
          <cell r="P4449">
            <v>575</v>
          </cell>
          <cell r="V4449" t="str">
            <v>Available</v>
          </cell>
        </row>
        <row r="4450">
          <cell r="E4450">
            <v>10530046</v>
          </cell>
          <cell r="H4450">
            <v>41.03</v>
          </cell>
          <cell r="I4450">
            <v>2631.7099999999996</v>
          </cell>
          <cell r="J4450">
            <v>0</v>
          </cell>
          <cell r="K4450">
            <v>0</v>
          </cell>
          <cell r="M4450">
            <v>0</v>
          </cell>
          <cell r="P4450">
            <v>2632</v>
          </cell>
          <cell r="V4450" t="str">
            <v>Available</v>
          </cell>
        </row>
        <row r="4451">
          <cell r="E4451">
            <v>10530046</v>
          </cell>
          <cell r="H4451">
            <v>1.1499999999999999</v>
          </cell>
          <cell r="I4451">
            <v>55.79</v>
          </cell>
          <cell r="J4451">
            <v>0</v>
          </cell>
          <cell r="K4451">
            <v>0</v>
          </cell>
          <cell r="M4451">
            <v>0</v>
          </cell>
          <cell r="P4451">
            <v>56</v>
          </cell>
          <cell r="V4451" t="str">
            <v>Available</v>
          </cell>
        </row>
        <row r="4452">
          <cell r="E4452">
            <v>10530046</v>
          </cell>
          <cell r="H4452">
            <v>11.019999999999998</v>
          </cell>
          <cell r="I4452">
            <v>385</v>
          </cell>
          <cell r="J4452">
            <v>0</v>
          </cell>
          <cell r="K4452">
            <v>0</v>
          </cell>
          <cell r="M4452">
            <v>0</v>
          </cell>
          <cell r="P4452">
            <v>385</v>
          </cell>
          <cell r="V4452" t="str">
            <v>Available</v>
          </cell>
        </row>
        <row r="4453">
          <cell r="E4453">
            <v>10530046</v>
          </cell>
          <cell r="H4453">
            <v>15.379999999999999</v>
          </cell>
          <cell r="I4453">
            <v>570.6</v>
          </cell>
          <cell r="J4453">
            <v>0</v>
          </cell>
          <cell r="K4453">
            <v>0</v>
          </cell>
          <cell r="M4453">
            <v>0</v>
          </cell>
          <cell r="P4453">
            <v>571</v>
          </cell>
          <cell r="V4453" t="str">
            <v>Available</v>
          </cell>
        </row>
        <row r="4454">
          <cell r="E4454">
            <v>10530047</v>
          </cell>
          <cell r="H4454">
            <v>5.24</v>
          </cell>
          <cell r="I4454">
            <v>240.38000000000002</v>
          </cell>
          <cell r="J4454">
            <v>0</v>
          </cell>
          <cell r="K4454">
            <v>240.38000000000002</v>
          </cell>
          <cell r="M4454">
            <v>0</v>
          </cell>
          <cell r="P4454">
            <v>0</v>
          </cell>
          <cell r="V4454" t="str">
            <v>Not Available</v>
          </cell>
        </row>
        <row r="4455">
          <cell r="E4455">
            <v>10530047</v>
          </cell>
          <cell r="H4455">
            <v>4.04</v>
          </cell>
          <cell r="I4455">
            <v>149.31</v>
          </cell>
          <cell r="J4455">
            <v>0</v>
          </cell>
          <cell r="K4455">
            <v>0</v>
          </cell>
          <cell r="M4455">
            <v>0</v>
          </cell>
          <cell r="P4455">
            <v>149</v>
          </cell>
          <cell r="V4455" t="str">
            <v>Available</v>
          </cell>
        </row>
        <row r="4456">
          <cell r="E4456">
            <v>10530047</v>
          </cell>
          <cell r="H4456">
            <v>188.66999999999996</v>
          </cell>
          <cell r="I4456">
            <v>7803.36</v>
          </cell>
          <cell r="J4456">
            <v>0</v>
          </cell>
          <cell r="K4456">
            <v>0</v>
          </cell>
          <cell r="M4456">
            <v>3100</v>
          </cell>
          <cell r="P4456">
            <v>4703</v>
          </cell>
          <cell r="V4456" t="str">
            <v>Available</v>
          </cell>
        </row>
        <row r="4457">
          <cell r="E4457">
            <v>10530047</v>
          </cell>
          <cell r="H4457">
            <v>15.260000000000002</v>
          </cell>
          <cell r="I4457">
            <v>570.33000000000004</v>
          </cell>
          <cell r="J4457">
            <v>0</v>
          </cell>
          <cell r="K4457">
            <v>0</v>
          </cell>
          <cell r="M4457">
            <v>0</v>
          </cell>
          <cell r="P4457">
            <v>570</v>
          </cell>
          <cell r="V4457" t="str">
            <v>Available</v>
          </cell>
        </row>
        <row r="4458">
          <cell r="E4458">
            <v>10530047</v>
          </cell>
          <cell r="H4458">
            <v>39.239999999999995</v>
          </cell>
          <cell r="I4458">
            <v>1590</v>
          </cell>
          <cell r="J4458">
            <v>0</v>
          </cell>
          <cell r="K4458">
            <v>0</v>
          </cell>
          <cell r="M4458">
            <v>0</v>
          </cell>
          <cell r="P4458">
            <v>1590</v>
          </cell>
          <cell r="V4458" t="str">
            <v>Available</v>
          </cell>
        </row>
        <row r="4459">
          <cell r="E4459">
            <v>10530048</v>
          </cell>
          <cell r="H4459">
            <v>6.7100000000000009</v>
          </cell>
          <cell r="I4459">
            <v>382.53000000000003</v>
          </cell>
          <cell r="J4459">
            <v>0</v>
          </cell>
          <cell r="K4459">
            <v>382.53000000000003</v>
          </cell>
          <cell r="M4459">
            <v>0</v>
          </cell>
          <cell r="P4459">
            <v>0</v>
          </cell>
          <cell r="V4459" t="str">
            <v>Not Available</v>
          </cell>
        </row>
        <row r="4460">
          <cell r="E4460">
            <v>10530048</v>
          </cell>
          <cell r="H4460">
            <v>43.679999999999993</v>
          </cell>
          <cell r="I4460">
            <v>2180.4999999999995</v>
          </cell>
          <cell r="J4460">
            <v>0</v>
          </cell>
          <cell r="K4460">
            <v>0</v>
          </cell>
          <cell r="M4460">
            <v>0</v>
          </cell>
          <cell r="P4460">
            <v>2181</v>
          </cell>
          <cell r="V4460" t="str">
            <v>Available</v>
          </cell>
        </row>
        <row r="4461">
          <cell r="E4461">
            <v>10530048</v>
          </cell>
          <cell r="H4461">
            <v>9.7799999999999994</v>
          </cell>
          <cell r="I4461">
            <v>415.9</v>
          </cell>
          <cell r="J4461">
            <v>0</v>
          </cell>
          <cell r="K4461">
            <v>0</v>
          </cell>
          <cell r="M4461">
            <v>0</v>
          </cell>
          <cell r="P4461">
            <v>416</v>
          </cell>
          <cell r="V4461" t="str">
            <v>Available</v>
          </cell>
        </row>
        <row r="4462">
          <cell r="E4462">
            <v>10530048</v>
          </cell>
          <cell r="H4462">
            <v>12.62</v>
          </cell>
          <cell r="I4462">
            <v>804.25</v>
          </cell>
          <cell r="J4462">
            <v>0</v>
          </cell>
          <cell r="K4462">
            <v>0</v>
          </cell>
          <cell r="M4462">
            <v>0</v>
          </cell>
          <cell r="P4462">
            <v>804</v>
          </cell>
          <cell r="V4462" t="str">
            <v>Available</v>
          </cell>
        </row>
        <row r="4463">
          <cell r="E4463">
            <v>10530048</v>
          </cell>
          <cell r="H4463">
            <v>10.280000000000001</v>
          </cell>
          <cell r="I4463">
            <v>601.75</v>
          </cell>
          <cell r="J4463">
            <v>0</v>
          </cell>
          <cell r="K4463">
            <v>0</v>
          </cell>
          <cell r="M4463">
            <v>0</v>
          </cell>
          <cell r="P4463">
            <v>602</v>
          </cell>
          <cell r="V4463" t="str">
            <v>Available</v>
          </cell>
        </row>
        <row r="4464">
          <cell r="E4464">
            <v>10530048</v>
          </cell>
          <cell r="H4464">
            <v>75.939999999999984</v>
          </cell>
          <cell r="I4464">
            <v>3016.4599999999996</v>
          </cell>
          <cell r="J4464">
            <v>0</v>
          </cell>
          <cell r="K4464">
            <v>0</v>
          </cell>
          <cell r="M4464">
            <v>0</v>
          </cell>
          <cell r="P4464">
            <v>3016</v>
          </cell>
          <cell r="V4464" t="str">
            <v>Available</v>
          </cell>
        </row>
        <row r="4465">
          <cell r="E4465">
            <v>10530048</v>
          </cell>
          <cell r="H4465">
            <v>26</v>
          </cell>
          <cell r="I4465">
            <v>1152</v>
          </cell>
          <cell r="J4465">
            <v>0</v>
          </cell>
          <cell r="K4465">
            <v>0</v>
          </cell>
          <cell r="M4465">
            <v>0</v>
          </cell>
          <cell r="P4465">
            <v>1152</v>
          </cell>
          <cell r="V4465" t="str">
            <v>Available</v>
          </cell>
        </row>
        <row r="4466">
          <cell r="E4466">
            <v>10530048</v>
          </cell>
          <cell r="H4466">
            <v>29.13</v>
          </cell>
          <cell r="I4466">
            <v>1208.3</v>
          </cell>
          <cell r="J4466">
            <v>0</v>
          </cell>
          <cell r="K4466">
            <v>0</v>
          </cell>
          <cell r="M4466">
            <v>0</v>
          </cell>
          <cell r="P4466">
            <v>1208</v>
          </cell>
          <cell r="V4466" t="str">
            <v>Available</v>
          </cell>
        </row>
        <row r="4467">
          <cell r="E4467">
            <v>10530048</v>
          </cell>
          <cell r="H4467">
            <v>38.410000000000004</v>
          </cell>
          <cell r="I4467">
            <v>1658.82</v>
          </cell>
          <cell r="J4467">
            <v>0</v>
          </cell>
          <cell r="K4467">
            <v>0</v>
          </cell>
          <cell r="M4467">
            <v>0</v>
          </cell>
          <cell r="P4467">
            <v>1659</v>
          </cell>
          <cell r="V4467" t="str">
            <v>Available</v>
          </cell>
        </row>
        <row r="4468">
          <cell r="E4468">
            <v>10530048</v>
          </cell>
          <cell r="H4468">
            <v>12.569999999999999</v>
          </cell>
          <cell r="I4468">
            <v>575.95000000000005</v>
          </cell>
          <cell r="J4468">
            <v>0</v>
          </cell>
          <cell r="K4468">
            <v>0</v>
          </cell>
          <cell r="M4468">
            <v>0</v>
          </cell>
          <cell r="P4468">
            <v>576</v>
          </cell>
          <cell r="V4468" t="str">
            <v>Available</v>
          </cell>
        </row>
        <row r="4469">
          <cell r="E4469">
            <v>10530048</v>
          </cell>
          <cell r="H4469">
            <v>19.5</v>
          </cell>
          <cell r="I4469">
            <v>824.93999999999994</v>
          </cell>
          <cell r="J4469">
            <v>0</v>
          </cell>
          <cell r="K4469">
            <v>0</v>
          </cell>
          <cell r="M4469">
            <v>0</v>
          </cell>
          <cell r="P4469">
            <v>825</v>
          </cell>
          <cell r="V4469" t="str">
            <v>Available</v>
          </cell>
        </row>
        <row r="4470">
          <cell r="E4470">
            <v>10530048</v>
          </cell>
          <cell r="H4470">
            <v>33.619999999999997</v>
          </cell>
          <cell r="I4470">
            <v>1361.9499999999998</v>
          </cell>
          <cell r="J4470">
            <v>0</v>
          </cell>
          <cell r="K4470">
            <v>0</v>
          </cell>
          <cell r="M4470">
            <v>0</v>
          </cell>
          <cell r="P4470">
            <v>1362</v>
          </cell>
          <cell r="V4470" t="str">
            <v>Available</v>
          </cell>
        </row>
        <row r="4471">
          <cell r="E4471">
            <v>10530048</v>
          </cell>
          <cell r="H4471">
            <v>12.120000000000001</v>
          </cell>
          <cell r="I4471">
            <v>548.99</v>
          </cell>
          <cell r="J4471">
            <v>0</v>
          </cell>
          <cell r="K4471">
            <v>0</v>
          </cell>
          <cell r="M4471">
            <v>0</v>
          </cell>
          <cell r="P4471">
            <v>549</v>
          </cell>
          <cell r="V4471" t="str">
            <v>Available</v>
          </cell>
        </row>
        <row r="4472">
          <cell r="E4472">
            <v>10530048</v>
          </cell>
          <cell r="H4472">
            <v>36.54</v>
          </cell>
          <cell r="I4472">
            <v>1786.9599999999998</v>
          </cell>
          <cell r="J4472">
            <v>0</v>
          </cell>
          <cell r="K4472">
            <v>0</v>
          </cell>
          <cell r="M4472">
            <v>0</v>
          </cell>
          <cell r="P4472">
            <v>1787</v>
          </cell>
          <cell r="V4472" t="str">
            <v>Available</v>
          </cell>
        </row>
        <row r="4473">
          <cell r="E4473">
            <v>10530055</v>
          </cell>
          <cell r="H4473">
            <v>25.080000000000002</v>
          </cell>
          <cell r="I4473">
            <v>1039.3</v>
          </cell>
          <cell r="J4473">
            <v>0</v>
          </cell>
          <cell r="K4473">
            <v>1039.3</v>
          </cell>
          <cell r="M4473">
            <v>0</v>
          </cell>
          <cell r="P4473">
            <v>0</v>
          </cell>
          <cell r="V4473" t="str">
            <v>Not Available</v>
          </cell>
        </row>
        <row r="4474">
          <cell r="E4474">
            <v>10530055</v>
          </cell>
          <cell r="H4474">
            <v>89.330000000000013</v>
          </cell>
          <cell r="I4474">
            <v>3651.99</v>
          </cell>
          <cell r="J4474">
            <v>0</v>
          </cell>
          <cell r="K4474">
            <v>0</v>
          </cell>
          <cell r="M4474">
            <v>336</v>
          </cell>
          <cell r="P4474">
            <v>3316</v>
          </cell>
          <cell r="V4474" t="str">
            <v>Available</v>
          </cell>
        </row>
        <row r="4475">
          <cell r="E4475">
            <v>10530055</v>
          </cell>
          <cell r="H4475">
            <v>23.64</v>
          </cell>
          <cell r="I4475">
            <v>934.07999999999993</v>
          </cell>
          <cell r="J4475">
            <v>0</v>
          </cell>
          <cell r="K4475">
            <v>0</v>
          </cell>
          <cell r="M4475">
            <v>0</v>
          </cell>
          <cell r="P4475">
            <v>934</v>
          </cell>
          <cell r="V4475" t="str">
            <v>Available</v>
          </cell>
        </row>
        <row r="4476">
          <cell r="E4476">
            <v>10530055</v>
          </cell>
          <cell r="H4476">
            <v>3.37</v>
          </cell>
          <cell r="I4476">
            <v>162.53</v>
          </cell>
          <cell r="J4476">
            <v>0</v>
          </cell>
          <cell r="K4476">
            <v>0</v>
          </cell>
          <cell r="M4476">
            <v>0</v>
          </cell>
          <cell r="P4476">
            <v>163</v>
          </cell>
          <cell r="V4476" t="str">
            <v>Available</v>
          </cell>
        </row>
        <row r="4477">
          <cell r="E4477">
            <v>10530055</v>
          </cell>
          <cell r="H4477">
            <v>212.12000000000003</v>
          </cell>
          <cell r="I4477">
            <v>8722.15</v>
          </cell>
          <cell r="J4477">
            <v>0</v>
          </cell>
          <cell r="K4477">
            <v>0</v>
          </cell>
          <cell r="M4477">
            <v>0</v>
          </cell>
          <cell r="P4477">
            <v>8722</v>
          </cell>
          <cell r="V4477" t="str">
            <v>Available</v>
          </cell>
        </row>
        <row r="4478">
          <cell r="E4478">
            <v>10530055</v>
          </cell>
          <cell r="H4478">
            <v>41.239999999999995</v>
          </cell>
          <cell r="I4478">
            <v>1442.6</v>
          </cell>
          <cell r="J4478">
            <v>0</v>
          </cell>
          <cell r="K4478">
            <v>0</v>
          </cell>
          <cell r="M4478">
            <v>0</v>
          </cell>
          <cell r="P4478">
            <v>1443</v>
          </cell>
          <cell r="V4478" t="str">
            <v>Available</v>
          </cell>
        </row>
        <row r="4479">
          <cell r="E4479">
            <v>10530055</v>
          </cell>
          <cell r="H4479">
            <v>33.880000000000003</v>
          </cell>
          <cell r="I4479">
            <v>1269.5700000000002</v>
          </cell>
          <cell r="J4479">
            <v>0</v>
          </cell>
          <cell r="K4479">
            <v>0</v>
          </cell>
          <cell r="M4479">
            <v>0</v>
          </cell>
          <cell r="P4479">
            <v>1270</v>
          </cell>
          <cell r="V4479" t="str">
            <v>Available</v>
          </cell>
        </row>
        <row r="4480">
          <cell r="E4480">
            <v>10530055</v>
          </cell>
          <cell r="H4480">
            <v>24.599999999999998</v>
          </cell>
          <cell r="I4480">
            <v>1024.47</v>
          </cell>
          <cell r="J4480">
            <v>0</v>
          </cell>
          <cell r="K4480">
            <v>0</v>
          </cell>
          <cell r="M4480">
            <v>0</v>
          </cell>
          <cell r="P4480">
            <v>1024</v>
          </cell>
          <cell r="V4480" t="str">
            <v>Available</v>
          </cell>
        </row>
        <row r="4481">
          <cell r="E4481">
            <v>10530055</v>
          </cell>
          <cell r="H4481">
            <v>18.75</v>
          </cell>
          <cell r="I4481">
            <v>646.51</v>
          </cell>
          <cell r="J4481">
            <v>0</v>
          </cell>
          <cell r="K4481">
            <v>0</v>
          </cell>
          <cell r="M4481">
            <v>0</v>
          </cell>
          <cell r="P4481">
            <v>647</v>
          </cell>
          <cell r="V4481" t="str">
            <v>Available</v>
          </cell>
        </row>
        <row r="4482">
          <cell r="E4482">
            <v>10530055</v>
          </cell>
          <cell r="H4482">
            <v>69.72</v>
          </cell>
          <cell r="I4482">
            <v>2573.3599999999997</v>
          </cell>
          <cell r="J4482">
            <v>0</v>
          </cell>
          <cell r="K4482">
            <v>0</v>
          </cell>
          <cell r="M4482">
            <v>0</v>
          </cell>
          <cell r="P4482">
            <v>2573</v>
          </cell>
          <cell r="V4482" t="str">
            <v>Available</v>
          </cell>
        </row>
        <row r="4483">
          <cell r="E4483">
            <v>10530055</v>
          </cell>
          <cell r="H4483">
            <v>90.13</v>
          </cell>
          <cell r="I4483">
            <v>3238.2</v>
          </cell>
          <cell r="J4483">
            <v>0</v>
          </cell>
          <cell r="K4483">
            <v>0</v>
          </cell>
          <cell r="M4483">
            <v>0</v>
          </cell>
          <cell r="P4483">
            <v>3238</v>
          </cell>
          <cell r="V4483" t="str">
            <v>Available</v>
          </cell>
        </row>
        <row r="4484">
          <cell r="E4484">
            <v>10530055</v>
          </cell>
          <cell r="H4484">
            <v>57.41</v>
          </cell>
          <cell r="I4484">
            <v>2517.2500000000005</v>
          </cell>
          <cell r="J4484">
            <v>0</v>
          </cell>
          <cell r="K4484">
            <v>0</v>
          </cell>
          <cell r="M4484">
            <v>0</v>
          </cell>
          <cell r="P4484">
            <v>2517</v>
          </cell>
          <cell r="V4484" t="str">
            <v>Available</v>
          </cell>
        </row>
        <row r="4485">
          <cell r="E4485">
            <v>10530055</v>
          </cell>
          <cell r="H4485">
            <v>6.8000000000000007</v>
          </cell>
          <cell r="I4485">
            <v>301.07</v>
          </cell>
          <cell r="J4485">
            <v>0</v>
          </cell>
          <cell r="K4485">
            <v>0</v>
          </cell>
          <cell r="M4485">
            <v>0</v>
          </cell>
          <cell r="P4485">
            <v>301</v>
          </cell>
          <cell r="V4485" t="str">
            <v>Available</v>
          </cell>
        </row>
        <row r="4486">
          <cell r="E4486">
            <v>10530055</v>
          </cell>
          <cell r="H4486">
            <v>14.920000000000002</v>
          </cell>
          <cell r="I4486">
            <v>846.57000000000016</v>
          </cell>
          <cell r="J4486">
            <v>0</v>
          </cell>
          <cell r="K4486">
            <v>0</v>
          </cell>
          <cell r="M4486">
            <v>0</v>
          </cell>
          <cell r="P4486">
            <v>847</v>
          </cell>
          <cell r="V4486" t="str">
            <v>Available</v>
          </cell>
        </row>
        <row r="4487">
          <cell r="E4487">
            <v>10530055</v>
          </cell>
          <cell r="H4487">
            <v>16.989999999999998</v>
          </cell>
          <cell r="I4487">
            <v>666.19</v>
          </cell>
          <cell r="J4487">
            <v>0</v>
          </cell>
          <cell r="K4487">
            <v>0</v>
          </cell>
          <cell r="M4487">
            <v>0</v>
          </cell>
          <cell r="P4487">
            <v>666</v>
          </cell>
          <cell r="V4487" t="str">
            <v>Available</v>
          </cell>
        </row>
        <row r="4488">
          <cell r="E4488">
            <v>10530055</v>
          </cell>
          <cell r="H4488">
            <v>94.91</v>
          </cell>
          <cell r="I4488">
            <v>3793.59</v>
          </cell>
          <cell r="J4488">
            <v>0</v>
          </cell>
          <cell r="K4488">
            <v>0</v>
          </cell>
          <cell r="M4488">
            <v>0</v>
          </cell>
          <cell r="P4488">
            <v>3794</v>
          </cell>
          <cell r="V4488" t="str">
            <v>Available</v>
          </cell>
        </row>
        <row r="4489">
          <cell r="E4489">
            <v>10530055</v>
          </cell>
          <cell r="H4489">
            <v>30.84</v>
          </cell>
          <cell r="I4489">
            <v>1363.6299999999999</v>
          </cell>
          <cell r="J4489">
            <v>0</v>
          </cell>
          <cell r="K4489">
            <v>0</v>
          </cell>
          <cell r="M4489">
            <v>0</v>
          </cell>
          <cell r="P4489">
            <v>1364</v>
          </cell>
          <cell r="V4489" t="str">
            <v>Available</v>
          </cell>
        </row>
        <row r="4490">
          <cell r="E4490">
            <v>10530055</v>
          </cell>
          <cell r="H4490">
            <v>19.669999999999998</v>
          </cell>
          <cell r="I4490">
            <v>794.6099999999999</v>
          </cell>
          <cell r="J4490">
            <v>0</v>
          </cell>
          <cell r="K4490">
            <v>0</v>
          </cell>
          <cell r="M4490">
            <v>0</v>
          </cell>
          <cell r="P4490">
            <v>795</v>
          </cell>
          <cell r="V4490" t="str">
            <v>Available</v>
          </cell>
        </row>
        <row r="4491">
          <cell r="E4491">
            <v>10530055</v>
          </cell>
          <cell r="H4491">
            <v>68.67</v>
          </cell>
          <cell r="I4491">
            <v>2784.5099999999998</v>
          </cell>
          <cell r="J4491">
            <v>0</v>
          </cell>
          <cell r="K4491">
            <v>0</v>
          </cell>
          <cell r="M4491">
            <v>0</v>
          </cell>
          <cell r="P4491">
            <v>2785</v>
          </cell>
          <cell r="V4491" t="str">
            <v>Available</v>
          </cell>
        </row>
        <row r="4492">
          <cell r="E4492">
            <v>10530055</v>
          </cell>
          <cell r="H4492">
            <v>17.12</v>
          </cell>
          <cell r="I4492">
            <v>690.81</v>
          </cell>
          <cell r="J4492">
            <v>0</v>
          </cell>
          <cell r="K4492">
            <v>0</v>
          </cell>
          <cell r="M4492">
            <v>0</v>
          </cell>
          <cell r="P4492">
            <v>691</v>
          </cell>
          <cell r="V4492" t="str">
            <v>Available</v>
          </cell>
        </row>
        <row r="4493">
          <cell r="E4493">
            <v>10530055</v>
          </cell>
          <cell r="H4493">
            <v>10.61</v>
          </cell>
          <cell r="I4493">
            <v>714.50000000000011</v>
          </cell>
          <cell r="J4493">
            <v>0</v>
          </cell>
          <cell r="K4493">
            <v>0</v>
          </cell>
          <cell r="M4493">
            <v>0</v>
          </cell>
          <cell r="P4493">
            <v>715</v>
          </cell>
          <cell r="V4493" t="str">
            <v>Available</v>
          </cell>
        </row>
        <row r="4494">
          <cell r="E4494">
            <v>10530055</v>
          </cell>
          <cell r="H4494">
            <v>107.1</v>
          </cell>
          <cell r="I4494">
            <v>4986.1900000000005</v>
          </cell>
          <cell r="J4494">
            <v>0</v>
          </cell>
          <cell r="K4494">
            <v>0</v>
          </cell>
          <cell r="M4494">
            <v>0</v>
          </cell>
          <cell r="P4494">
            <v>4986</v>
          </cell>
          <cell r="V4494" t="str">
            <v>Available</v>
          </cell>
        </row>
        <row r="4495">
          <cell r="E4495">
            <v>10530055</v>
          </cell>
          <cell r="H4495">
            <v>20.91</v>
          </cell>
          <cell r="I4495">
            <v>790.95999999999992</v>
          </cell>
          <cell r="J4495">
            <v>0</v>
          </cell>
          <cell r="K4495">
            <v>0</v>
          </cell>
          <cell r="M4495">
            <v>0</v>
          </cell>
          <cell r="P4495">
            <v>791</v>
          </cell>
          <cell r="V4495" t="str">
            <v>Available</v>
          </cell>
        </row>
        <row r="4496">
          <cell r="E4496">
            <v>10530055</v>
          </cell>
          <cell r="H4496">
            <v>12.21</v>
          </cell>
          <cell r="I4496">
            <v>449.66</v>
          </cell>
          <cell r="J4496">
            <v>0</v>
          </cell>
          <cell r="K4496">
            <v>0</v>
          </cell>
          <cell r="M4496">
            <v>0</v>
          </cell>
          <cell r="P4496">
            <v>450</v>
          </cell>
          <cell r="V4496" t="str">
            <v>Available</v>
          </cell>
        </row>
        <row r="4497">
          <cell r="E4497">
            <v>10530055</v>
          </cell>
          <cell r="H4497">
            <v>23.580000000000002</v>
          </cell>
          <cell r="I4497">
            <v>1041.05</v>
          </cell>
          <cell r="J4497">
            <v>0</v>
          </cell>
          <cell r="K4497">
            <v>0</v>
          </cell>
          <cell r="M4497">
            <v>0</v>
          </cell>
          <cell r="P4497">
            <v>1041</v>
          </cell>
          <cell r="V4497" t="str">
            <v>Available</v>
          </cell>
        </row>
        <row r="4498">
          <cell r="E4498">
            <v>10530055</v>
          </cell>
          <cell r="H4498">
            <v>7.6999999999999993</v>
          </cell>
          <cell r="I4498">
            <v>365.51</v>
          </cell>
          <cell r="J4498">
            <v>0</v>
          </cell>
          <cell r="K4498">
            <v>0</v>
          </cell>
          <cell r="M4498">
            <v>0</v>
          </cell>
          <cell r="P4498">
            <v>366</v>
          </cell>
          <cell r="V4498" t="str">
            <v>Available</v>
          </cell>
        </row>
        <row r="4499">
          <cell r="E4499">
            <v>10530055</v>
          </cell>
          <cell r="H4499">
            <v>12.74</v>
          </cell>
          <cell r="I4499">
            <v>510.37</v>
          </cell>
          <cell r="J4499">
            <v>0</v>
          </cell>
          <cell r="K4499">
            <v>0</v>
          </cell>
          <cell r="M4499">
            <v>0</v>
          </cell>
          <cell r="P4499">
            <v>510</v>
          </cell>
          <cell r="V4499" t="str">
            <v>Available</v>
          </cell>
        </row>
        <row r="4500">
          <cell r="E4500">
            <v>10530055</v>
          </cell>
          <cell r="H4500">
            <v>18.280000000000005</v>
          </cell>
          <cell r="I4500">
            <v>604.37999999999988</v>
          </cell>
          <cell r="J4500">
            <v>0</v>
          </cell>
          <cell r="K4500">
            <v>0</v>
          </cell>
          <cell r="M4500">
            <v>0</v>
          </cell>
          <cell r="P4500">
            <v>604</v>
          </cell>
          <cell r="V4500" t="str">
            <v>Available</v>
          </cell>
        </row>
        <row r="4501">
          <cell r="E4501">
            <v>10530055</v>
          </cell>
          <cell r="H4501">
            <v>54.31</v>
          </cell>
          <cell r="I4501">
            <v>2985.5500000000006</v>
          </cell>
          <cell r="J4501">
            <v>0</v>
          </cell>
          <cell r="K4501">
            <v>0</v>
          </cell>
          <cell r="M4501">
            <v>0</v>
          </cell>
          <cell r="P4501">
            <v>2986</v>
          </cell>
          <cell r="V4501" t="str">
            <v>Available</v>
          </cell>
        </row>
        <row r="4502">
          <cell r="E4502">
            <v>10530055</v>
          </cell>
          <cell r="H4502">
            <v>5.49</v>
          </cell>
          <cell r="I4502">
            <v>293.71000000000004</v>
          </cell>
          <cell r="J4502">
            <v>0</v>
          </cell>
          <cell r="K4502">
            <v>0</v>
          </cell>
          <cell r="M4502">
            <v>0</v>
          </cell>
          <cell r="P4502">
            <v>294</v>
          </cell>
          <cell r="V4502" t="str">
            <v>Available</v>
          </cell>
        </row>
        <row r="4503">
          <cell r="E4503">
            <v>10530055</v>
          </cell>
          <cell r="H4503">
            <v>15.799999999999999</v>
          </cell>
          <cell r="I4503">
            <v>628.15</v>
          </cell>
          <cell r="J4503">
            <v>0</v>
          </cell>
          <cell r="K4503">
            <v>0</v>
          </cell>
          <cell r="M4503">
            <v>0</v>
          </cell>
          <cell r="P4503">
            <v>628</v>
          </cell>
          <cell r="V4503" t="str">
            <v>Available</v>
          </cell>
        </row>
        <row r="4504">
          <cell r="E4504">
            <v>10530055</v>
          </cell>
          <cell r="H4504">
            <v>7.99</v>
          </cell>
          <cell r="I4504">
            <v>565.30000000000007</v>
          </cell>
          <cell r="J4504">
            <v>0</v>
          </cell>
          <cell r="K4504">
            <v>0</v>
          </cell>
          <cell r="M4504">
            <v>0</v>
          </cell>
          <cell r="P4504">
            <v>565</v>
          </cell>
          <cell r="V4504" t="str">
            <v>Available</v>
          </cell>
        </row>
        <row r="4505">
          <cell r="E4505">
            <v>10530055</v>
          </cell>
          <cell r="H4505">
            <v>16.62</v>
          </cell>
          <cell r="I4505">
            <v>666.9899999999999</v>
          </cell>
          <cell r="J4505">
            <v>0</v>
          </cell>
          <cell r="K4505">
            <v>0</v>
          </cell>
          <cell r="M4505">
            <v>0</v>
          </cell>
          <cell r="P4505">
            <v>667</v>
          </cell>
          <cell r="V4505" t="str">
            <v>Available</v>
          </cell>
        </row>
        <row r="4506">
          <cell r="E4506">
            <v>10530055</v>
          </cell>
          <cell r="H4506">
            <v>11.469999999999999</v>
          </cell>
          <cell r="I4506">
            <v>503.39</v>
          </cell>
          <cell r="J4506">
            <v>0</v>
          </cell>
          <cell r="K4506">
            <v>0</v>
          </cell>
          <cell r="M4506">
            <v>0</v>
          </cell>
          <cell r="P4506">
            <v>503</v>
          </cell>
          <cell r="V4506" t="str">
            <v>Available</v>
          </cell>
        </row>
        <row r="4507">
          <cell r="E4507">
            <v>10530055</v>
          </cell>
          <cell r="H4507">
            <v>19.069999999999997</v>
          </cell>
          <cell r="I4507">
            <v>702.66</v>
          </cell>
          <cell r="J4507">
            <v>0</v>
          </cell>
          <cell r="K4507">
            <v>0</v>
          </cell>
          <cell r="M4507">
            <v>0</v>
          </cell>
          <cell r="P4507">
            <v>703</v>
          </cell>
          <cell r="V4507" t="str">
            <v>Available</v>
          </cell>
        </row>
        <row r="4508">
          <cell r="E4508">
            <v>10530055</v>
          </cell>
          <cell r="H4508">
            <v>18.63</v>
          </cell>
          <cell r="I4508">
            <v>734.83999999999992</v>
          </cell>
          <cell r="J4508">
            <v>0</v>
          </cell>
          <cell r="K4508">
            <v>0</v>
          </cell>
          <cell r="M4508">
            <v>0</v>
          </cell>
          <cell r="P4508">
            <v>735</v>
          </cell>
          <cell r="V4508" t="str">
            <v>Available</v>
          </cell>
        </row>
        <row r="4509">
          <cell r="E4509">
            <v>10530055</v>
          </cell>
          <cell r="H4509">
            <v>53.29</v>
          </cell>
          <cell r="I4509">
            <v>2104.5600000000004</v>
          </cell>
          <cell r="J4509">
            <v>0</v>
          </cell>
          <cell r="K4509">
            <v>0</v>
          </cell>
          <cell r="M4509">
            <v>0</v>
          </cell>
          <cell r="P4509">
            <v>2105</v>
          </cell>
          <cell r="V4509" t="str">
            <v>Available</v>
          </cell>
        </row>
        <row r="4510">
          <cell r="E4510">
            <v>10530055</v>
          </cell>
          <cell r="H4510">
            <v>15.419999999999998</v>
          </cell>
          <cell r="I4510">
            <v>656.14</v>
          </cell>
          <cell r="J4510">
            <v>0</v>
          </cell>
          <cell r="K4510">
            <v>0</v>
          </cell>
          <cell r="M4510">
            <v>0</v>
          </cell>
          <cell r="P4510">
            <v>656</v>
          </cell>
          <cell r="V4510" t="str">
            <v>Available</v>
          </cell>
        </row>
        <row r="4511">
          <cell r="E4511">
            <v>10530055</v>
          </cell>
          <cell r="H4511">
            <v>1.86</v>
          </cell>
          <cell r="I4511">
            <v>71.61</v>
          </cell>
          <cell r="J4511">
            <v>0</v>
          </cell>
          <cell r="K4511">
            <v>0</v>
          </cell>
          <cell r="M4511">
            <v>0</v>
          </cell>
          <cell r="P4511">
            <v>72</v>
          </cell>
          <cell r="V4511" t="str">
            <v>Available</v>
          </cell>
        </row>
        <row r="4512">
          <cell r="E4512">
            <v>10530055</v>
          </cell>
          <cell r="H4512">
            <v>63.110000000000007</v>
          </cell>
          <cell r="I4512">
            <v>2552.7599999999998</v>
          </cell>
          <cell r="J4512">
            <v>0</v>
          </cell>
          <cell r="K4512">
            <v>0</v>
          </cell>
          <cell r="M4512">
            <v>0</v>
          </cell>
          <cell r="P4512">
            <v>2553</v>
          </cell>
          <cell r="V4512" t="str">
            <v>Available</v>
          </cell>
        </row>
        <row r="4513">
          <cell r="E4513">
            <v>10530055</v>
          </cell>
          <cell r="H4513">
            <v>27.009999999999998</v>
          </cell>
          <cell r="I4513">
            <v>1047.79</v>
          </cell>
          <cell r="J4513">
            <v>0</v>
          </cell>
          <cell r="K4513">
            <v>0</v>
          </cell>
          <cell r="M4513">
            <v>0</v>
          </cell>
          <cell r="P4513">
            <v>1048</v>
          </cell>
          <cell r="V4513" t="str">
            <v>Available</v>
          </cell>
        </row>
        <row r="4514">
          <cell r="E4514">
            <v>10530055</v>
          </cell>
          <cell r="H4514">
            <v>20.689999999999998</v>
          </cell>
          <cell r="I4514">
            <v>1323.8899999999999</v>
          </cell>
          <cell r="J4514">
            <v>0</v>
          </cell>
          <cell r="K4514">
            <v>0</v>
          </cell>
          <cell r="M4514">
            <v>0</v>
          </cell>
          <cell r="P4514">
            <v>1324</v>
          </cell>
          <cell r="V4514" t="str">
            <v>Available</v>
          </cell>
        </row>
        <row r="4515">
          <cell r="E4515">
            <v>10530055</v>
          </cell>
          <cell r="H4515">
            <v>8.5399999999999991</v>
          </cell>
          <cell r="I4515">
            <v>404.53999999999996</v>
          </cell>
          <cell r="J4515">
            <v>0</v>
          </cell>
          <cell r="K4515">
            <v>0</v>
          </cell>
          <cell r="M4515">
            <v>0</v>
          </cell>
          <cell r="P4515">
            <v>405</v>
          </cell>
          <cell r="V4515" t="str">
            <v>Available</v>
          </cell>
        </row>
        <row r="4516">
          <cell r="E4516">
            <v>10530055</v>
          </cell>
          <cell r="H4516">
            <v>2.77</v>
          </cell>
          <cell r="I4516">
            <v>102.80000000000001</v>
          </cell>
          <cell r="J4516">
            <v>0</v>
          </cell>
          <cell r="K4516">
            <v>0</v>
          </cell>
          <cell r="M4516">
            <v>0</v>
          </cell>
          <cell r="P4516">
            <v>103</v>
          </cell>
          <cell r="V4516" t="str">
            <v>Available</v>
          </cell>
        </row>
        <row r="4517">
          <cell r="E4517">
            <v>10530055</v>
          </cell>
          <cell r="H4517">
            <v>32.06</v>
          </cell>
          <cell r="I4517">
            <v>1721.5600000000002</v>
          </cell>
          <cell r="J4517">
            <v>0</v>
          </cell>
          <cell r="K4517">
            <v>0</v>
          </cell>
          <cell r="M4517">
            <v>0</v>
          </cell>
          <cell r="P4517">
            <v>1722</v>
          </cell>
          <cell r="V4517" t="str">
            <v>Available</v>
          </cell>
        </row>
        <row r="4518">
          <cell r="E4518">
            <v>10530055</v>
          </cell>
          <cell r="H4518">
            <v>9.33</v>
          </cell>
          <cell r="I4518">
            <v>402.64</v>
          </cell>
          <cell r="J4518">
            <v>0</v>
          </cell>
          <cell r="K4518">
            <v>0</v>
          </cell>
          <cell r="M4518">
            <v>0</v>
          </cell>
          <cell r="P4518">
            <v>403</v>
          </cell>
          <cell r="V4518" t="str">
            <v>Available</v>
          </cell>
        </row>
        <row r="4519">
          <cell r="E4519">
            <v>10530055</v>
          </cell>
          <cell r="H4519">
            <v>21.360000000000003</v>
          </cell>
          <cell r="I4519">
            <v>824.65</v>
          </cell>
          <cell r="J4519">
            <v>0</v>
          </cell>
          <cell r="K4519">
            <v>0</v>
          </cell>
          <cell r="M4519">
            <v>0</v>
          </cell>
          <cell r="P4519">
            <v>825</v>
          </cell>
          <cell r="V4519" t="str">
            <v>Available</v>
          </cell>
        </row>
        <row r="4520">
          <cell r="E4520">
            <v>10530055</v>
          </cell>
          <cell r="H4520">
            <v>38.129999999999995</v>
          </cell>
          <cell r="I4520">
            <v>1335.16</v>
          </cell>
          <cell r="J4520">
            <v>0</v>
          </cell>
          <cell r="K4520">
            <v>0</v>
          </cell>
          <cell r="M4520">
            <v>0</v>
          </cell>
          <cell r="P4520">
            <v>1335</v>
          </cell>
          <cell r="V4520" t="str">
            <v>Available</v>
          </cell>
        </row>
        <row r="4521">
          <cell r="E4521">
            <v>10530055</v>
          </cell>
          <cell r="H4521">
            <v>14.639999999999999</v>
          </cell>
          <cell r="I4521">
            <v>588.21</v>
          </cell>
          <cell r="J4521">
            <v>0</v>
          </cell>
          <cell r="K4521">
            <v>0</v>
          </cell>
          <cell r="M4521">
            <v>588</v>
          </cell>
          <cell r="P4521">
            <v>0</v>
          </cell>
          <cell r="V4521" t="str">
            <v>Available</v>
          </cell>
        </row>
        <row r="4522">
          <cell r="E4522">
            <v>10530055</v>
          </cell>
          <cell r="H4522">
            <v>9.0200000000000014</v>
          </cell>
          <cell r="I4522">
            <v>400.56</v>
          </cell>
          <cell r="J4522">
            <v>0</v>
          </cell>
          <cell r="K4522">
            <v>0</v>
          </cell>
          <cell r="M4522">
            <v>0</v>
          </cell>
          <cell r="P4522">
            <v>401</v>
          </cell>
          <cell r="V4522" t="str">
            <v>Available</v>
          </cell>
        </row>
        <row r="4523">
          <cell r="E4523">
            <v>10530055</v>
          </cell>
          <cell r="H4523">
            <v>3.75</v>
          </cell>
          <cell r="I4523">
            <v>151.69</v>
          </cell>
          <cell r="J4523">
            <v>0</v>
          </cell>
          <cell r="K4523">
            <v>0</v>
          </cell>
          <cell r="M4523">
            <v>0</v>
          </cell>
          <cell r="P4523">
            <v>152</v>
          </cell>
          <cell r="V4523" t="str">
            <v>Available</v>
          </cell>
        </row>
        <row r="4524">
          <cell r="E4524">
            <v>10530058</v>
          </cell>
          <cell r="H4524">
            <v>11.5</v>
          </cell>
          <cell r="I4524">
            <v>521.17999999999995</v>
          </cell>
          <cell r="J4524">
            <v>0</v>
          </cell>
          <cell r="K4524">
            <v>0</v>
          </cell>
          <cell r="M4524">
            <v>0</v>
          </cell>
          <cell r="P4524">
            <v>21</v>
          </cell>
          <cell r="V4524" t="str">
            <v>Available</v>
          </cell>
        </row>
        <row r="4525">
          <cell r="E4525">
            <v>10530058</v>
          </cell>
          <cell r="H4525">
            <v>23.45</v>
          </cell>
          <cell r="I4525">
            <v>1005.2000000000002</v>
          </cell>
          <cell r="J4525">
            <v>0</v>
          </cell>
          <cell r="K4525">
            <v>0</v>
          </cell>
          <cell r="M4525">
            <v>0</v>
          </cell>
          <cell r="P4525">
            <v>1005</v>
          </cell>
          <cell r="V4525" t="str">
            <v>Available</v>
          </cell>
        </row>
        <row r="4526">
          <cell r="E4526">
            <v>10530058</v>
          </cell>
          <cell r="H4526">
            <v>59.679999999999993</v>
          </cell>
          <cell r="I4526">
            <v>2175.1</v>
          </cell>
          <cell r="J4526">
            <v>0</v>
          </cell>
          <cell r="K4526">
            <v>0</v>
          </cell>
          <cell r="M4526">
            <v>0</v>
          </cell>
          <cell r="P4526">
            <v>2175</v>
          </cell>
          <cell r="V4526" t="str">
            <v>Available</v>
          </cell>
        </row>
        <row r="4527">
          <cell r="E4527">
            <v>10530058</v>
          </cell>
          <cell r="H4527">
            <v>5.66</v>
          </cell>
          <cell r="I4527">
            <v>205.24</v>
          </cell>
          <cell r="J4527">
            <v>0</v>
          </cell>
          <cell r="K4527">
            <v>0</v>
          </cell>
          <cell r="M4527">
            <v>0</v>
          </cell>
          <cell r="P4527">
            <v>205</v>
          </cell>
          <cell r="V4527" t="str">
            <v>Available</v>
          </cell>
        </row>
        <row r="4528">
          <cell r="E4528">
            <v>10530058</v>
          </cell>
          <cell r="H4528">
            <v>17.709999999999997</v>
          </cell>
          <cell r="I4528">
            <v>681.96</v>
          </cell>
          <cell r="J4528">
            <v>0</v>
          </cell>
          <cell r="K4528">
            <v>0</v>
          </cell>
          <cell r="M4528">
            <v>0</v>
          </cell>
          <cell r="P4528">
            <v>682</v>
          </cell>
          <cell r="V4528" t="str">
            <v>Available</v>
          </cell>
        </row>
        <row r="4529">
          <cell r="E4529">
            <v>10530058</v>
          </cell>
          <cell r="H4529">
            <v>13.71</v>
          </cell>
          <cell r="I4529">
            <v>552.97</v>
          </cell>
          <cell r="J4529">
            <v>0</v>
          </cell>
          <cell r="K4529">
            <v>0</v>
          </cell>
          <cell r="M4529">
            <v>0</v>
          </cell>
          <cell r="P4529">
            <v>553</v>
          </cell>
          <cell r="V4529" t="str">
            <v>Available</v>
          </cell>
        </row>
        <row r="4530">
          <cell r="E4530">
            <v>10530058</v>
          </cell>
          <cell r="H4530">
            <v>40.86</v>
          </cell>
          <cell r="I4530">
            <v>1408.81</v>
          </cell>
          <cell r="J4530">
            <v>0</v>
          </cell>
          <cell r="K4530">
            <v>0</v>
          </cell>
          <cell r="M4530">
            <v>0</v>
          </cell>
          <cell r="P4530">
            <v>1409</v>
          </cell>
          <cell r="V4530" t="str">
            <v>Available</v>
          </cell>
        </row>
        <row r="4531">
          <cell r="E4531">
            <v>10530062</v>
          </cell>
          <cell r="H4531">
            <v>4.5</v>
          </cell>
          <cell r="I4531">
            <v>224.96</v>
          </cell>
          <cell r="J4531">
            <v>0</v>
          </cell>
          <cell r="K4531">
            <v>224.96</v>
          </cell>
          <cell r="M4531">
            <v>0</v>
          </cell>
          <cell r="P4531">
            <v>0</v>
          </cell>
          <cell r="V4531" t="str">
            <v>Not Available</v>
          </cell>
        </row>
        <row r="4532">
          <cell r="E4532">
            <v>10530062</v>
          </cell>
          <cell r="H4532">
            <v>345.90999999999997</v>
          </cell>
          <cell r="I4532">
            <v>14635.85</v>
          </cell>
          <cell r="J4532">
            <v>0</v>
          </cell>
          <cell r="K4532">
            <v>0</v>
          </cell>
          <cell r="M4532">
            <v>0</v>
          </cell>
          <cell r="P4532">
            <v>14636</v>
          </cell>
          <cell r="V4532" t="str">
            <v>Available</v>
          </cell>
        </row>
        <row r="4533">
          <cell r="E4533">
            <v>10530062</v>
          </cell>
          <cell r="H4533">
            <v>421.86000000000007</v>
          </cell>
          <cell r="I4533">
            <v>18080.38</v>
          </cell>
          <cell r="J4533">
            <v>0</v>
          </cell>
          <cell r="K4533">
            <v>0</v>
          </cell>
          <cell r="M4533">
            <v>0</v>
          </cell>
          <cell r="P4533">
            <v>18080</v>
          </cell>
          <cell r="V4533" t="str">
            <v>Available</v>
          </cell>
        </row>
        <row r="4534">
          <cell r="E4534">
            <v>10530062</v>
          </cell>
          <cell r="H4534">
            <v>142.16999999999999</v>
          </cell>
          <cell r="I4534">
            <v>7682.05</v>
          </cell>
          <cell r="J4534">
            <v>0</v>
          </cell>
          <cell r="K4534">
            <v>0</v>
          </cell>
          <cell r="M4534">
            <v>0</v>
          </cell>
          <cell r="P4534">
            <v>7682</v>
          </cell>
          <cell r="V4534" t="str">
            <v>Available</v>
          </cell>
        </row>
        <row r="4535">
          <cell r="E4535">
            <v>10530062</v>
          </cell>
          <cell r="H4535">
            <v>19.260000000000005</v>
          </cell>
          <cell r="I4535">
            <v>746.74999999999989</v>
          </cell>
          <cell r="J4535">
            <v>0</v>
          </cell>
          <cell r="K4535">
            <v>0</v>
          </cell>
          <cell r="M4535">
            <v>0</v>
          </cell>
          <cell r="P4535">
            <v>747</v>
          </cell>
          <cell r="V4535" t="str">
            <v>Available</v>
          </cell>
        </row>
        <row r="4536">
          <cell r="E4536">
            <v>10530062</v>
          </cell>
          <cell r="H4536">
            <v>19.72</v>
          </cell>
          <cell r="I4536">
            <v>858.91</v>
          </cell>
          <cell r="J4536">
            <v>0</v>
          </cell>
          <cell r="K4536">
            <v>0</v>
          </cell>
          <cell r="M4536">
            <v>0</v>
          </cell>
          <cell r="P4536">
            <v>859</v>
          </cell>
          <cell r="V4536" t="str">
            <v>Available</v>
          </cell>
        </row>
        <row r="4537">
          <cell r="E4537">
            <v>10530062</v>
          </cell>
          <cell r="H4537">
            <v>131.94</v>
          </cell>
          <cell r="I4537">
            <v>6440.62</v>
          </cell>
          <cell r="J4537">
            <v>0</v>
          </cell>
          <cell r="K4537">
            <v>0</v>
          </cell>
          <cell r="M4537">
            <v>0</v>
          </cell>
          <cell r="P4537">
            <v>6441</v>
          </cell>
          <cell r="V4537" t="str">
            <v>Available</v>
          </cell>
        </row>
        <row r="4538">
          <cell r="E4538">
            <v>10530062</v>
          </cell>
          <cell r="H4538">
            <v>87.49</v>
          </cell>
          <cell r="I4538">
            <v>3775.7399999999993</v>
          </cell>
          <cell r="J4538">
            <v>0</v>
          </cell>
          <cell r="K4538">
            <v>0</v>
          </cell>
          <cell r="M4538">
            <v>0</v>
          </cell>
          <cell r="P4538">
            <v>3776</v>
          </cell>
          <cell r="V4538" t="str">
            <v>Available</v>
          </cell>
        </row>
        <row r="4539">
          <cell r="E4539">
            <v>10530062</v>
          </cell>
          <cell r="H4539">
            <v>6.64</v>
          </cell>
          <cell r="I4539">
            <v>254.49</v>
          </cell>
          <cell r="J4539">
            <v>0</v>
          </cell>
          <cell r="K4539">
            <v>0</v>
          </cell>
          <cell r="M4539">
            <v>0</v>
          </cell>
          <cell r="P4539">
            <v>254</v>
          </cell>
          <cell r="V4539" t="str">
            <v>Available</v>
          </cell>
        </row>
        <row r="4540">
          <cell r="E4540">
            <v>10530062</v>
          </cell>
          <cell r="H4540">
            <v>61.149999999999991</v>
          </cell>
          <cell r="I4540">
            <v>2153.5700000000002</v>
          </cell>
          <cell r="J4540">
            <v>0</v>
          </cell>
          <cell r="K4540">
            <v>0</v>
          </cell>
          <cell r="M4540">
            <v>0</v>
          </cell>
          <cell r="P4540">
            <v>2154</v>
          </cell>
          <cell r="V4540" t="str">
            <v>Available</v>
          </cell>
        </row>
        <row r="4541">
          <cell r="E4541">
            <v>10530064</v>
          </cell>
          <cell r="H4541">
            <v>26.42</v>
          </cell>
          <cell r="I4541">
            <v>1304.1299999999999</v>
          </cell>
          <cell r="J4541">
            <v>0</v>
          </cell>
          <cell r="K4541">
            <v>1304.1299999999999</v>
          </cell>
          <cell r="M4541">
            <v>0</v>
          </cell>
          <cell r="P4541">
            <v>0</v>
          </cell>
          <cell r="V4541" t="str">
            <v>Not Available</v>
          </cell>
        </row>
        <row r="4542">
          <cell r="E4542">
            <v>10530064</v>
          </cell>
          <cell r="H4542">
            <v>18.690000000000001</v>
          </cell>
          <cell r="I4542">
            <v>677.41000000000008</v>
          </cell>
          <cell r="J4542">
            <v>0</v>
          </cell>
          <cell r="K4542">
            <v>0</v>
          </cell>
          <cell r="M4542">
            <v>0</v>
          </cell>
          <cell r="P4542">
            <v>677</v>
          </cell>
          <cell r="V4542" t="str">
            <v>Available</v>
          </cell>
        </row>
        <row r="4543">
          <cell r="E4543">
            <v>10530064</v>
          </cell>
          <cell r="H4543">
            <v>40.67</v>
          </cell>
          <cell r="I4543">
            <v>1670.7400000000002</v>
          </cell>
          <cell r="J4543">
            <v>0</v>
          </cell>
          <cell r="K4543">
            <v>0</v>
          </cell>
          <cell r="M4543">
            <v>0</v>
          </cell>
          <cell r="P4543">
            <v>1671</v>
          </cell>
          <cell r="V4543" t="str">
            <v>Available</v>
          </cell>
        </row>
        <row r="4544">
          <cell r="E4544">
            <v>10530064</v>
          </cell>
          <cell r="H4544">
            <v>17.13</v>
          </cell>
          <cell r="I4544">
            <v>842.7600000000001</v>
          </cell>
          <cell r="J4544">
            <v>0</v>
          </cell>
          <cell r="K4544">
            <v>0</v>
          </cell>
          <cell r="M4544">
            <v>0</v>
          </cell>
          <cell r="P4544">
            <v>843</v>
          </cell>
          <cell r="V4544" t="str">
            <v>Available</v>
          </cell>
        </row>
        <row r="4545">
          <cell r="E4545">
            <v>10530064</v>
          </cell>
          <cell r="H4545">
            <v>16.12</v>
          </cell>
          <cell r="I4545">
            <v>609.02</v>
          </cell>
          <cell r="J4545">
            <v>0</v>
          </cell>
          <cell r="K4545">
            <v>0</v>
          </cell>
          <cell r="M4545">
            <v>0</v>
          </cell>
          <cell r="P4545">
            <v>609</v>
          </cell>
          <cell r="V4545" t="str">
            <v>Available</v>
          </cell>
        </row>
        <row r="4546">
          <cell r="E4546">
            <v>10530064</v>
          </cell>
          <cell r="H4546">
            <v>28.709999999999997</v>
          </cell>
          <cell r="I4546">
            <v>1015.5100000000001</v>
          </cell>
          <cell r="J4546">
            <v>0</v>
          </cell>
          <cell r="K4546">
            <v>0</v>
          </cell>
          <cell r="M4546">
            <v>0</v>
          </cell>
          <cell r="P4546">
            <v>1016</v>
          </cell>
          <cell r="V4546" t="str">
            <v>Available</v>
          </cell>
        </row>
        <row r="4547">
          <cell r="E4547">
            <v>10530064</v>
          </cell>
          <cell r="H4547">
            <v>75.890000000000015</v>
          </cell>
          <cell r="I4547">
            <v>2842.4500000000003</v>
          </cell>
          <cell r="J4547">
            <v>0</v>
          </cell>
          <cell r="K4547">
            <v>0</v>
          </cell>
          <cell r="M4547">
            <v>0</v>
          </cell>
          <cell r="P4547">
            <v>2842</v>
          </cell>
          <cell r="V4547" t="str">
            <v>Available</v>
          </cell>
        </row>
        <row r="4548">
          <cell r="E4548">
            <v>10530064</v>
          </cell>
          <cell r="H4548">
            <v>2.76</v>
          </cell>
          <cell r="I4548">
            <v>127.37</v>
          </cell>
          <cell r="J4548">
            <v>0</v>
          </cell>
          <cell r="K4548">
            <v>0</v>
          </cell>
          <cell r="M4548">
            <v>0</v>
          </cell>
          <cell r="P4548">
            <v>127</v>
          </cell>
          <cell r="V4548" t="str">
            <v>Available</v>
          </cell>
        </row>
        <row r="4549">
          <cell r="E4549">
            <v>10530064</v>
          </cell>
          <cell r="H4549">
            <v>127.47</v>
          </cell>
          <cell r="I4549">
            <v>4524.6400000000003</v>
          </cell>
          <cell r="J4549">
            <v>0</v>
          </cell>
          <cell r="K4549">
            <v>0</v>
          </cell>
          <cell r="M4549">
            <v>0</v>
          </cell>
          <cell r="P4549">
            <v>4525</v>
          </cell>
          <cell r="V4549" t="str">
            <v>Available</v>
          </cell>
        </row>
        <row r="4550">
          <cell r="E4550">
            <v>10530064</v>
          </cell>
          <cell r="H4550">
            <v>3.4399999999999995</v>
          </cell>
          <cell r="I4550">
            <v>148.82999999999998</v>
          </cell>
          <cell r="J4550">
            <v>0</v>
          </cell>
          <cell r="K4550">
            <v>0</v>
          </cell>
          <cell r="M4550">
            <v>0</v>
          </cell>
          <cell r="P4550">
            <v>149</v>
          </cell>
          <cell r="V4550" t="str">
            <v>Available</v>
          </cell>
        </row>
        <row r="4551">
          <cell r="E4551">
            <v>10530064</v>
          </cell>
          <cell r="H4551">
            <v>16.57</v>
          </cell>
          <cell r="I4551">
            <v>659.07999999999993</v>
          </cell>
          <cell r="J4551">
            <v>0</v>
          </cell>
          <cell r="K4551">
            <v>0</v>
          </cell>
          <cell r="M4551">
            <v>0</v>
          </cell>
          <cell r="P4551">
            <v>659</v>
          </cell>
          <cell r="V4551" t="str">
            <v>Available</v>
          </cell>
        </row>
        <row r="4552">
          <cell r="E4552">
            <v>10530064</v>
          </cell>
          <cell r="H4552">
            <v>68.800000000000011</v>
          </cell>
          <cell r="I4552">
            <v>2363.8399999999997</v>
          </cell>
          <cell r="J4552">
            <v>0</v>
          </cell>
          <cell r="K4552">
            <v>0</v>
          </cell>
          <cell r="M4552">
            <v>1561</v>
          </cell>
          <cell r="P4552">
            <v>803</v>
          </cell>
          <cell r="V4552" t="str">
            <v>Available</v>
          </cell>
        </row>
        <row r="4553">
          <cell r="E4553">
            <v>10530064</v>
          </cell>
          <cell r="H4553">
            <v>34.89</v>
          </cell>
          <cell r="I4553">
            <v>1338.1100000000001</v>
          </cell>
          <cell r="J4553">
            <v>0</v>
          </cell>
          <cell r="K4553">
            <v>0</v>
          </cell>
          <cell r="M4553">
            <v>0</v>
          </cell>
          <cell r="P4553">
            <v>1338</v>
          </cell>
          <cell r="V4553" t="str">
            <v>Available</v>
          </cell>
        </row>
        <row r="4554">
          <cell r="E4554">
            <v>10530064</v>
          </cell>
          <cell r="H4554">
            <v>117.28999999999999</v>
          </cell>
          <cell r="I4554">
            <v>4430.9699999999993</v>
          </cell>
          <cell r="J4554">
            <v>0</v>
          </cell>
          <cell r="K4554">
            <v>0</v>
          </cell>
          <cell r="M4554">
            <v>0</v>
          </cell>
          <cell r="P4554">
            <v>4431</v>
          </cell>
          <cell r="V4554" t="str">
            <v>Available</v>
          </cell>
        </row>
        <row r="4555">
          <cell r="E4555">
            <v>10530064</v>
          </cell>
          <cell r="H4555">
            <v>82.509999999999991</v>
          </cell>
          <cell r="I4555">
            <v>5053.6899999999996</v>
          </cell>
          <cell r="J4555">
            <v>0</v>
          </cell>
          <cell r="K4555">
            <v>0</v>
          </cell>
          <cell r="M4555">
            <v>0</v>
          </cell>
          <cell r="P4555">
            <v>5054</v>
          </cell>
          <cell r="V4555" t="str">
            <v>Available</v>
          </cell>
        </row>
        <row r="4556">
          <cell r="E4556">
            <v>10530064</v>
          </cell>
          <cell r="H4556">
            <v>40.03</v>
          </cell>
          <cell r="I4556">
            <v>1463.4499999999998</v>
          </cell>
          <cell r="J4556">
            <v>0</v>
          </cell>
          <cell r="K4556">
            <v>0</v>
          </cell>
          <cell r="M4556">
            <v>0</v>
          </cell>
          <cell r="P4556">
            <v>1463</v>
          </cell>
          <cell r="V4556" t="str">
            <v>Available</v>
          </cell>
        </row>
        <row r="4557">
          <cell r="E4557">
            <v>10530064</v>
          </cell>
          <cell r="H4557">
            <v>58.910000000000011</v>
          </cell>
          <cell r="I4557">
            <v>2793.1399999999994</v>
          </cell>
          <cell r="J4557">
            <v>0</v>
          </cell>
          <cell r="K4557">
            <v>0</v>
          </cell>
          <cell r="M4557">
            <v>0</v>
          </cell>
          <cell r="P4557">
            <v>2793</v>
          </cell>
          <cell r="V4557" t="str">
            <v>Available</v>
          </cell>
        </row>
        <row r="4558">
          <cell r="E4558">
            <v>10530064</v>
          </cell>
          <cell r="H4558">
            <v>14.49</v>
          </cell>
          <cell r="I4558">
            <v>951.19999999999993</v>
          </cell>
          <cell r="J4558">
            <v>0</v>
          </cell>
          <cell r="K4558">
            <v>0</v>
          </cell>
          <cell r="M4558">
            <v>0</v>
          </cell>
          <cell r="P4558">
            <v>951</v>
          </cell>
          <cell r="V4558" t="str">
            <v>Available</v>
          </cell>
        </row>
        <row r="4559">
          <cell r="E4559">
            <v>10530064</v>
          </cell>
          <cell r="H4559">
            <v>20.47</v>
          </cell>
          <cell r="I4559">
            <v>1085.06</v>
          </cell>
          <cell r="J4559">
            <v>0</v>
          </cell>
          <cell r="K4559">
            <v>0</v>
          </cell>
          <cell r="M4559">
            <v>0</v>
          </cell>
          <cell r="P4559">
            <v>1085</v>
          </cell>
          <cell r="V4559" t="str">
            <v>Available</v>
          </cell>
        </row>
        <row r="4560">
          <cell r="E4560">
            <v>10530064</v>
          </cell>
          <cell r="H4560">
            <v>3.3499999999999996</v>
          </cell>
          <cell r="I4560">
            <v>282.72000000000003</v>
          </cell>
          <cell r="J4560">
            <v>0</v>
          </cell>
          <cell r="K4560">
            <v>0</v>
          </cell>
          <cell r="M4560">
            <v>0</v>
          </cell>
          <cell r="P4560">
            <v>283</v>
          </cell>
          <cell r="V4560" t="str">
            <v>Available</v>
          </cell>
        </row>
        <row r="4561">
          <cell r="E4561">
            <v>10530064</v>
          </cell>
          <cell r="H4561">
            <v>9.52</v>
          </cell>
          <cell r="I4561">
            <v>402.92999999999995</v>
          </cell>
          <cell r="J4561">
            <v>0</v>
          </cell>
          <cell r="K4561">
            <v>0</v>
          </cell>
          <cell r="M4561">
            <v>0</v>
          </cell>
          <cell r="P4561">
            <v>403</v>
          </cell>
          <cell r="V4561" t="str">
            <v>Available</v>
          </cell>
        </row>
        <row r="4562">
          <cell r="E4562">
            <v>10530064</v>
          </cell>
          <cell r="H4562">
            <v>7.55</v>
          </cell>
          <cell r="I4562">
            <v>345.81999999999994</v>
          </cell>
          <cell r="J4562">
            <v>0</v>
          </cell>
          <cell r="K4562">
            <v>0</v>
          </cell>
          <cell r="M4562">
            <v>0</v>
          </cell>
          <cell r="P4562">
            <v>346</v>
          </cell>
          <cell r="V4562" t="str">
            <v>Available</v>
          </cell>
        </row>
        <row r="4563">
          <cell r="E4563">
            <v>10530064</v>
          </cell>
          <cell r="H4563">
            <v>25.28</v>
          </cell>
          <cell r="I4563">
            <v>1171.47</v>
          </cell>
          <cell r="J4563">
            <v>0</v>
          </cell>
          <cell r="K4563">
            <v>0</v>
          </cell>
          <cell r="M4563">
            <v>0</v>
          </cell>
          <cell r="P4563">
            <v>1171</v>
          </cell>
          <cell r="V4563" t="str">
            <v>Available</v>
          </cell>
        </row>
        <row r="4564">
          <cell r="E4564">
            <v>10530064</v>
          </cell>
          <cell r="H4564">
            <v>13.049999999999999</v>
          </cell>
          <cell r="I4564">
            <v>624.52</v>
          </cell>
          <cell r="J4564">
            <v>0</v>
          </cell>
          <cell r="K4564">
            <v>0</v>
          </cell>
          <cell r="M4564">
            <v>0</v>
          </cell>
          <cell r="P4564">
            <v>625</v>
          </cell>
          <cell r="V4564" t="str">
            <v>Available</v>
          </cell>
        </row>
        <row r="4565">
          <cell r="E4565">
            <v>10530064</v>
          </cell>
          <cell r="H4565">
            <v>10.75</v>
          </cell>
          <cell r="I4565">
            <v>408.15999999999997</v>
          </cell>
          <cell r="J4565">
            <v>0</v>
          </cell>
          <cell r="K4565">
            <v>0</v>
          </cell>
          <cell r="M4565">
            <v>0</v>
          </cell>
          <cell r="P4565">
            <v>408</v>
          </cell>
          <cell r="V4565" t="str">
            <v>Available</v>
          </cell>
        </row>
        <row r="4566">
          <cell r="E4566">
            <v>10530064</v>
          </cell>
          <cell r="H4566">
            <v>18.160000000000004</v>
          </cell>
          <cell r="I4566">
            <v>613.4699999999998</v>
          </cell>
          <cell r="J4566">
            <v>0</v>
          </cell>
          <cell r="K4566">
            <v>0</v>
          </cell>
          <cell r="M4566">
            <v>0</v>
          </cell>
          <cell r="P4566">
            <v>613</v>
          </cell>
          <cell r="V4566" t="str">
            <v>Available</v>
          </cell>
        </row>
        <row r="4567">
          <cell r="E4567">
            <v>10530064</v>
          </cell>
          <cell r="H4567">
            <v>23.749999999999996</v>
          </cell>
          <cell r="I4567">
            <v>986.63</v>
          </cell>
          <cell r="J4567">
            <v>0</v>
          </cell>
          <cell r="K4567">
            <v>0</v>
          </cell>
          <cell r="M4567">
            <v>0</v>
          </cell>
          <cell r="P4567">
            <v>987</v>
          </cell>
          <cell r="V4567" t="str">
            <v>Available</v>
          </cell>
        </row>
        <row r="4568">
          <cell r="E4568">
            <v>10530064</v>
          </cell>
          <cell r="H4568">
            <v>32.430000000000007</v>
          </cell>
          <cell r="I4568">
            <v>1964.3000000000002</v>
          </cell>
          <cell r="J4568">
            <v>0</v>
          </cell>
          <cell r="K4568">
            <v>0</v>
          </cell>
          <cell r="M4568">
            <v>0</v>
          </cell>
          <cell r="P4568">
            <v>1964</v>
          </cell>
          <cell r="V4568" t="str">
            <v>Available</v>
          </cell>
        </row>
        <row r="4569">
          <cell r="E4569">
            <v>10530064</v>
          </cell>
          <cell r="H4569">
            <v>20.630000000000003</v>
          </cell>
          <cell r="I4569">
            <v>882.76</v>
          </cell>
          <cell r="J4569">
            <v>0</v>
          </cell>
          <cell r="K4569">
            <v>0</v>
          </cell>
          <cell r="M4569">
            <v>0</v>
          </cell>
          <cell r="P4569">
            <v>883</v>
          </cell>
          <cell r="V4569" t="str">
            <v>Available</v>
          </cell>
        </row>
        <row r="4570">
          <cell r="E4570">
            <v>10530064</v>
          </cell>
          <cell r="H4570">
            <v>14.38</v>
          </cell>
          <cell r="I4570">
            <v>520.65</v>
          </cell>
          <cell r="J4570">
            <v>0</v>
          </cell>
          <cell r="K4570">
            <v>0</v>
          </cell>
          <cell r="M4570">
            <v>0</v>
          </cell>
          <cell r="P4570">
            <v>521</v>
          </cell>
          <cell r="V4570" t="str">
            <v>Available</v>
          </cell>
        </row>
        <row r="4571">
          <cell r="E4571">
            <v>10530064</v>
          </cell>
          <cell r="H4571">
            <v>21.919999999999998</v>
          </cell>
          <cell r="I4571">
            <v>755.79</v>
          </cell>
          <cell r="J4571">
            <v>0</v>
          </cell>
          <cell r="K4571">
            <v>0</v>
          </cell>
          <cell r="M4571">
            <v>0</v>
          </cell>
          <cell r="P4571">
            <v>756</v>
          </cell>
          <cell r="V4571" t="str">
            <v>Available</v>
          </cell>
        </row>
        <row r="4572">
          <cell r="E4572">
            <v>10530064</v>
          </cell>
          <cell r="H4572">
            <v>30.170000000000005</v>
          </cell>
          <cell r="I4572">
            <v>1501.19</v>
          </cell>
          <cell r="J4572">
            <v>0</v>
          </cell>
          <cell r="K4572">
            <v>0</v>
          </cell>
          <cell r="M4572">
            <v>0</v>
          </cell>
          <cell r="P4572">
            <v>1501</v>
          </cell>
          <cell r="V4572" t="str">
            <v>Available</v>
          </cell>
        </row>
        <row r="4573">
          <cell r="E4573">
            <v>10530065</v>
          </cell>
          <cell r="H4573">
            <v>8.1100000000000012</v>
          </cell>
          <cell r="I4573">
            <v>343.04999999999995</v>
          </cell>
          <cell r="J4573">
            <v>0</v>
          </cell>
          <cell r="K4573">
            <v>343.04999999999995</v>
          </cell>
          <cell r="M4573">
            <v>0</v>
          </cell>
          <cell r="P4573">
            <v>0</v>
          </cell>
          <cell r="V4573" t="str">
            <v>Not Available</v>
          </cell>
        </row>
        <row r="4574">
          <cell r="E4574">
            <v>10530065</v>
          </cell>
          <cell r="H4574">
            <v>122.57999999999998</v>
          </cell>
          <cell r="I4574">
            <v>5847.16</v>
          </cell>
          <cell r="J4574">
            <v>0</v>
          </cell>
          <cell r="K4574">
            <v>0</v>
          </cell>
          <cell r="M4574">
            <v>0</v>
          </cell>
          <cell r="P4574">
            <v>5847</v>
          </cell>
          <cell r="V4574" t="str">
            <v>Available</v>
          </cell>
        </row>
        <row r="4575">
          <cell r="E4575">
            <v>10530065</v>
          </cell>
          <cell r="H4575">
            <v>93.4</v>
          </cell>
          <cell r="I4575">
            <v>3864.2200000000003</v>
          </cell>
          <cell r="J4575">
            <v>1500</v>
          </cell>
          <cell r="K4575">
            <v>0</v>
          </cell>
          <cell r="M4575">
            <v>0</v>
          </cell>
          <cell r="P4575">
            <v>2364</v>
          </cell>
          <cell r="V4575" t="str">
            <v>Available</v>
          </cell>
        </row>
        <row r="4576">
          <cell r="E4576">
            <v>10530065</v>
          </cell>
          <cell r="H4576">
            <v>110.98</v>
          </cell>
          <cell r="I4576">
            <v>4498.8099999999995</v>
          </cell>
          <cell r="J4576">
            <v>0</v>
          </cell>
          <cell r="K4576">
            <v>0</v>
          </cell>
          <cell r="M4576">
            <v>0</v>
          </cell>
          <cell r="P4576">
            <v>4499</v>
          </cell>
          <cell r="V4576" t="str">
            <v>Available</v>
          </cell>
        </row>
        <row r="4577">
          <cell r="E4577">
            <v>10530065</v>
          </cell>
          <cell r="H4577">
            <v>23.81</v>
          </cell>
          <cell r="I4577">
            <v>946.69</v>
          </cell>
          <cell r="J4577">
            <v>0</v>
          </cell>
          <cell r="K4577">
            <v>0</v>
          </cell>
          <cell r="M4577">
            <v>0</v>
          </cell>
          <cell r="P4577">
            <v>947</v>
          </cell>
          <cell r="V4577" t="str">
            <v>Available</v>
          </cell>
        </row>
        <row r="4578">
          <cell r="E4578">
            <v>10530065</v>
          </cell>
          <cell r="H4578">
            <v>40.72999999999999</v>
          </cell>
          <cell r="I4578">
            <v>1354.6599999999999</v>
          </cell>
          <cell r="J4578">
            <v>0</v>
          </cell>
          <cell r="K4578">
            <v>0</v>
          </cell>
          <cell r="M4578">
            <v>0</v>
          </cell>
          <cell r="P4578">
            <v>1355</v>
          </cell>
          <cell r="V4578" t="str">
            <v>Available</v>
          </cell>
        </row>
        <row r="4579">
          <cell r="E4579">
            <v>10530065</v>
          </cell>
          <cell r="H4579">
            <v>218.76</v>
          </cell>
          <cell r="I4579">
            <v>8032.04</v>
          </cell>
          <cell r="J4579">
            <v>0</v>
          </cell>
          <cell r="K4579">
            <v>0</v>
          </cell>
          <cell r="M4579">
            <v>0</v>
          </cell>
          <cell r="P4579">
            <v>8032</v>
          </cell>
          <cell r="V4579" t="str">
            <v>Available</v>
          </cell>
        </row>
        <row r="4580">
          <cell r="E4580">
            <v>10530065</v>
          </cell>
          <cell r="H4580">
            <v>109.17000000000002</v>
          </cell>
          <cell r="I4580">
            <v>3937.4000000000005</v>
          </cell>
          <cell r="J4580">
            <v>0</v>
          </cell>
          <cell r="K4580">
            <v>0</v>
          </cell>
          <cell r="M4580">
            <v>0</v>
          </cell>
          <cell r="P4580">
            <v>3937</v>
          </cell>
          <cell r="V4580" t="str">
            <v>Available</v>
          </cell>
        </row>
        <row r="4581">
          <cell r="E4581">
            <v>10530065</v>
          </cell>
          <cell r="H4581">
            <v>45.480000000000004</v>
          </cell>
          <cell r="I4581">
            <v>1797.4500000000003</v>
          </cell>
          <cell r="J4581">
            <v>0</v>
          </cell>
          <cell r="K4581">
            <v>0</v>
          </cell>
          <cell r="M4581">
            <v>0</v>
          </cell>
          <cell r="P4581">
            <v>1797</v>
          </cell>
          <cell r="V4581" t="str">
            <v>Available</v>
          </cell>
        </row>
        <row r="4582">
          <cell r="E4582">
            <v>10530067</v>
          </cell>
          <cell r="H4582">
            <v>5.63</v>
          </cell>
          <cell r="I4582">
            <v>241.81</v>
          </cell>
          <cell r="J4582">
            <v>0</v>
          </cell>
          <cell r="K4582">
            <v>241.81</v>
          </cell>
          <cell r="M4582">
            <v>0</v>
          </cell>
          <cell r="P4582">
            <v>0</v>
          </cell>
          <cell r="V4582" t="str">
            <v>Not Available</v>
          </cell>
        </row>
        <row r="4583">
          <cell r="E4583">
            <v>10530067</v>
          </cell>
          <cell r="H4583">
            <v>42.62</v>
          </cell>
          <cell r="I4583">
            <v>1847.2</v>
          </cell>
          <cell r="J4583">
            <v>0</v>
          </cell>
          <cell r="K4583">
            <v>0</v>
          </cell>
          <cell r="M4583">
            <v>0</v>
          </cell>
          <cell r="P4583">
            <v>1847</v>
          </cell>
          <cell r="V4583" t="str">
            <v>Available</v>
          </cell>
        </row>
        <row r="4584">
          <cell r="E4584">
            <v>10530067</v>
          </cell>
          <cell r="H4584">
            <v>11.870000000000001</v>
          </cell>
          <cell r="I4584">
            <v>655.28</v>
          </cell>
          <cell r="J4584">
            <v>0</v>
          </cell>
          <cell r="K4584">
            <v>0</v>
          </cell>
          <cell r="M4584">
            <v>0</v>
          </cell>
          <cell r="P4584">
            <v>655</v>
          </cell>
          <cell r="V4584" t="str">
            <v>Available</v>
          </cell>
        </row>
        <row r="4585">
          <cell r="E4585">
            <v>10530067</v>
          </cell>
          <cell r="H4585">
            <v>6.9</v>
          </cell>
          <cell r="I4585">
            <v>291.3</v>
          </cell>
          <cell r="J4585">
            <v>0</v>
          </cell>
          <cell r="K4585">
            <v>0</v>
          </cell>
          <cell r="M4585">
            <v>0</v>
          </cell>
          <cell r="P4585">
            <v>291</v>
          </cell>
          <cell r="V4585" t="str">
            <v>Available</v>
          </cell>
        </row>
        <row r="4586">
          <cell r="E4586">
            <v>10530067</v>
          </cell>
          <cell r="H4586">
            <v>21.259999999999998</v>
          </cell>
          <cell r="I4586">
            <v>932.08</v>
          </cell>
          <cell r="J4586">
            <v>0</v>
          </cell>
          <cell r="K4586">
            <v>0</v>
          </cell>
          <cell r="M4586">
            <v>0</v>
          </cell>
          <cell r="P4586">
            <v>932</v>
          </cell>
          <cell r="V4586" t="str">
            <v>Available</v>
          </cell>
        </row>
        <row r="4587">
          <cell r="E4587">
            <v>10530067</v>
          </cell>
          <cell r="H4587">
            <v>1.22</v>
          </cell>
          <cell r="I4587">
            <v>49.18</v>
          </cell>
          <cell r="J4587">
            <v>0</v>
          </cell>
          <cell r="K4587">
            <v>0</v>
          </cell>
          <cell r="M4587">
            <v>0</v>
          </cell>
          <cell r="P4587">
            <v>49</v>
          </cell>
          <cell r="V4587" t="str">
            <v>Available</v>
          </cell>
        </row>
        <row r="4588">
          <cell r="E4588">
            <v>10530067</v>
          </cell>
          <cell r="H4588">
            <v>48.699999999999996</v>
          </cell>
          <cell r="I4588">
            <v>2011.5100000000002</v>
          </cell>
          <cell r="J4588">
            <v>0</v>
          </cell>
          <cell r="K4588">
            <v>0</v>
          </cell>
          <cell r="M4588">
            <v>0</v>
          </cell>
          <cell r="P4588">
            <v>2012</v>
          </cell>
          <cell r="V4588" t="str">
            <v>Available</v>
          </cell>
        </row>
        <row r="4589">
          <cell r="E4589">
            <v>10530067</v>
          </cell>
          <cell r="H4589">
            <v>24.620000000000005</v>
          </cell>
          <cell r="I4589">
            <v>1021.74</v>
          </cell>
          <cell r="J4589">
            <v>0</v>
          </cell>
          <cell r="K4589">
            <v>0</v>
          </cell>
          <cell r="M4589">
            <v>0</v>
          </cell>
          <cell r="P4589">
            <v>1022</v>
          </cell>
          <cell r="V4589" t="str">
            <v>Available</v>
          </cell>
        </row>
        <row r="4590">
          <cell r="E4590">
            <v>10530067</v>
          </cell>
          <cell r="H4590">
            <v>7.38</v>
          </cell>
          <cell r="I4590">
            <v>305.21000000000004</v>
          </cell>
          <cell r="J4590">
            <v>0</v>
          </cell>
          <cell r="K4590">
            <v>0</v>
          </cell>
          <cell r="M4590">
            <v>0</v>
          </cell>
          <cell r="P4590">
            <v>305</v>
          </cell>
          <cell r="V4590" t="str">
            <v>Available</v>
          </cell>
        </row>
        <row r="4591">
          <cell r="E4591">
            <v>10530067</v>
          </cell>
          <cell r="H4591">
            <v>46.08</v>
          </cell>
          <cell r="I4591">
            <v>2052.64</v>
          </cell>
          <cell r="J4591">
            <v>0</v>
          </cell>
          <cell r="K4591">
            <v>0</v>
          </cell>
          <cell r="M4591">
            <v>0</v>
          </cell>
          <cell r="P4591">
            <v>2053</v>
          </cell>
          <cell r="V4591" t="str">
            <v>Available</v>
          </cell>
        </row>
        <row r="4592">
          <cell r="E4592">
            <v>10530067</v>
          </cell>
          <cell r="H4592">
            <v>5.59</v>
          </cell>
          <cell r="I4592">
            <v>213.4</v>
          </cell>
          <cell r="J4592">
            <v>0</v>
          </cell>
          <cell r="K4592">
            <v>0</v>
          </cell>
          <cell r="M4592">
            <v>0</v>
          </cell>
          <cell r="P4592">
            <v>213</v>
          </cell>
          <cell r="V4592" t="str">
            <v>Available</v>
          </cell>
        </row>
        <row r="4593">
          <cell r="E4593">
            <v>10530067</v>
          </cell>
          <cell r="H4593">
            <v>11.139999999999999</v>
          </cell>
          <cell r="I4593">
            <v>478.49</v>
          </cell>
          <cell r="J4593">
            <v>0</v>
          </cell>
          <cell r="K4593">
            <v>0</v>
          </cell>
          <cell r="M4593">
            <v>0</v>
          </cell>
          <cell r="P4593">
            <v>478</v>
          </cell>
          <cell r="V4593" t="str">
            <v>Available</v>
          </cell>
        </row>
        <row r="4594">
          <cell r="E4594">
            <v>10530067</v>
          </cell>
          <cell r="H4594">
            <v>14.26</v>
          </cell>
          <cell r="I4594">
            <v>870.27</v>
          </cell>
          <cell r="J4594">
            <v>0</v>
          </cell>
          <cell r="K4594">
            <v>0</v>
          </cell>
          <cell r="M4594">
            <v>0</v>
          </cell>
          <cell r="P4594">
            <v>870</v>
          </cell>
          <cell r="V4594" t="str">
            <v>Available</v>
          </cell>
        </row>
        <row r="4595">
          <cell r="E4595">
            <v>10530067</v>
          </cell>
          <cell r="H4595">
            <v>18.389999999999997</v>
          </cell>
          <cell r="I4595">
            <v>758.24</v>
          </cell>
          <cell r="J4595">
            <v>0</v>
          </cell>
          <cell r="K4595">
            <v>0</v>
          </cell>
          <cell r="M4595">
            <v>0</v>
          </cell>
          <cell r="P4595">
            <v>758</v>
          </cell>
          <cell r="V4595" t="str">
            <v>Available</v>
          </cell>
        </row>
        <row r="4596">
          <cell r="E4596">
            <v>10530067</v>
          </cell>
          <cell r="H4596">
            <v>6.8500000000000005</v>
          </cell>
          <cell r="I4596">
            <v>451.01</v>
          </cell>
          <cell r="J4596">
            <v>0</v>
          </cell>
          <cell r="K4596">
            <v>0</v>
          </cell>
          <cell r="M4596">
            <v>0</v>
          </cell>
          <cell r="P4596">
            <v>451</v>
          </cell>
          <cell r="V4596" t="str">
            <v>Available</v>
          </cell>
        </row>
        <row r="4597">
          <cell r="E4597">
            <v>10530067</v>
          </cell>
          <cell r="H4597">
            <v>13.769999999999998</v>
          </cell>
          <cell r="I4597">
            <v>606.92999999999995</v>
          </cell>
          <cell r="J4597">
            <v>0</v>
          </cell>
          <cell r="K4597">
            <v>0</v>
          </cell>
          <cell r="M4597">
            <v>0</v>
          </cell>
          <cell r="P4597">
            <v>607</v>
          </cell>
          <cell r="V4597" t="str">
            <v>Available</v>
          </cell>
        </row>
        <row r="4598">
          <cell r="E4598">
            <v>10530067</v>
          </cell>
          <cell r="H4598">
            <v>75.249999999999986</v>
          </cell>
          <cell r="I4598">
            <v>3067.78</v>
          </cell>
          <cell r="J4598">
            <v>0</v>
          </cell>
          <cell r="K4598">
            <v>0</v>
          </cell>
          <cell r="M4598">
            <v>0</v>
          </cell>
          <cell r="P4598">
            <v>3068</v>
          </cell>
          <cell r="V4598" t="str">
            <v>Available</v>
          </cell>
        </row>
        <row r="4599">
          <cell r="E4599">
            <v>10530067</v>
          </cell>
          <cell r="H4599">
            <v>13.229999999999999</v>
          </cell>
          <cell r="I4599">
            <v>490.34</v>
          </cell>
          <cell r="J4599">
            <v>0</v>
          </cell>
          <cell r="K4599">
            <v>0</v>
          </cell>
          <cell r="M4599">
            <v>0</v>
          </cell>
          <cell r="P4599">
            <v>490</v>
          </cell>
          <cell r="V4599" t="str">
            <v>Available</v>
          </cell>
        </row>
        <row r="4600">
          <cell r="E4600">
            <v>10530067</v>
          </cell>
          <cell r="H4600">
            <v>33.64</v>
          </cell>
          <cell r="I4600">
            <v>1350.1299999999999</v>
          </cell>
          <cell r="J4600">
            <v>0</v>
          </cell>
          <cell r="K4600">
            <v>0</v>
          </cell>
          <cell r="M4600">
            <v>0</v>
          </cell>
          <cell r="P4600">
            <v>1350</v>
          </cell>
          <cell r="V4600" t="str">
            <v>Available</v>
          </cell>
        </row>
        <row r="4601">
          <cell r="E4601">
            <v>10530067</v>
          </cell>
          <cell r="H4601">
            <v>29.58</v>
          </cell>
          <cell r="I4601">
            <v>1220.46</v>
          </cell>
          <cell r="J4601">
            <v>0</v>
          </cell>
          <cell r="K4601">
            <v>0</v>
          </cell>
          <cell r="M4601">
            <v>0</v>
          </cell>
          <cell r="P4601">
            <v>1220</v>
          </cell>
          <cell r="V4601" t="str">
            <v>Available</v>
          </cell>
        </row>
        <row r="4602">
          <cell r="E4602">
            <v>10530070</v>
          </cell>
          <cell r="H4602">
            <v>5.8200000000000012</v>
          </cell>
          <cell r="I4602">
            <v>312.07</v>
          </cell>
          <cell r="J4602">
            <v>0</v>
          </cell>
          <cell r="K4602">
            <v>312.07</v>
          </cell>
          <cell r="M4602">
            <v>0</v>
          </cell>
          <cell r="P4602">
            <v>0</v>
          </cell>
          <cell r="V4602" t="str">
            <v>Not Available</v>
          </cell>
        </row>
        <row r="4603">
          <cell r="E4603">
            <v>10530070</v>
          </cell>
          <cell r="H4603">
            <v>26.610000000000003</v>
          </cell>
          <cell r="I4603">
            <v>1475.73</v>
          </cell>
          <cell r="J4603">
            <v>0</v>
          </cell>
          <cell r="K4603">
            <v>0</v>
          </cell>
          <cell r="M4603">
            <v>0</v>
          </cell>
          <cell r="P4603">
            <v>976</v>
          </cell>
          <cell r="V4603" t="str">
            <v>Available</v>
          </cell>
        </row>
        <row r="4604">
          <cell r="E4604">
            <v>10530070</v>
          </cell>
          <cell r="H4604">
            <v>98.730000000000018</v>
          </cell>
          <cell r="I4604">
            <v>3798.63</v>
          </cell>
          <cell r="J4604">
            <v>0</v>
          </cell>
          <cell r="K4604">
            <v>0</v>
          </cell>
          <cell r="M4604">
            <v>0</v>
          </cell>
          <cell r="P4604">
            <v>3799</v>
          </cell>
          <cell r="V4604" t="str">
            <v>Available</v>
          </cell>
        </row>
        <row r="4605">
          <cell r="E4605">
            <v>10530070</v>
          </cell>
          <cell r="H4605">
            <v>13.01</v>
          </cell>
          <cell r="I4605">
            <v>512.28000000000009</v>
          </cell>
          <cell r="J4605">
            <v>0</v>
          </cell>
          <cell r="K4605">
            <v>0</v>
          </cell>
          <cell r="M4605">
            <v>0</v>
          </cell>
          <cell r="P4605">
            <v>512</v>
          </cell>
          <cell r="V4605" t="str">
            <v>Available</v>
          </cell>
        </row>
        <row r="4606">
          <cell r="E4606">
            <v>10530070</v>
          </cell>
          <cell r="H4606">
            <v>12.84</v>
          </cell>
          <cell r="I4606">
            <v>1016.18</v>
          </cell>
          <cell r="J4606">
            <v>0</v>
          </cell>
          <cell r="K4606">
            <v>0</v>
          </cell>
          <cell r="M4606">
            <v>0</v>
          </cell>
          <cell r="P4606">
            <v>1016</v>
          </cell>
          <cell r="V4606" t="str">
            <v>Available</v>
          </cell>
        </row>
        <row r="4607">
          <cell r="E4607">
            <v>10530070</v>
          </cell>
          <cell r="H4607">
            <v>11</v>
          </cell>
          <cell r="I4607">
            <v>607.32000000000005</v>
          </cell>
          <cell r="J4607">
            <v>0</v>
          </cell>
          <cell r="K4607">
            <v>0</v>
          </cell>
          <cell r="M4607">
            <v>0</v>
          </cell>
          <cell r="P4607">
            <v>607</v>
          </cell>
          <cell r="V4607" t="str">
            <v>Available</v>
          </cell>
        </row>
        <row r="4608">
          <cell r="E4608">
            <v>10530070</v>
          </cell>
          <cell r="H4608">
            <v>19.27</v>
          </cell>
          <cell r="I4608">
            <v>1322.32</v>
          </cell>
          <cell r="J4608">
            <v>0</v>
          </cell>
          <cell r="K4608">
            <v>0</v>
          </cell>
          <cell r="M4608">
            <v>0</v>
          </cell>
          <cell r="P4608">
            <v>1322</v>
          </cell>
          <cell r="V4608" t="str">
            <v>Available</v>
          </cell>
        </row>
        <row r="4609">
          <cell r="E4609">
            <v>10530070</v>
          </cell>
          <cell r="H4609">
            <v>10.95</v>
          </cell>
          <cell r="I4609">
            <v>421.99999999999994</v>
          </cell>
          <cell r="J4609">
            <v>0</v>
          </cell>
          <cell r="K4609">
            <v>0</v>
          </cell>
          <cell r="M4609">
            <v>0</v>
          </cell>
          <cell r="P4609">
            <v>422</v>
          </cell>
          <cell r="V4609" t="str">
            <v>Available</v>
          </cell>
        </row>
        <row r="4610">
          <cell r="E4610">
            <v>10530070</v>
          </cell>
          <cell r="H4610">
            <v>37.059999999999995</v>
          </cell>
          <cell r="I4610">
            <v>1735.5800000000002</v>
          </cell>
          <cell r="J4610">
            <v>0</v>
          </cell>
          <cell r="K4610">
            <v>0</v>
          </cell>
          <cell r="M4610">
            <v>0</v>
          </cell>
          <cell r="P4610">
            <v>1736</v>
          </cell>
          <cell r="V4610" t="str">
            <v>Available</v>
          </cell>
        </row>
        <row r="4611">
          <cell r="E4611">
            <v>10530070</v>
          </cell>
          <cell r="H4611">
            <v>12.190000000000001</v>
          </cell>
          <cell r="I4611">
            <v>852.28</v>
          </cell>
          <cell r="J4611">
            <v>0</v>
          </cell>
          <cell r="K4611">
            <v>0</v>
          </cell>
          <cell r="M4611">
            <v>0</v>
          </cell>
          <cell r="P4611">
            <v>852</v>
          </cell>
          <cell r="V4611" t="str">
            <v>Available</v>
          </cell>
        </row>
        <row r="4612">
          <cell r="E4612">
            <v>10530070</v>
          </cell>
          <cell r="H4612">
            <v>8.7899999999999991</v>
          </cell>
          <cell r="I4612">
            <v>343.33000000000004</v>
          </cell>
          <cell r="J4612">
            <v>0</v>
          </cell>
          <cell r="K4612">
            <v>0</v>
          </cell>
          <cell r="M4612">
            <v>0</v>
          </cell>
          <cell r="P4612">
            <v>343</v>
          </cell>
          <cell r="V4612" t="str">
            <v>Available</v>
          </cell>
        </row>
        <row r="4613">
          <cell r="E4613">
            <v>10530070</v>
          </cell>
          <cell r="H4613">
            <v>16.34</v>
          </cell>
          <cell r="I4613">
            <v>612.46</v>
          </cell>
          <cell r="J4613">
            <v>0</v>
          </cell>
          <cell r="K4613">
            <v>0</v>
          </cell>
          <cell r="M4613">
            <v>0</v>
          </cell>
          <cell r="P4613">
            <v>612</v>
          </cell>
          <cell r="V4613" t="str">
            <v>Available</v>
          </cell>
        </row>
        <row r="4614">
          <cell r="E4614">
            <v>10530070</v>
          </cell>
          <cell r="H4614">
            <v>34.029999999999994</v>
          </cell>
          <cell r="I4614">
            <v>1613.5600000000002</v>
          </cell>
          <cell r="J4614">
            <v>0</v>
          </cell>
          <cell r="K4614">
            <v>0</v>
          </cell>
          <cell r="M4614">
            <v>107</v>
          </cell>
          <cell r="P4614">
            <v>1507</v>
          </cell>
          <cell r="V4614" t="str">
            <v>Available</v>
          </cell>
        </row>
        <row r="4615">
          <cell r="E4615">
            <v>10530070</v>
          </cell>
          <cell r="H4615">
            <v>44.13000000000001</v>
          </cell>
          <cell r="I4615">
            <v>2194.4600000000005</v>
          </cell>
          <cell r="J4615">
            <v>0</v>
          </cell>
          <cell r="K4615">
            <v>0</v>
          </cell>
          <cell r="M4615">
            <v>0</v>
          </cell>
          <cell r="P4615">
            <v>2194</v>
          </cell>
          <cell r="V4615" t="str">
            <v>Available</v>
          </cell>
        </row>
        <row r="4616">
          <cell r="E4616">
            <v>10530071</v>
          </cell>
          <cell r="H4616">
            <v>169.69000000000003</v>
          </cell>
          <cell r="I4616">
            <v>9129.89</v>
          </cell>
          <cell r="J4616">
            <v>0</v>
          </cell>
          <cell r="K4616">
            <v>0</v>
          </cell>
          <cell r="M4616">
            <v>0</v>
          </cell>
          <cell r="P4616">
            <v>9130</v>
          </cell>
          <cell r="V4616" t="str">
            <v>Available</v>
          </cell>
        </row>
        <row r="4617">
          <cell r="E4617">
            <v>10530071</v>
          </cell>
          <cell r="H4617">
            <v>20.080000000000002</v>
          </cell>
          <cell r="I4617">
            <v>801.16000000000008</v>
          </cell>
          <cell r="J4617">
            <v>0</v>
          </cell>
          <cell r="K4617">
            <v>0</v>
          </cell>
          <cell r="M4617">
            <v>0</v>
          </cell>
          <cell r="P4617">
            <v>801</v>
          </cell>
          <cell r="V4617" t="str">
            <v>Available</v>
          </cell>
        </row>
        <row r="4618">
          <cell r="E4618">
            <v>10530071</v>
          </cell>
          <cell r="H4618">
            <v>21.92</v>
          </cell>
          <cell r="I4618">
            <v>1101.7199999999998</v>
          </cell>
          <cell r="J4618">
            <v>0</v>
          </cell>
          <cell r="K4618">
            <v>0</v>
          </cell>
          <cell r="M4618">
            <v>0</v>
          </cell>
          <cell r="P4618">
            <v>1102</v>
          </cell>
          <cell r="V4618" t="str">
            <v>Available</v>
          </cell>
        </row>
        <row r="4619">
          <cell r="E4619">
            <v>10530071</v>
          </cell>
          <cell r="H4619">
            <v>17.739999999999998</v>
          </cell>
          <cell r="I4619">
            <v>1312.5700000000002</v>
          </cell>
          <cell r="J4619">
            <v>0</v>
          </cell>
          <cell r="K4619">
            <v>0</v>
          </cell>
          <cell r="M4619">
            <v>0</v>
          </cell>
          <cell r="P4619">
            <v>1313</v>
          </cell>
          <cell r="V4619" t="str">
            <v>Available</v>
          </cell>
        </row>
        <row r="4620">
          <cell r="E4620">
            <v>10530071</v>
          </cell>
          <cell r="H4620">
            <v>50.699999999999996</v>
          </cell>
          <cell r="I4620">
            <v>2626.7599999999998</v>
          </cell>
          <cell r="J4620">
            <v>0</v>
          </cell>
          <cell r="K4620">
            <v>0</v>
          </cell>
          <cell r="M4620">
            <v>0</v>
          </cell>
          <cell r="P4620">
            <v>2627</v>
          </cell>
          <cell r="V4620" t="str">
            <v>Available</v>
          </cell>
        </row>
        <row r="4621">
          <cell r="E4621">
            <v>10530071</v>
          </cell>
          <cell r="H4621">
            <v>23.619999999999997</v>
          </cell>
          <cell r="I4621">
            <v>1589.4899999999998</v>
          </cell>
          <cell r="J4621">
            <v>0</v>
          </cell>
          <cell r="K4621">
            <v>0</v>
          </cell>
          <cell r="M4621">
            <v>0</v>
          </cell>
          <cell r="P4621">
            <v>1589</v>
          </cell>
          <cell r="V4621" t="str">
            <v>Available</v>
          </cell>
        </row>
        <row r="4622">
          <cell r="E4622">
            <v>10530071</v>
          </cell>
          <cell r="H4622">
            <v>2.14</v>
          </cell>
          <cell r="I4622">
            <v>109.7</v>
          </cell>
          <cell r="J4622">
            <v>0</v>
          </cell>
          <cell r="K4622">
            <v>0</v>
          </cell>
          <cell r="M4622">
            <v>0</v>
          </cell>
          <cell r="P4622">
            <v>110</v>
          </cell>
          <cell r="V4622" t="str">
            <v>Available</v>
          </cell>
        </row>
        <row r="4623">
          <cell r="E4623">
            <v>10530071</v>
          </cell>
          <cell r="H4623">
            <v>95.69</v>
          </cell>
          <cell r="I4623">
            <v>3116.5099999999998</v>
          </cell>
          <cell r="J4623">
            <v>0</v>
          </cell>
          <cell r="K4623">
            <v>0</v>
          </cell>
          <cell r="M4623">
            <v>0</v>
          </cell>
          <cell r="P4623">
            <v>3117</v>
          </cell>
          <cell r="V4623" t="str">
            <v>Available</v>
          </cell>
        </row>
        <row r="4624">
          <cell r="E4624">
            <v>10530071</v>
          </cell>
          <cell r="H4624">
            <v>26.540000000000003</v>
          </cell>
          <cell r="I4624">
            <v>1271.5999999999999</v>
          </cell>
          <cell r="J4624">
            <v>0</v>
          </cell>
          <cell r="K4624">
            <v>0</v>
          </cell>
          <cell r="M4624">
            <v>0</v>
          </cell>
          <cell r="P4624">
            <v>1272</v>
          </cell>
          <cell r="V4624" t="str">
            <v>Available</v>
          </cell>
        </row>
        <row r="4625">
          <cell r="E4625">
            <v>10530071</v>
          </cell>
          <cell r="H4625">
            <v>14.3</v>
          </cell>
          <cell r="I4625">
            <v>693.1</v>
          </cell>
          <cell r="J4625">
            <v>0</v>
          </cell>
          <cell r="K4625">
            <v>0</v>
          </cell>
          <cell r="M4625">
            <v>0</v>
          </cell>
          <cell r="P4625">
            <v>693</v>
          </cell>
          <cell r="V4625" t="str">
            <v>Available</v>
          </cell>
        </row>
        <row r="4626">
          <cell r="E4626">
            <v>10530071</v>
          </cell>
          <cell r="H4626">
            <v>22.990000000000002</v>
          </cell>
          <cell r="I4626">
            <v>1501.2599999999998</v>
          </cell>
          <cell r="J4626">
            <v>0</v>
          </cell>
          <cell r="K4626">
            <v>0</v>
          </cell>
          <cell r="M4626">
            <v>0</v>
          </cell>
          <cell r="P4626">
            <v>1501</v>
          </cell>
          <cell r="V4626" t="str">
            <v>Available</v>
          </cell>
        </row>
        <row r="4627">
          <cell r="E4627">
            <v>10530074</v>
          </cell>
          <cell r="H4627">
            <v>14.41</v>
          </cell>
          <cell r="I4627">
            <v>603.33999999999992</v>
          </cell>
          <cell r="J4627">
            <v>0</v>
          </cell>
          <cell r="K4627">
            <v>603.33999999999992</v>
          </cell>
          <cell r="M4627">
            <v>0</v>
          </cell>
          <cell r="P4627">
            <v>0</v>
          </cell>
          <cell r="V4627" t="str">
            <v>Not Available</v>
          </cell>
        </row>
        <row r="4628">
          <cell r="E4628">
            <v>10530074</v>
          </cell>
          <cell r="H4628">
            <v>2.38</v>
          </cell>
          <cell r="I4628">
            <v>96.08</v>
          </cell>
          <cell r="J4628">
            <v>0</v>
          </cell>
          <cell r="K4628">
            <v>0</v>
          </cell>
          <cell r="M4628">
            <v>0</v>
          </cell>
          <cell r="P4628">
            <v>96</v>
          </cell>
          <cell r="V4628" t="str">
            <v>Available</v>
          </cell>
        </row>
        <row r="4629">
          <cell r="E4629">
            <v>10530074</v>
          </cell>
          <cell r="H4629">
            <v>15.870000000000001</v>
          </cell>
          <cell r="I4629">
            <v>623.29</v>
          </cell>
          <cell r="J4629">
            <v>0</v>
          </cell>
          <cell r="K4629">
            <v>0</v>
          </cell>
          <cell r="M4629">
            <v>0</v>
          </cell>
          <cell r="P4629">
            <v>623</v>
          </cell>
          <cell r="V4629" t="str">
            <v>Available</v>
          </cell>
        </row>
        <row r="4630">
          <cell r="E4630">
            <v>10530074</v>
          </cell>
          <cell r="H4630">
            <v>282.24999999999994</v>
          </cell>
          <cell r="I4630">
            <v>12064.620000000003</v>
          </cell>
          <cell r="J4630">
            <v>0</v>
          </cell>
          <cell r="K4630">
            <v>0</v>
          </cell>
          <cell r="M4630">
            <v>0</v>
          </cell>
          <cell r="P4630">
            <v>12065</v>
          </cell>
          <cell r="V4630" t="str">
            <v>Available</v>
          </cell>
        </row>
        <row r="4631">
          <cell r="E4631">
            <v>10530074</v>
          </cell>
          <cell r="H4631">
            <v>13.080000000000002</v>
          </cell>
          <cell r="I4631">
            <v>527.77</v>
          </cell>
          <cell r="J4631">
            <v>0</v>
          </cell>
          <cell r="K4631">
            <v>0</v>
          </cell>
          <cell r="M4631">
            <v>0</v>
          </cell>
          <cell r="P4631">
            <v>528</v>
          </cell>
          <cell r="V4631" t="str">
            <v>Available</v>
          </cell>
        </row>
        <row r="4632">
          <cell r="E4632">
            <v>10530074</v>
          </cell>
          <cell r="H4632">
            <v>18.630000000000003</v>
          </cell>
          <cell r="I4632">
            <v>919.99</v>
          </cell>
          <cell r="J4632">
            <v>0</v>
          </cell>
          <cell r="K4632">
            <v>0</v>
          </cell>
          <cell r="M4632">
            <v>0</v>
          </cell>
          <cell r="P4632">
            <v>920</v>
          </cell>
          <cell r="V4632" t="str">
            <v>Available</v>
          </cell>
        </row>
        <row r="4633">
          <cell r="E4633">
            <v>10530074</v>
          </cell>
          <cell r="H4633">
            <v>51.679999999999993</v>
          </cell>
          <cell r="I4633">
            <v>2425.09</v>
          </cell>
          <cell r="J4633">
            <v>0</v>
          </cell>
          <cell r="K4633">
            <v>0</v>
          </cell>
          <cell r="M4633">
            <v>0</v>
          </cell>
          <cell r="P4633">
            <v>2425</v>
          </cell>
          <cell r="V4633" t="str">
            <v>Available</v>
          </cell>
        </row>
        <row r="4634">
          <cell r="E4634">
            <v>10530074</v>
          </cell>
          <cell r="H4634">
            <v>21.5</v>
          </cell>
          <cell r="I4634">
            <v>1129.6599999999999</v>
          </cell>
          <cell r="J4634">
            <v>0</v>
          </cell>
          <cell r="K4634">
            <v>0</v>
          </cell>
          <cell r="M4634">
            <v>0</v>
          </cell>
          <cell r="P4634">
            <v>1130</v>
          </cell>
          <cell r="V4634" t="str">
            <v>Available</v>
          </cell>
        </row>
        <row r="4635">
          <cell r="E4635">
            <v>10530074</v>
          </cell>
          <cell r="H4635">
            <v>56.81</v>
          </cell>
          <cell r="I4635">
            <v>2576.5299999999997</v>
          </cell>
          <cell r="J4635">
            <v>0</v>
          </cell>
          <cell r="K4635">
            <v>0</v>
          </cell>
          <cell r="M4635">
            <v>0</v>
          </cell>
          <cell r="P4635">
            <v>2577</v>
          </cell>
          <cell r="V4635" t="str">
            <v>Available</v>
          </cell>
        </row>
        <row r="4636">
          <cell r="E4636">
            <v>10530074</v>
          </cell>
          <cell r="H4636">
            <v>22.02</v>
          </cell>
          <cell r="I4636">
            <v>970.60000000000014</v>
          </cell>
          <cell r="J4636">
            <v>0</v>
          </cell>
          <cell r="K4636">
            <v>0</v>
          </cell>
          <cell r="M4636">
            <v>0</v>
          </cell>
          <cell r="P4636">
            <v>971</v>
          </cell>
          <cell r="V4636" t="str">
            <v>Available</v>
          </cell>
        </row>
        <row r="4637">
          <cell r="E4637">
            <v>10530074</v>
          </cell>
          <cell r="H4637">
            <v>8.83</v>
          </cell>
          <cell r="I4637">
            <v>372.7</v>
          </cell>
          <cell r="J4637">
            <v>0</v>
          </cell>
          <cell r="K4637">
            <v>0</v>
          </cell>
          <cell r="M4637">
            <v>0</v>
          </cell>
          <cell r="P4637">
            <v>373</v>
          </cell>
          <cell r="V4637" t="str">
            <v>Available</v>
          </cell>
        </row>
        <row r="4638">
          <cell r="E4638">
            <v>10530074</v>
          </cell>
          <cell r="H4638">
            <v>28.29</v>
          </cell>
          <cell r="I4638">
            <v>1215.77</v>
          </cell>
          <cell r="J4638">
            <v>0</v>
          </cell>
          <cell r="K4638">
            <v>0</v>
          </cell>
          <cell r="M4638">
            <v>0</v>
          </cell>
          <cell r="P4638">
            <v>1216</v>
          </cell>
          <cell r="V4638" t="str">
            <v>Available</v>
          </cell>
        </row>
        <row r="4639">
          <cell r="E4639">
            <v>10530074</v>
          </cell>
          <cell r="H4639">
            <v>5.68</v>
          </cell>
          <cell r="I4639">
            <v>198.31</v>
          </cell>
          <cell r="J4639">
            <v>0</v>
          </cell>
          <cell r="K4639">
            <v>0</v>
          </cell>
          <cell r="M4639">
            <v>0</v>
          </cell>
          <cell r="P4639">
            <v>198</v>
          </cell>
          <cell r="V4639" t="str">
            <v>Available</v>
          </cell>
        </row>
        <row r="4640">
          <cell r="E4640">
            <v>10530074</v>
          </cell>
          <cell r="H4640">
            <v>9.89</v>
          </cell>
          <cell r="I4640">
            <v>428.15999999999997</v>
          </cell>
          <cell r="J4640">
            <v>0</v>
          </cell>
          <cell r="K4640">
            <v>0</v>
          </cell>
          <cell r="M4640">
            <v>0</v>
          </cell>
          <cell r="P4640">
            <v>428</v>
          </cell>
          <cell r="V4640" t="str">
            <v>Available</v>
          </cell>
        </row>
        <row r="4641">
          <cell r="E4641">
            <v>10530074</v>
          </cell>
          <cell r="H4641">
            <v>54.28</v>
          </cell>
          <cell r="I4641">
            <v>2201.46</v>
          </cell>
          <cell r="J4641">
            <v>0</v>
          </cell>
          <cell r="K4641">
            <v>0</v>
          </cell>
          <cell r="M4641">
            <v>0</v>
          </cell>
          <cell r="P4641">
            <v>2201</v>
          </cell>
          <cell r="V4641" t="str">
            <v>Available</v>
          </cell>
        </row>
        <row r="4642">
          <cell r="E4642">
            <v>10530074</v>
          </cell>
          <cell r="H4642">
            <v>39.830000000000005</v>
          </cell>
          <cell r="I4642">
            <v>1401.4</v>
          </cell>
          <cell r="J4642">
            <v>0</v>
          </cell>
          <cell r="K4642">
            <v>0</v>
          </cell>
          <cell r="M4642">
            <v>0</v>
          </cell>
          <cell r="P4642">
            <v>1401</v>
          </cell>
          <cell r="V4642" t="str">
            <v>Available</v>
          </cell>
        </row>
        <row r="4643">
          <cell r="E4643">
            <v>10530074</v>
          </cell>
          <cell r="H4643">
            <v>66.86999999999999</v>
          </cell>
          <cell r="I4643">
            <v>2527.7699999999995</v>
          </cell>
          <cell r="J4643">
            <v>0</v>
          </cell>
          <cell r="K4643">
            <v>0</v>
          </cell>
          <cell r="M4643">
            <v>0</v>
          </cell>
          <cell r="P4643">
            <v>2528</v>
          </cell>
          <cell r="V4643" t="str">
            <v>Available</v>
          </cell>
        </row>
        <row r="4644">
          <cell r="E4644">
            <v>10530074</v>
          </cell>
          <cell r="H4644">
            <v>61.37</v>
          </cell>
          <cell r="I4644">
            <v>2490.0900000000006</v>
          </cell>
          <cell r="J4644">
            <v>0</v>
          </cell>
          <cell r="K4644">
            <v>0</v>
          </cell>
          <cell r="M4644">
            <v>0</v>
          </cell>
          <cell r="P4644">
            <v>2490</v>
          </cell>
          <cell r="V4644" t="str">
            <v>Available</v>
          </cell>
        </row>
        <row r="4645">
          <cell r="E4645">
            <v>10530074</v>
          </cell>
          <cell r="H4645">
            <v>35.430000000000007</v>
          </cell>
          <cell r="I4645">
            <v>1498.5900000000001</v>
          </cell>
          <cell r="J4645">
            <v>0</v>
          </cell>
          <cell r="K4645">
            <v>0</v>
          </cell>
          <cell r="M4645">
            <v>0</v>
          </cell>
          <cell r="P4645">
            <v>1499</v>
          </cell>
          <cell r="V4645" t="str">
            <v>Available</v>
          </cell>
        </row>
        <row r="4646">
          <cell r="E4646">
            <v>10530074</v>
          </cell>
          <cell r="H4646">
            <v>31.470000000000002</v>
          </cell>
          <cell r="I4646">
            <v>1154.8699999999999</v>
          </cell>
          <cell r="J4646">
            <v>0</v>
          </cell>
          <cell r="K4646">
            <v>0</v>
          </cell>
          <cell r="M4646">
            <v>0</v>
          </cell>
          <cell r="P4646">
            <v>1155</v>
          </cell>
          <cell r="V4646" t="str">
            <v>Available</v>
          </cell>
        </row>
        <row r="4647">
          <cell r="E4647">
            <v>10530074</v>
          </cell>
          <cell r="H4647">
            <v>16.39</v>
          </cell>
          <cell r="I4647">
            <v>640.64</v>
          </cell>
          <cell r="J4647">
            <v>0</v>
          </cell>
          <cell r="K4647">
            <v>0</v>
          </cell>
          <cell r="M4647">
            <v>0</v>
          </cell>
          <cell r="P4647">
            <v>641</v>
          </cell>
          <cell r="V4647" t="str">
            <v>Available</v>
          </cell>
        </row>
        <row r="4648">
          <cell r="E4648">
            <v>10530074</v>
          </cell>
          <cell r="H4648">
            <v>22.560000000000002</v>
          </cell>
          <cell r="I4648">
            <v>1258.55</v>
          </cell>
          <cell r="J4648">
            <v>0</v>
          </cell>
          <cell r="K4648">
            <v>0</v>
          </cell>
          <cell r="M4648">
            <v>0</v>
          </cell>
          <cell r="P4648">
            <v>1259</v>
          </cell>
          <cell r="V4648" t="str">
            <v>Available</v>
          </cell>
        </row>
        <row r="4649">
          <cell r="E4649">
            <v>10530076</v>
          </cell>
          <cell r="H4649">
            <v>27.54</v>
          </cell>
          <cell r="I4649">
            <v>1248.3399999999999</v>
          </cell>
          <cell r="J4649">
            <v>0</v>
          </cell>
          <cell r="K4649">
            <v>1248.3399999999999</v>
          </cell>
          <cell r="M4649">
            <v>0</v>
          </cell>
          <cell r="P4649">
            <v>0</v>
          </cell>
          <cell r="V4649" t="str">
            <v>Not Available</v>
          </cell>
        </row>
        <row r="4650">
          <cell r="E4650">
            <v>10530076</v>
          </cell>
          <cell r="H4650">
            <v>48.16</v>
          </cell>
          <cell r="I4650">
            <v>2156.9299999999998</v>
          </cell>
          <cell r="J4650">
            <v>0</v>
          </cell>
          <cell r="K4650">
            <v>0</v>
          </cell>
          <cell r="M4650">
            <v>1238</v>
          </cell>
          <cell r="P4650">
            <v>919</v>
          </cell>
          <cell r="V4650" t="str">
            <v>Available</v>
          </cell>
        </row>
        <row r="4651">
          <cell r="E4651">
            <v>10530076</v>
          </cell>
          <cell r="H4651">
            <v>120.24</v>
          </cell>
          <cell r="I4651">
            <v>7879.0199999999995</v>
          </cell>
          <cell r="J4651">
            <v>0</v>
          </cell>
          <cell r="K4651">
            <v>0</v>
          </cell>
          <cell r="M4651">
            <v>1550</v>
          </cell>
          <cell r="P4651">
            <v>6329</v>
          </cell>
          <cell r="V4651" t="str">
            <v>Available</v>
          </cell>
        </row>
        <row r="4652">
          <cell r="E4652">
            <v>10530076</v>
          </cell>
          <cell r="H4652">
            <v>103.33999999999997</v>
          </cell>
          <cell r="I4652">
            <v>4165.32</v>
          </cell>
          <cell r="J4652">
            <v>0</v>
          </cell>
          <cell r="K4652">
            <v>0</v>
          </cell>
          <cell r="M4652">
            <v>0</v>
          </cell>
          <cell r="P4652">
            <v>4165</v>
          </cell>
          <cell r="V4652" t="str">
            <v>Available</v>
          </cell>
        </row>
        <row r="4653">
          <cell r="E4653">
            <v>10530076</v>
          </cell>
          <cell r="H4653">
            <v>15.520000000000001</v>
          </cell>
          <cell r="I4653">
            <v>597.20000000000005</v>
          </cell>
          <cell r="J4653">
            <v>0</v>
          </cell>
          <cell r="K4653">
            <v>0</v>
          </cell>
          <cell r="M4653">
            <v>0</v>
          </cell>
          <cell r="P4653">
            <v>597</v>
          </cell>
          <cell r="V4653" t="str">
            <v>Available</v>
          </cell>
        </row>
        <row r="4654">
          <cell r="E4654">
            <v>10530076</v>
          </cell>
          <cell r="H4654">
            <v>69.720000000000013</v>
          </cell>
          <cell r="I4654">
            <v>2836.6099999999997</v>
          </cell>
          <cell r="J4654">
            <v>0</v>
          </cell>
          <cell r="K4654">
            <v>0</v>
          </cell>
          <cell r="M4654">
            <v>0</v>
          </cell>
          <cell r="P4654">
            <v>2837</v>
          </cell>
          <cell r="V4654" t="str">
            <v>Available</v>
          </cell>
        </row>
        <row r="4655">
          <cell r="E4655">
            <v>10530076</v>
          </cell>
          <cell r="H4655">
            <v>12.21</v>
          </cell>
          <cell r="I4655">
            <v>639.09</v>
          </cell>
          <cell r="J4655">
            <v>0</v>
          </cell>
          <cell r="K4655">
            <v>0</v>
          </cell>
          <cell r="M4655">
            <v>0</v>
          </cell>
          <cell r="P4655">
            <v>639</v>
          </cell>
          <cell r="V4655" t="str">
            <v>Available</v>
          </cell>
        </row>
        <row r="4656">
          <cell r="E4656">
            <v>10530076</v>
          </cell>
          <cell r="H4656">
            <v>19.61</v>
          </cell>
          <cell r="I4656">
            <v>863.33999999999992</v>
          </cell>
          <cell r="J4656">
            <v>0</v>
          </cell>
          <cell r="K4656">
            <v>0</v>
          </cell>
          <cell r="M4656">
            <v>0</v>
          </cell>
          <cell r="P4656">
            <v>863</v>
          </cell>
          <cell r="V4656" t="str">
            <v>Available</v>
          </cell>
        </row>
        <row r="4657">
          <cell r="E4657">
            <v>10530076</v>
          </cell>
          <cell r="H4657">
            <v>10.73</v>
          </cell>
          <cell r="I4657">
            <v>401.73</v>
          </cell>
          <cell r="J4657">
            <v>0</v>
          </cell>
          <cell r="K4657">
            <v>0</v>
          </cell>
          <cell r="M4657">
            <v>0</v>
          </cell>
          <cell r="P4657">
            <v>402</v>
          </cell>
          <cell r="V4657" t="str">
            <v>Available</v>
          </cell>
        </row>
        <row r="4658">
          <cell r="E4658">
            <v>10530076</v>
          </cell>
          <cell r="H4658">
            <v>70.41</v>
          </cell>
          <cell r="I4658">
            <v>4089.8700000000003</v>
          </cell>
          <cell r="J4658">
            <v>0</v>
          </cell>
          <cell r="K4658">
            <v>0</v>
          </cell>
          <cell r="M4658">
            <v>0</v>
          </cell>
          <cell r="P4658">
            <v>4090</v>
          </cell>
          <cell r="V4658" t="str">
            <v>Available</v>
          </cell>
        </row>
        <row r="4659">
          <cell r="E4659">
            <v>10530076</v>
          </cell>
          <cell r="H4659">
            <v>38.699999999999996</v>
          </cell>
          <cell r="I4659">
            <v>2108.6800000000003</v>
          </cell>
          <cell r="J4659">
            <v>0</v>
          </cell>
          <cell r="K4659">
            <v>0</v>
          </cell>
          <cell r="M4659">
            <v>0</v>
          </cell>
          <cell r="P4659">
            <v>2109</v>
          </cell>
          <cell r="V4659" t="str">
            <v>Available</v>
          </cell>
        </row>
        <row r="4660">
          <cell r="E4660">
            <v>10530076</v>
          </cell>
          <cell r="H4660">
            <v>37.589999999999996</v>
          </cell>
          <cell r="I4660">
            <v>1717.87</v>
          </cell>
          <cell r="J4660">
            <v>0</v>
          </cell>
          <cell r="K4660">
            <v>0</v>
          </cell>
          <cell r="M4660">
            <v>0</v>
          </cell>
          <cell r="P4660">
            <v>1718</v>
          </cell>
          <cell r="V4660" t="str">
            <v>Available</v>
          </cell>
        </row>
        <row r="4661">
          <cell r="E4661">
            <v>10530076</v>
          </cell>
          <cell r="H4661">
            <v>59.209999999999987</v>
          </cell>
          <cell r="I4661">
            <v>3920.7</v>
          </cell>
          <cell r="J4661">
            <v>0</v>
          </cell>
          <cell r="K4661">
            <v>0</v>
          </cell>
          <cell r="M4661">
            <v>0</v>
          </cell>
          <cell r="P4661">
            <v>3921</v>
          </cell>
          <cell r="V4661" t="str">
            <v>Available</v>
          </cell>
        </row>
        <row r="4662">
          <cell r="E4662">
            <v>10530076</v>
          </cell>
          <cell r="H4662">
            <v>88.100000000000009</v>
          </cell>
          <cell r="I4662">
            <v>5449.78</v>
          </cell>
          <cell r="J4662">
            <v>0</v>
          </cell>
          <cell r="K4662">
            <v>0</v>
          </cell>
          <cell r="M4662">
            <v>0</v>
          </cell>
          <cell r="P4662">
            <v>5450</v>
          </cell>
          <cell r="V4662" t="str">
            <v>Available</v>
          </cell>
        </row>
        <row r="4663">
          <cell r="E4663">
            <v>10530076</v>
          </cell>
          <cell r="H4663">
            <v>35.870000000000005</v>
          </cell>
          <cell r="I4663">
            <v>1532.9299999999996</v>
          </cell>
          <cell r="J4663">
            <v>0</v>
          </cell>
          <cell r="K4663">
            <v>0</v>
          </cell>
          <cell r="M4663">
            <v>0</v>
          </cell>
          <cell r="P4663">
            <v>1533</v>
          </cell>
          <cell r="V4663" t="str">
            <v>Available</v>
          </cell>
        </row>
        <row r="4664">
          <cell r="E4664">
            <v>10530076</v>
          </cell>
          <cell r="H4664">
            <v>21.060000000000002</v>
          </cell>
          <cell r="I4664">
            <v>1258.92</v>
          </cell>
          <cell r="J4664">
            <v>0</v>
          </cell>
          <cell r="K4664">
            <v>0</v>
          </cell>
          <cell r="M4664">
            <v>0</v>
          </cell>
          <cell r="P4664">
            <v>1259</v>
          </cell>
          <cell r="V4664" t="str">
            <v>Available</v>
          </cell>
        </row>
        <row r="4665">
          <cell r="E4665">
            <v>10530076</v>
          </cell>
          <cell r="H4665">
            <v>13.219999999999999</v>
          </cell>
          <cell r="I4665">
            <v>562.80999999999995</v>
          </cell>
          <cell r="J4665">
            <v>0</v>
          </cell>
          <cell r="K4665">
            <v>0</v>
          </cell>
          <cell r="M4665">
            <v>0</v>
          </cell>
          <cell r="P4665">
            <v>563</v>
          </cell>
          <cell r="V4665" t="str">
            <v>Available</v>
          </cell>
        </row>
        <row r="4666">
          <cell r="E4666">
            <v>10530076</v>
          </cell>
          <cell r="H4666">
            <v>57.97</v>
          </cell>
          <cell r="I4666">
            <v>2827.76</v>
          </cell>
          <cell r="J4666">
            <v>0</v>
          </cell>
          <cell r="K4666">
            <v>0</v>
          </cell>
          <cell r="M4666">
            <v>1238</v>
          </cell>
          <cell r="P4666">
            <v>1590</v>
          </cell>
          <cell r="V4666" t="str">
            <v>Available</v>
          </cell>
        </row>
        <row r="4667">
          <cell r="E4667">
            <v>10530076</v>
          </cell>
          <cell r="H4667">
            <v>58.980000000000004</v>
          </cell>
          <cell r="I4667">
            <v>2704.0699999999993</v>
          </cell>
          <cell r="J4667">
            <v>0</v>
          </cell>
          <cell r="K4667">
            <v>0</v>
          </cell>
          <cell r="M4667">
            <v>0</v>
          </cell>
          <cell r="P4667">
            <v>2704</v>
          </cell>
          <cell r="V4667" t="str">
            <v>Available</v>
          </cell>
        </row>
        <row r="4668">
          <cell r="E4668">
            <v>10530076</v>
          </cell>
          <cell r="H4668">
            <v>100.84</v>
          </cell>
          <cell r="I4668">
            <v>5115.2600000000011</v>
          </cell>
          <cell r="J4668">
            <v>0</v>
          </cell>
          <cell r="K4668">
            <v>0</v>
          </cell>
          <cell r="M4668">
            <v>0</v>
          </cell>
          <cell r="P4668">
            <v>5115</v>
          </cell>
          <cell r="V4668" t="str">
            <v>Available</v>
          </cell>
        </row>
        <row r="4669">
          <cell r="E4669">
            <v>10530076</v>
          </cell>
          <cell r="H4669">
            <v>35.61</v>
          </cell>
          <cell r="I4669">
            <v>1345.1699999999998</v>
          </cell>
          <cell r="J4669">
            <v>0</v>
          </cell>
          <cell r="K4669">
            <v>0</v>
          </cell>
          <cell r="M4669">
            <v>0</v>
          </cell>
          <cell r="P4669">
            <v>1345</v>
          </cell>
          <cell r="V4669" t="str">
            <v>Available</v>
          </cell>
        </row>
        <row r="4670">
          <cell r="E4670">
            <v>10530076</v>
          </cell>
          <cell r="H4670">
            <v>39.14</v>
          </cell>
          <cell r="I4670">
            <v>1627.8999999999996</v>
          </cell>
          <cell r="J4670">
            <v>0</v>
          </cell>
          <cell r="K4670">
            <v>0</v>
          </cell>
          <cell r="M4670">
            <v>0</v>
          </cell>
          <cell r="P4670">
            <v>1628</v>
          </cell>
          <cell r="V4670" t="str">
            <v>Available</v>
          </cell>
        </row>
        <row r="4671">
          <cell r="E4671">
            <v>10530076</v>
          </cell>
          <cell r="H4671">
            <v>31.29999999999999</v>
          </cell>
          <cell r="I4671">
            <v>1390.5900000000001</v>
          </cell>
          <cell r="J4671">
            <v>0</v>
          </cell>
          <cell r="K4671">
            <v>0</v>
          </cell>
          <cell r="M4671">
            <v>0</v>
          </cell>
          <cell r="P4671">
            <v>1391</v>
          </cell>
          <cell r="V4671" t="str">
            <v>Available</v>
          </cell>
        </row>
        <row r="4672">
          <cell r="E4672">
            <v>10530076</v>
          </cell>
          <cell r="H4672">
            <v>47.41</v>
          </cell>
          <cell r="I4672">
            <v>2597.7399999999998</v>
          </cell>
          <cell r="J4672">
            <v>0</v>
          </cell>
          <cell r="K4672">
            <v>0</v>
          </cell>
          <cell r="M4672">
            <v>0</v>
          </cell>
          <cell r="P4672">
            <v>2598</v>
          </cell>
          <cell r="V4672" t="str">
            <v>Available</v>
          </cell>
        </row>
        <row r="4673">
          <cell r="E4673">
            <v>10530076</v>
          </cell>
          <cell r="H4673">
            <v>54.32</v>
          </cell>
          <cell r="I4673">
            <v>3157.0899999999997</v>
          </cell>
          <cell r="J4673">
            <v>0</v>
          </cell>
          <cell r="K4673">
            <v>0</v>
          </cell>
          <cell r="M4673">
            <v>0</v>
          </cell>
          <cell r="P4673">
            <v>3157</v>
          </cell>
          <cell r="V4673" t="str">
            <v>Available</v>
          </cell>
        </row>
        <row r="4674">
          <cell r="E4674">
            <v>10530076</v>
          </cell>
          <cell r="H4674">
            <v>31.03</v>
          </cell>
          <cell r="I4674">
            <v>1076.9099999999999</v>
          </cell>
          <cell r="J4674">
            <v>0</v>
          </cell>
          <cell r="K4674">
            <v>0</v>
          </cell>
          <cell r="M4674">
            <v>0</v>
          </cell>
          <cell r="P4674">
            <v>1077</v>
          </cell>
          <cell r="V4674" t="str">
            <v>Available</v>
          </cell>
        </row>
        <row r="4675">
          <cell r="E4675">
            <v>10530076</v>
          </cell>
          <cell r="H4675">
            <v>11.16</v>
          </cell>
          <cell r="I4675">
            <v>488.09999999999997</v>
          </cell>
          <cell r="J4675">
            <v>0</v>
          </cell>
          <cell r="K4675">
            <v>0</v>
          </cell>
          <cell r="M4675">
            <v>0</v>
          </cell>
          <cell r="P4675">
            <v>488</v>
          </cell>
          <cell r="V4675" t="str">
            <v>Available</v>
          </cell>
        </row>
        <row r="4676">
          <cell r="E4676">
            <v>10530076</v>
          </cell>
          <cell r="H4676">
            <v>88.9</v>
          </cell>
          <cell r="I4676">
            <v>4296.1099999999997</v>
          </cell>
          <cell r="J4676">
            <v>0</v>
          </cell>
          <cell r="K4676">
            <v>0</v>
          </cell>
          <cell r="M4676">
            <v>0</v>
          </cell>
          <cell r="P4676">
            <v>4296</v>
          </cell>
          <cell r="V4676" t="str">
            <v>Available</v>
          </cell>
        </row>
        <row r="4677">
          <cell r="E4677">
            <v>10530076</v>
          </cell>
          <cell r="H4677">
            <v>38.349999999999994</v>
          </cell>
          <cell r="I4677">
            <v>1504.14</v>
          </cell>
          <cell r="J4677">
            <v>0</v>
          </cell>
          <cell r="K4677">
            <v>0</v>
          </cell>
          <cell r="M4677">
            <v>0</v>
          </cell>
          <cell r="P4677">
            <v>1504</v>
          </cell>
          <cell r="V4677" t="str">
            <v>Available</v>
          </cell>
        </row>
        <row r="4678">
          <cell r="E4678">
            <v>10530076</v>
          </cell>
          <cell r="H4678">
            <v>158.9</v>
          </cell>
          <cell r="I4678">
            <v>6962.64</v>
          </cell>
          <cell r="J4678">
            <v>0</v>
          </cell>
          <cell r="K4678">
            <v>0</v>
          </cell>
          <cell r="M4678">
            <v>1550</v>
          </cell>
          <cell r="P4678">
            <v>5413</v>
          </cell>
          <cell r="V4678" t="str">
            <v>Available</v>
          </cell>
        </row>
        <row r="4679">
          <cell r="E4679">
            <v>10530076</v>
          </cell>
          <cell r="H4679">
            <v>85.419999999999987</v>
          </cell>
          <cell r="I4679">
            <v>3321.73</v>
          </cell>
          <cell r="J4679">
            <v>0</v>
          </cell>
          <cell r="K4679">
            <v>0</v>
          </cell>
          <cell r="M4679">
            <v>0</v>
          </cell>
          <cell r="P4679">
            <v>3322</v>
          </cell>
          <cell r="V4679" t="str">
            <v>Available</v>
          </cell>
        </row>
        <row r="4680">
          <cell r="E4680">
            <v>10530076</v>
          </cell>
          <cell r="H4680">
            <v>8.9699999999999989</v>
          </cell>
          <cell r="I4680">
            <v>427.03999999999996</v>
          </cell>
          <cell r="J4680">
            <v>0</v>
          </cell>
          <cell r="K4680">
            <v>0</v>
          </cell>
          <cell r="M4680">
            <v>0</v>
          </cell>
          <cell r="P4680">
            <v>427</v>
          </cell>
          <cell r="V4680" t="str">
            <v>Available</v>
          </cell>
        </row>
        <row r="4681">
          <cell r="E4681">
            <v>10530076</v>
          </cell>
          <cell r="H4681">
            <v>387.2700000000001</v>
          </cell>
          <cell r="I4681">
            <v>20394.599999999995</v>
          </cell>
          <cell r="J4681">
            <v>0</v>
          </cell>
          <cell r="K4681">
            <v>0</v>
          </cell>
          <cell r="M4681">
            <v>0</v>
          </cell>
          <cell r="P4681">
            <v>20395</v>
          </cell>
          <cell r="V4681" t="str">
            <v>Available</v>
          </cell>
        </row>
        <row r="4682">
          <cell r="E4682">
            <v>10530076</v>
          </cell>
          <cell r="H4682">
            <v>26.290000000000006</v>
          </cell>
          <cell r="I4682">
            <v>1132.69</v>
          </cell>
          <cell r="J4682">
            <v>0</v>
          </cell>
          <cell r="K4682">
            <v>0</v>
          </cell>
          <cell r="M4682">
            <v>0</v>
          </cell>
          <cell r="P4682">
            <v>1133</v>
          </cell>
          <cell r="V4682" t="str">
            <v>Available</v>
          </cell>
        </row>
        <row r="4683">
          <cell r="E4683">
            <v>10530076</v>
          </cell>
          <cell r="H4683">
            <v>3.91</v>
          </cell>
          <cell r="I4683">
            <v>163.37</v>
          </cell>
          <cell r="J4683">
            <v>0</v>
          </cell>
          <cell r="K4683">
            <v>0</v>
          </cell>
          <cell r="M4683">
            <v>0</v>
          </cell>
          <cell r="P4683">
            <v>163</v>
          </cell>
          <cell r="V4683" t="str">
            <v>Available</v>
          </cell>
        </row>
        <row r="4684">
          <cell r="E4684">
            <v>10530076</v>
          </cell>
          <cell r="H4684">
            <v>44.029999999999994</v>
          </cell>
          <cell r="I4684">
            <v>2152.2800000000002</v>
          </cell>
          <cell r="J4684">
            <v>0</v>
          </cell>
          <cell r="K4684">
            <v>0</v>
          </cell>
          <cell r="M4684">
            <v>0</v>
          </cell>
          <cell r="P4684">
            <v>2152</v>
          </cell>
          <cell r="V4684" t="str">
            <v>Available</v>
          </cell>
        </row>
        <row r="4685">
          <cell r="E4685">
            <v>10530076</v>
          </cell>
          <cell r="H4685">
            <v>16.54</v>
          </cell>
          <cell r="I4685">
            <v>1229.8799999999999</v>
          </cell>
          <cell r="J4685">
            <v>0</v>
          </cell>
          <cell r="K4685">
            <v>0</v>
          </cell>
          <cell r="M4685">
            <v>0</v>
          </cell>
          <cell r="P4685">
            <v>1230</v>
          </cell>
          <cell r="V4685" t="str">
            <v>Available</v>
          </cell>
        </row>
        <row r="4686">
          <cell r="E4686">
            <v>10530076</v>
          </cell>
          <cell r="H4686">
            <v>23.85</v>
          </cell>
          <cell r="I4686">
            <v>936.82999999999993</v>
          </cell>
          <cell r="J4686">
            <v>0</v>
          </cell>
          <cell r="K4686">
            <v>0</v>
          </cell>
          <cell r="M4686">
            <v>0</v>
          </cell>
          <cell r="P4686">
            <v>937</v>
          </cell>
          <cell r="V4686" t="str">
            <v>Available</v>
          </cell>
        </row>
        <row r="4687">
          <cell r="E4687">
            <v>10530076</v>
          </cell>
          <cell r="H4687">
            <v>48.02</v>
          </cell>
          <cell r="I4687">
            <v>1813.4699999999998</v>
          </cell>
          <cell r="J4687">
            <v>0</v>
          </cell>
          <cell r="K4687">
            <v>0</v>
          </cell>
          <cell r="M4687">
            <v>0</v>
          </cell>
          <cell r="P4687">
            <v>1813</v>
          </cell>
          <cell r="V4687" t="str">
            <v>Available</v>
          </cell>
        </row>
        <row r="4688">
          <cell r="E4688">
            <v>10530076</v>
          </cell>
          <cell r="H4688">
            <v>45.759999999999991</v>
          </cell>
          <cell r="I4688">
            <v>2320.0899999999997</v>
          </cell>
          <cell r="J4688">
            <v>0</v>
          </cell>
          <cell r="K4688">
            <v>0</v>
          </cell>
          <cell r="M4688">
            <v>0</v>
          </cell>
          <cell r="P4688">
            <v>2320</v>
          </cell>
          <cell r="V4688" t="str">
            <v>Available</v>
          </cell>
        </row>
        <row r="4689">
          <cell r="E4689">
            <v>10530076</v>
          </cell>
          <cell r="H4689">
            <v>29.549999999999997</v>
          </cell>
          <cell r="I4689">
            <v>1192.05</v>
          </cell>
          <cell r="J4689">
            <v>0</v>
          </cell>
          <cell r="K4689">
            <v>0</v>
          </cell>
          <cell r="M4689">
            <v>0</v>
          </cell>
          <cell r="P4689">
            <v>1192</v>
          </cell>
          <cell r="V4689" t="str">
            <v>Available</v>
          </cell>
        </row>
        <row r="4690">
          <cell r="E4690">
            <v>10530076</v>
          </cell>
          <cell r="H4690">
            <v>5.23</v>
          </cell>
          <cell r="I4690">
            <v>404.54</v>
          </cell>
          <cell r="J4690">
            <v>0</v>
          </cell>
          <cell r="K4690">
            <v>0</v>
          </cell>
          <cell r="M4690">
            <v>0</v>
          </cell>
          <cell r="P4690">
            <v>405</v>
          </cell>
          <cell r="V4690" t="str">
            <v>Available</v>
          </cell>
        </row>
        <row r="4691">
          <cell r="E4691">
            <v>10530076</v>
          </cell>
          <cell r="H4691">
            <v>37.549999999999997</v>
          </cell>
          <cell r="I4691">
            <v>1497.04</v>
          </cell>
          <cell r="J4691">
            <v>0</v>
          </cell>
          <cell r="K4691">
            <v>0</v>
          </cell>
          <cell r="M4691">
            <v>0</v>
          </cell>
          <cell r="P4691">
            <v>1497</v>
          </cell>
          <cell r="V4691" t="str">
            <v>Available</v>
          </cell>
        </row>
        <row r="4692">
          <cell r="E4692">
            <v>10530076</v>
          </cell>
          <cell r="H4692">
            <v>89.86999999999999</v>
          </cell>
          <cell r="I4692">
            <v>3279.4400000000005</v>
          </cell>
          <cell r="J4692">
            <v>0</v>
          </cell>
          <cell r="K4692">
            <v>0</v>
          </cell>
          <cell r="M4692">
            <v>0</v>
          </cell>
          <cell r="P4692">
            <v>3279</v>
          </cell>
          <cell r="V4692" t="str">
            <v>Available</v>
          </cell>
        </row>
        <row r="4693">
          <cell r="E4693">
            <v>10530076</v>
          </cell>
          <cell r="H4693">
            <v>18.66</v>
          </cell>
          <cell r="I4693">
            <v>681.33999999999992</v>
          </cell>
          <cell r="J4693">
            <v>0</v>
          </cell>
          <cell r="K4693">
            <v>0</v>
          </cell>
          <cell r="M4693">
            <v>0</v>
          </cell>
          <cell r="P4693">
            <v>681</v>
          </cell>
          <cell r="V4693" t="str">
            <v>Available</v>
          </cell>
        </row>
        <row r="4694">
          <cell r="E4694">
            <v>10530076</v>
          </cell>
          <cell r="H4694">
            <v>10.940000000000001</v>
          </cell>
          <cell r="I4694">
            <v>854.43</v>
          </cell>
          <cell r="J4694">
            <v>0</v>
          </cell>
          <cell r="K4694">
            <v>0</v>
          </cell>
          <cell r="M4694">
            <v>0</v>
          </cell>
          <cell r="P4694">
            <v>854</v>
          </cell>
          <cell r="V4694" t="str">
            <v>Available</v>
          </cell>
        </row>
        <row r="4695">
          <cell r="E4695">
            <v>10530076</v>
          </cell>
          <cell r="H4695">
            <v>2.4900000000000002</v>
          </cell>
          <cell r="I4695">
            <v>189.89</v>
          </cell>
          <cell r="J4695">
            <v>0</v>
          </cell>
          <cell r="K4695">
            <v>0</v>
          </cell>
          <cell r="M4695">
            <v>0</v>
          </cell>
          <cell r="P4695">
            <v>190</v>
          </cell>
          <cell r="V4695" t="str">
            <v>Available</v>
          </cell>
        </row>
        <row r="4696">
          <cell r="E4696">
            <v>10530076</v>
          </cell>
          <cell r="H4696">
            <v>10.3</v>
          </cell>
          <cell r="I4696">
            <v>361.53</v>
          </cell>
          <cell r="J4696">
            <v>0</v>
          </cell>
          <cell r="K4696">
            <v>0</v>
          </cell>
          <cell r="M4696">
            <v>0</v>
          </cell>
          <cell r="P4696">
            <v>362</v>
          </cell>
          <cell r="V4696" t="str">
            <v>Available</v>
          </cell>
        </row>
        <row r="4697">
          <cell r="E4697">
            <v>10530076</v>
          </cell>
          <cell r="H4697">
            <v>5.07</v>
          </cell>
          <cell r="I4697">
            <v>248.81</v>
          </cell>
          <cell r="J4697">
            <v>0</v>
          </cell>
          <cell r="K4697">
            <v>0</v>
          </cell>
          <cell r="M4697">
            <v>0</v>
          </cell>
          <cell r="P4697">
            <v>249</v>
          </cell>
          <cell r="V4697" t="str">
            <v>Available</v>
          </cell>
        </row>
        <row r="4698">
          <cell r="E4698">
            <v>10530076</v>
          </cell>
          <cell r="H4698">
            <v>51.650000000000013</v>
          </cell>
          <cell r="I4698">
            <v>1743.8400000000001</v>
          </cell>
          <cell r="J4698">
            <v>0</v>
          </cell>
          <cell r="K4698">
            <v>0</v>
          </cell>
          <cell r="M4698">
            <v>0</v>
          </cell>
          <cell r="P4698">
            <v>1744</v>
          </cell>
          <cell r="V4698" t="str">
            <v>Available</v>
          </cell>
        </row>
        <row r="4699">
          <cell r="E4699">
            <v>10530078</v>
          </cell>
          <cell r="H4699">
            <v>44.010000000000005</v>
          </cell>
          <cell r="I4699">
            <v>1930.8500000000001</v>
          </cell>
          <cell r="J4699">
            <v>0</v>
          </cell>
          <cell r="K4699">
            <v>1930.8500000000001</v>
          </cell>
          <cell r="M4699">
            <v>0</v>
          </cell>
          <cell r="P4699">
            <v>0</v>
          </cell>
          <cell r="V4699" t="str">
            <v>Not Available</v>
          </cell>
        </row>
        <row r="4700">
          <cell r="E4700">
            <v>10530078</v>
          </cell>
          <cell r="H4700">
            <v>555.74</v>
          </cell>
          <cell r="I4700">
            <v>25151.870000000006</v>
          </cell>
          <cell r="J4700">
            <v>0</v>
          </cell>
          <cell r="K4700">
            <v>0</v>
          </cell>
          <cell r="M4700">
            <v>1554</v>
          </cell>
          <cell r="P4700">
            <v>23598</v>
          </cell>
          <cell r="V4700" t="str">
            <v>Available</v>
          </cell>
        </row>
        <row r="4701">
          <cell r="E4701">
            <v>10530078</v>
          </cell>
          <cell r="H4701">
            <v>0.9</v>
          </cell>
          <cell r="I4701">
            <v>24.19</v>
          </cell>
          <cell r="J4701">
            <v>0</v>
          </cell>
          <cell r="K4701">
            <v>0</v>
          </cell>
          <cell r="M4701">
            <v>0</v>
          </cell>
          <cell r="P4701">
            <v>24</v>
          </cell>
          <cell r="V4701" t="str">
            <v>Available</v>
          </cell>
        </row>
        <row r="4702">
          <cell r="E4702">
            <v>10530078</v>
          </cell>
          <cell r="H4702">
            <v>12.290000000000001</v>
          </cell>
          <cell r="I4702">
            <v>557.32000000000005</v>
          </cell>
          <cell r="J4702">
            <v>0</v>
          </cell>
          <cell r="K4702">
            <v>0</v>
          </cell>
          <cell r="M4702">
            <v>0</v>
          </cell>
          <cell r="P4702">
            <v>557</v>
          </cell>
          <cell r="V4702" t="str">
            <v>Available</v>
          </cell>
        </row>
        <row r="4703">
          <cell r="E4703">
            <v>10530078</v>
          </cell>
          <cell r="H4703">
            <v>0.8</v>
          </cell>
          <cell r="I4703">
            <v>21.5</v>
          </cell>
          <cell r="J4703">
            <v>0</v>
          </cell>
          <cell r="K4703">
            <v>0</v>
          </cell>
          <cell r="M4703">
            <v>0</v>
          </cell>
          <cell r="P4703">
            <v>22</v>
          </cell>
          <cell r="V4703" t="str">
            <v>Available</v>
          </cell>
        </row>
        <row r="4704">
          <cell r="E4704">
            <v>10530078</v>
          </cell>
          <cell r="H4704">
            <v>66.539999999999992</v>
          </cell>
          <cell r="I4704">
            <v>2613.7599999999998</v>
          </cell>
          <cell r="J4704">
            <v>0</v>
          </cell>
          <cell r="K4704">
            <v>0</v>
          </cell>
          <cell r="M4704">
            <v>0</v>
          </cell>
          <cell r="P4704">
            <v>2614</v>
          </cell>
          <cell r="V4704" t="str">
            <v>Available</v>
          </cell>
        </row>
        <row r="4705">
          <cell r="E4705">
            <v>10530078</v>
          </cell>
          <cell r="H4705">
            <v>16.22</v>
          </cell>
          <cell r="I4705">
            <v>571.70000000000005</v>
          </cell>
          <cell r="J4705">
            <v>0</v>
          </cell>
          <cell r="K4705">
            <v>0</v>
          </cell>
          <cell r="M4705">
            <v>0</v>
          </cell>
          <cell r="P4705">
            <v>572</v>
          </cell>
          <cell r="V4705" t="str">
            <v>Available</v>
          </cell>
        </row>
        <row r="4706">
          <cell r="E4706">
            <v>10530078</v>
          </cell>
          <cell r="H4706">
            <v>56.500000000000007</v>
          </cell>
          <cell r="I4706">
            <v>1994.1699999999998</v>
          </cell>
          <cell r="J4706">
            <v>0</v>
          </cell>
          <cell r="K4706">
            <v>0</v>
          </cell>
          <cell r="M4706">
            <v>0</v>
          </cell>
          <cell r="P4706">
            <v>1994</v>
          </cell>
          <cell r="V4706" t="str">
            <v>Available</v>
          </cell>
        </row>
        <row r="4707">
          <cell r="E4707">
            <v>10530078</v>
          </cell>
          <cell r="H4707">
            <v>0.8</v>
          </cell>
          <cell r="I4707">
            <v>21.5</v>
          </cell>
          <cell r="J4707">
            <v>0</v>
          </cell>
          <cell r="K4707">
            <v>0</v>
          </cell>
          <cell r="M4707">
            <v>0</v>
          </cell>
          <cell r="P4707">
            <v>22</v>
          </cell>
          <cell r="V4707" t="str">
            <v>Available</v>
          </cell>
        </row>
        <row r="4708">
          <cell r="E4708">
            <v>10530078</v>
          </cell>
          <cell r="H4708">
            <v>0.8</v>
          </cell>
          <cell r="I4708">
            <v>21.5</v>
          </cell>
          <cell r="J4708">
            <v>0</v>
          </cell>
          <cell r="K4708">
            <v>0</v>
          </cell>
          <cell r="M4708">
            <v>0</v>
          </cell>
          <cell r="P4708">
            <v>22</v>
          </cell>
          <cell r="V4708" t="str">
            <v>Available</v>
          </cell>
        </row>
        <row r="4709">
          <cell r="E4709">
            <v>10530078</v>
          </cell>
          <cell r="H4709">
            <v>0.8</v>
          </cell>
          <cell r="I4709">
            <v>21.5</v>
          </cell>
          <cell r="J4709">
            <v>0</v>
          </cell>
          <cell r="K4709">
            <v>0</v>
          </cell>
          <cell r="M4709">
            <v>0</v>
          </cell>
          <cell r="P4709">
            <v>22</v>
          </cell>
          <cell r="V4709" t="str">
            <v>Available</v>
          </cell>
        </row>
        <row r="4710">
          <cell r="E4710">
            <v>10530078</v>
          </cell>
          <cell r="H4710">
            <v>63</v>
          </cell>
          <cell r="I4710">
            <v>2710.9200000000005</v>
          </cell>
          <cell r="J4710">
            <v>0</v>
          </cell>
          <cell r="K4710">
            <v>0</v>
          </cell>
          <cell r="M4710">
            <v>0</v>
          </cell>
          <cell r="P4710">
            <v>2711</v>
          </cell>
          <cell r="V4710" t="str">
            <v>Available</v>
          </cell>
        </row>
        <row r="4711">
          <cell r="E4711">
            <v>10530078</v>
          </cell>
          <cell r="H4711">
            <v>0.8</v>
          </cell>
          <cell r="I4711">
            <v>21.5</v>
          </cell>
          <cell r="J4711">
            <v>0</v>
          </cell>
          <cell r="K4711">
            <v>0</v>
          </cell>
          <cell r="M4711">
            <v>0</v>
          </cell>
          <cell r="P4711">
            <v>22</v>
          </cell>
          <cell r="V4711" t="str">
            <v>Available</v>
          </cell>
        </row>
        <row r="4712">
          <cell r="E4712">
            <v>10530078</v>
          </cell>
          <cell r="H4712">
            <v>0.8</v>
          </cell>
          <cell r="I4712">
            <v>21.5</v>
          </cell>
          <cell r="J4712">
            <v>0</v>
          </cell>
          <cell r="K4712">
            <v>0</v>
          </cell>
          <cell r="M4712">
            <v>0</v>
          </cell>
          <cell r="P4712">
            <v>22</v>
          </cell>
          <cell r="V4712" t="str">
            <v>Available</v>
          </cell>
        </row>
        <row r="4713">
          <cell r="E4713">
            <v>10530078</v>
          </cell>
          <cell r="H4713">
            <v>0.8</v>
          </cell>
          <cell r="I4713">
            <v>21.5</v>
          </cell>
          <cell r="J4713">
            <v>0</v>
          </cell>
          <cell r="K4713">
            <v>0</v>
          </cell>
          <cell r="M4713">
            <v>0</v>
          </cell>
          <cell r="P4713">
            <v>22</v>
          </cell>
          <cell r="V4713" t="str">
            <v>Available</v>
          </cell>
        </row>
        <row r="4714">
          <cell r="E4714">
            <v>10530078</v>
          </cell>
          <cell r="H4714">
            <v>0.8</v>
          </cell>
          <cell r="I4714">
            <v>21.5</v>
          </cell>
          <cell r="J4714">
            <v>0</v>
          </cell>
          <cell r="K4714">
            <v>0</v>
          </cell>
          <cell r="M4714">
            <v>0</v>
          </cell>
          <cell r="P4714">
            <v>22</v>
          </cell>
          <cell r="V4714" t="str">
            <v>Available</v>
          </cell>
        </row>
        <row r="4715">
          <cell r="E4715">
            <v>10530078</v>
          </cell>
          <cell r="H4715">
            <v>0.8</v>
          </cell>
          <cell r="I4715">
            <v>21.5</v>
          </cell>
          <cell r="J4715">
            <v>0</v>
          </cell>
          <cell r="K4715">
            <v>0</v>
          </cell>
          <cell r="M4715">
            <v>0</v>
          </cell>
          <cell r="P4715">
            <v>22</v>
          </cell>
          <cell r="V4715" t="str">
            <v>Available</v>
          </cell>
        </row>
        <row r="4716">
          <cell r="E4716">
            <v>10530078</v>
          </cell>
          <cell r="H4716">
            <v>19.850000000000001</v>
          </cell>
          <cell r="I4716">
            <v>891.27</v>
          </cell>
          <cell r="J4716">
            <v>0</v>
          </cell>
          <cell r="K4716">
            <v>0</v>
          </cell>
          <cell r="M4716">
            <v>0</v>
          </cell>
          <cell r="P4716">
            <v>891</v>
          </cell>
          <cell r="V4716" t="str">
            <v>Available</v>
          </cell>
        </row>
        <row r="4717">
          <cell r="E4717">
            <v>10530078</v>
          </cell>
          <cell r="H4717">
            <v>42.539999999999992</v>
          </cell>
          <cell r="I4717">
            <v>1908.81</v>
          </cell>
          <cell r="J4717">
            <v>0</v>
          </cell>
          <cell r="K4717">
            <v>0</v>
          </cell>
          <cell r="M4717">
            <v>0</v>
          </cell>
          <cell r="P4717">
            <v>1909</v>
          </cell>
          <cell r="V4717" t="str">
            <v>Available</v>
          </cell>
        </row>
        <row r="4718">
          <cell r="E4718">
            <v>10530078</v>
          </cell>
          <cell r="H4718">
            <v>12.120000000000001</v>
          </cell>
          <cell r="I4718">
            <v>543.27</v>
          </cell>
          <cell r="J4718">
            <v>0</v>
          </cell>
          <cell r="K4718">
            <v>0</v>
          </cell>
          <cell r="M4718">
            <v>543</v>
          </cell>
          <cell r="P4718">
            <v>0</v>
          </cell>
          <cell r="V4718" t="str">
            <v>Available</v>
          </cell>
        </row>
        <row r="4719">
          <cell r="E4719">
            <v>10530078</v>
          </cell>
          <cell r="H4719">
            <v>147.07</v>
          </cell>
          <cell r="I4719">
            <v>5899.5899999999992</v>
          </cell>
          <cell r="J4719">
            <v>0</v>
          </cell>
          <cell r="K4719">
            <v>0</v>
          </cell>
          <cell r="M4719">
            <v>0</v>
          </cell>
          <cell r="P4719">
            <v>5900</v>
          </cell>
          <cell r="V4719" t="str">
            <v>Available</v>
          </cell>
        </row>
        <row r="4720">
          <cell r="E4720">
            <v>10530081</v>
          </cell>
          <cell r="H4720">
            <v>19.53</v>
          </cell>
          <cell r="I4720">
            <v>923.33</v>
          </cell>
          <cell r="J4720">
            <v>0</v>
          </cell>
          <cell r="K4720">
            <v>923.33</v>
          </cell>
          <cell r="M4720">
            <v>0</v>
          </cell>
          <cell r="P4720">
            <v>0</v>
          </cell>
          <cell r="V4720" t="str">
            <v>Not Available</v>
          </cell>
        </row>
        <row r="4721">
          <cell r="E4721">
            <v>10530081</v>
          </cell>
          <cell r="H4721">
            <v>35.769999999999996</v>
          </cell>
          <cell r="I4721">
            <v>2133.0299999999997</v>
          </cell>
          <cell r="J4721">
            <v>0</v>
          </cell>
          <cell r="K4721">
            <v>0</v>
          </cell>
          <cell r="M4721">
            <v>1400</v>
          </cell>
          <cell r="P4721">
            <v>733</v>
          </cell>
          <cell r="V4721" t="str">
            <v>Available</v>
          </cell>
        </row>
        <row r="4722">
          <cell r="E4722">
            <v>10530081</v>
          </cell>
          <cell r="H4722">
            <v>35.130000000000003</v>
          </cell>
          <cell r="I4722">
            <v>1717.68</v>
          </cell>
          <cell r="J4722">
            <v>0</v>
          </cell>
          <cell r="K4722">
            <v>0</v>
          </cell>
          <cell r="M4722">
            <v>0</v>
          </cell>
          <cell r="P4722">
            <v>1718</v>
          </cell>
          <cell r="V4722" t="str">
            <v>Available</v>
          </cell>
        </row>
        <row r="4723">
          <cell r="E4723">
            <v>10530081</v>
          </cell>
          <cell r="H4723">
            <v>82.58</v>
          </cell>
          <cell r="I4723">
            <v>3705.3599999999997</v>
          </cell>
          <cell r="J4723">
            <v>0</v>
          </cell>
          <cell r="K4723">
            <v>0</v>
          </cell>
          <cell r="M4723">
            <v>0</v>
          </cell>
          <cell r="P4723">
            <v>3705</v>
          </cell>
          <cell r="V4723" t="str">
            <v>Available</v>
          </cell>
        </row>
        <row r="4724">
          <cell r="E4724">
            <v>10530081</v>
          </cell>
          <cell r="H4724">
            <v>26.93</v>
          </cell>
          <cell r="I4724">
            <v>1108.31</v>
          </cell>
          <cell r="J4724">
            <v>0</v>
          </cell>
          <cell r="K4724">
            <v>0</v>
          </cell>
          <cell r="M4724">
            <v>0</v>
          </cell>
          <cell r="P4724">
            <v>1108</v>
          </cell>
          <cell r="V4724" t="str">
            <v>Available</v>
          </cell>
        </row>
        <row r="4725">
          <cell r="E4725">
            <v>10530081</v>
          </cell>
          <cell r="H4725">
            <v>34.93</v>
          </cell>
          <cell r="I4725">
            <v>1987.1000000000001</v>
          </cell>
          <cell r="J4725">
            <v>0</v>
          </cell>
          <cell r="K4725">
            <v>0</v>
          </cell>
          <cell r="M4725">
            <v>0</v>
          </cell>
          <cell r="P4725">
            <v>1987</v>
          </cell>
          <cell r="V4725" t="str">
            <v>Available</v>
          </cell>
        </row>
        <row r="4726">
          <cell r="E4726">
            <v>10530081</v>
          </cell>
          <cell r="H4726">
            <v>4.68</v>
          </cell>
          <cell r="I4726">
            <v>200.35</v>
          </cell>
          <cell r="J4726">
            <v>0</v>
          </cell>
          <cell r="K4726">
            <v>0</v>
          </cell>
          <cell r="M4726">
            <v>0</v>
          </cell>
          <cell r="P4726">
            <v>200</v>
          </cell>
          <cell r="V4726" t="str">
            <v>Available</v>
          </cell>
        </row>
        <row r="4727">
          <cell r="E4727">
            <v>10530081</v>
          </cell>
          <cell r="H4727">
            <v>30.66</v>
          </cell>
          <cell r="I4727">
            <v>2312.7000000000003</v>
          </cell>
          <cell r="J4727">
            <v>0</v>
          </cell>
          <cell r="K4727">
            <v>0</v>
          </cell>
          <cell r="M4727">
            <v>0</v>
          </cell>
          <cell r="P4727">
            <v>2313</v>
          </cell>
          <cell r="V4727" t="str">
            <v>Available</v>
          </cell>
        </row>
        <row r="4728">
          <cell r="E4728">
            <v>10530081</v>
          </cell>
          <cell r="H4728">
            <v>65.42</v>
          </cell>
          <cell r="I4728">
            <v>3208.79</v>
          </cell>
          <cell r="J4728">
            <v>0</v>
          </cell>
          <cell r="K4728">
            <v>0</v>
          </cell>
          <cell r="M4728">
            <v>0</v>
          </cell>
          <cell r="P4728">
            <v>3209</v>
          </cell>
          <cell r="V4728" t="str">
            <v>Available</v>
          </cell>
        </row>
        <row r="4729">
          <cell r="E4729">
            <v>10530081</v>
          </cell>
          <cell r="H4729">
            <v>17.37</v>
          </cell>
          <cell r="I4729">
            <v>780.43999999999994</v>
          </cell>
          <cell r="J4729">
            <v>0</v>
          </cell>
          <cell r="K4729">
            <v>0</v>
          </cell>
          <cell r="M4729">
            <v>0</v>
          </cell>
          <cell r="P4729">
            <v>780</v>
          </cell>
          <cell r="V4729" t="str">
            <v>Available</v>
          </cell>
        </row>
        <row r="4730">
          <cell r="E4730">
            <v>10530081</v>
          </cell>
          <cell r="H4730">
            <v>42.88000000000001</v>
          </cell>
          <cell r="I4730">
            <v>2198.9</v>
          </cell>
          <cell r="J4730">
            <v>0</v>
          </cell>
          <cell r="K4730">
            <v>0</v>
          </cell>
          <cell r="M4730">
            <v>0</v>
          </cell>
          <cell r="P4730">
            <v>2199</v>
          </cell>
          <cell r="V4730" t="str">
            <v>Available</v>
          </cell>
        </row>
        <row r="4731">
          <cell r="E4731">
            <v>10530081</v>
          </cell>
          <cell r="H4731">
            <v>10.37</v>
          </cell>
          <cell r="I4731">
            <v>902.81000000000017</v>
          </cell>
          <cell r="J4731">
            <v>0</v>
          </cell>
          <cell r="K4731">
            <v>0</v>
          </cell>
          <cell r="M4731">
            <v>0</v>
          </cell>
          <cell r="P4731">
            <v>903</v>
          </cell>
          <cell r="V4731" t="str">
            <v>Available</v>
          </cell>
        </row>
        <row r="4732">
          <cell r="E4732">
            <v>10530081</v>
          </cell>
          <cell r="H4732">
            <v>19.98</v>
          </cell>
          <cell r="I4732">
            <v>1379.9199999999998</v>
          </cell>
          <cell r="J4732">
            <v>0</v>
          </cell>
          <cell r="K4732">
            <v>0</v>
          </cell>
          <cell r="M4732">
            <v>0</v>
          </cell>
          <cell r="P4732">
            <v>1380</v>
          </cell>
          <cell r="V4732" t="str">
            <v>Available</v>
          </cell>
        </row>
        <row r="4733">
          <cell r="E4733">
            <v>10530081</v>
          </cell>
          <cell r="H4733">
            <v>38.479999999999997</v>
          </cell>
          <cell r="I4733">
            <v>1672.5900000000001</v>
          </cell>
          <cell r="J4733">
            <v>0</v>
          </cell>
          <cell r="K4733">
            <v>0</v>
          </cell>
          <cell r="M4733">
            <v>0</v>
          </cell>
          <cell r="P4733">
            <v>1673</v>
          </cell>
          <cell r="V4733" t="str">
            <v>Available</v>
          </cell>
        </row>
        <row r="4734">
          <cell r="E4734">
            <v>10530081</v>
          </cell>
          <cell r="H4734">
            <v>3.75</v>
          </cell>
          <cell r="I4734">
            <v>257.66000000000003</v>
          </cell>
          <cell r="J4734">
            <v>0</v>
          </cell>
          <cell r="K4734">
            <v>0</v>
          </cell>
          <cell r="M4734">
            <v>0</v>
          </cell>
          <cell r="P4734">
            <v>258</v>
          </cell>
          <cell r="V4734" t="str">
            <v>Available</v>
          </cell>
        </row>
        <row r="4735">
          <cell r="E4735">
            <v>10530081</v>
          </cell>
          <cell r="H4735">
            <v>34.839999999999996</v>
          </cell>
          <cell r="I4735">
            <v>1216.97</v>
          </cell>
          <cell r="J4735">
            <v>0</v>
          </cell>
          <cell r="K4735">
            <v>0</v>
          </cell>
          <cell r="M4735">
            <v>0</v>
          </cell>
          <cell r="P4735">
            <v>1217</v>
          </cell>
          <cell r="V4735" t="str">
            <v>Available</v>
          </cell>
        </row>
        <row r="4736">
          <cell r="E4736">
            <v>10530081</v>
          </cell>
          <cell r="H4736">
            <v>49.929999999999993</v>
          </cell>
          <cell r="I4736">
            <v>1985.8799999999999</v>
          </cell>
          <cell r="J4736">
            <v>0</v>
          </cell>
          <cell r="K4736">
            <v>0</v>
          </cell>
          <cell r="M4736">
            <v>0</v>
          </cell>
          <cell r="P4736">
            <v>1986</v>
          </cell>
          <cell r="V4736" t="str">
            <v>Available</v>
          </cell>
        </row>
        <row r="4737">
          <cell r="E4737">
            <v>10530081</v>
          </cell>
          <cell r="H4737">
            <v>137.28</v>
          </cell>
          <cell r="I4737">
            <v>5451.1100000000006</v>
          </cell>
          <cell r="J4737">
            <v>0</v>
          </cell>
          <cell r="K4737">
            <v>0</v>
          </cell>
          <cell r="M4737">
            <v>0</v>
          </cell>
          <cell r="P4737">
            <v>5451</v>
          </cell>
          <cell r="V4737" t="str">
            <v>Available</v>
          </cell>
        </row>
        <row r="4738">
          <cell r="E4738">
            <v>10530081</v>
          </cell>
          <cell r="H4738">
            <v>80.92</v>
          </cell>
          <cell r="I4738">
            <v>2896.25</v>
          </cell>
          <cell r="J4738">
            <v>0</v>
          </cell>
          <cell r="K4738">
            <v>0</v>
          </cell>
          <cell r="M4738">
            <v>0</v>
          </cell>
          <cell r="P4738">
            <v>2896</v>
          </cell>
          <cell r="V4738" t="str">
            <v>Available</v>
          </cell>
        </row>
        <row r="4739">
          <cell r="E4739">
            <v>10530081</v>
          </cell>
          <cell r="H4739">
            <v>21.93</v>
          </cell>
          <cell r="I4739">
            <v>771.43999999999994</v>
          </cell>
          <cell r="J4739">
            <v>0</v>
          </cell>
          <cell r="K4739">
            <v>0</v>
          </cell>
          <cell r="M4739">
            <v>0</v>
          </cell>
          <cell r="P4739">
            <v>771</v>
          </cell>
          <cell r="V4739" t="str">
            <v>Available</v>
          </cell>
        </row>
        <row r="4740">
          <cell r="E4740">
            <v>10530081</v>
          </cell>
          <cell r="H4740">
            <v>53.24</v>
          </cell>
          <cell r="I4740">
            <v>2214.4499999999998</v>
          </cell>
          <cell r="J4740">
            <v>0</v>
          </cell>
          <cell r="K4740">
            <v>0</v>
          </cell>
          <cell r="M4740">
            <v>0</v>
          </cell>
          <cell r="P4740">
            <v>2214</v>
          </cell>
          <cell r="V4740" t="str">
            <v>Available</v>
          </cell>
        </row>
        <row r="4741">
          <cell r="E4741">
            <v>10530081</v>
          </cell>
          <cell r="H4741">
            <v>30.57</v>
          </cell>
          <cell r="I4741">
            <v>1347.27</v>
          </cell>
          <cell r="J4741">
            <v>0</v>
          </cell>
          <cell r="K4741">
            <v>0</v>
          </cell>
          <cell r="M4741">
            <v>0</v>
          </cell>
          <cell r="P4741">
            <v>1347</v>
          </cell>
          <cell r="V4741" t="str">
            <v>Available</v>
          </cell>
        </row>
        <row r="4742">
          <cell r="E4742">
            <v>10530081</v>
          </cell>
          <cell r="H4742">
            <v>52.15</v>
          </cell>
          <cell r="I4742">
            <v>1742.04</v>
          </cell>
          <cell r="J4742">
            <v>0</v>
          </cell>
          <cell r="K4742">
            <v>0</v>
          </cell>
          <cell r="M4742">
            <v>0</v>
          </cell>
          <cell r="P4742">
            <v>1742</v>
          </cell>
          <cell r="V4742" t="str">
            <v>Available</v>
          </cell>
        </row>
        <row r="4743">
          <cell r="E4743">
            <v>10530081</v>
          </cell>
          <cell r="H4743">
            <v>25.63</v>
          </cell>
          <cell r="I4743">
            <v>1836.5699999999997</v>
          </cell>
          <cell r="J4743">
            <v>0</v>
          </cell>
          <cell r="K4743">
            <v>0</v>
          </cell>
          <cell r="M4743">
            <v>0</v>
          </cell>
          <cell r="P4743">
            <v>1837</v>
          </cell>
          <cell r="V4743" t="str">
            <v>Available</v>
          </cell>
        </row>
        <row r="4744">
          <cell r="E4744">
            <v>10530081</v>
          </cell>
          <cell r="H4744">
            <v>66.09</v>
          </cell>
          <cell r="I4744">
            <v>2314.4199999999996</v>
          </cell>
          <cell r="J4744">
            <v>0</v>
          </cell>
          <cell r="K4744">
            <v>0</v>
          </cell>
          <cell r="M4744">
            <v>0</v>
          </cell>
          <cell r="P4744">
            <v>2314</v>
          </cell>
          <cell r="V4744" t="str">
            <v>Available</v>
          </cell>
        </row>
        <row r="4745">
          <cell r="E4745">
            <v>10530081</v>
          </cell>
          <cell r="H4745">
            <v>165.22000000000003</v>
          </cell>
          <cell r="I4745">
            <v>5803.380000000001</v>
          </cell>
          <cell r="J4745">
            <v>0</v>
          </cell>
          <cell r="K4745">
            <v>0</v>
          </cell>
          <cell r="M4745">
            <v>0</v>
          </cell>
          <cell r="P4745">
            <v>5803</v>
          </cell>
          <cell r="V4745" t="str">
            <v>Available</v>
          </cell>
        </row>
        <row r="4746">
          <cell r="E4746">
            <v>10530081</v>
          </cell>
          <cell r="H4746">
            <v>8.64</v>
          </cell>
          <cell r="I4746">
            <v>347.28</v>
          </cell>
          <cell r="J4746">
            <v>0</v>
          </cell>
          <cell r="K4746">
            <v>0</v>
          </cell>
          <cell r="M4746">
            <v>0</v>
          </cell>
          <cell r="P4746">
            <v>347</v>
          </cell>
          <cell r="V4746" t="str">
            <v>Available</v>
          </cell>
        </row>
        <row r="4747">
          <cell r="E4747">
            <v>10530081</v>
          </cell>
          <cell r="H4747">
            <v>35.089999999999996</v>
          </cell>
          <cell r="I4747">
            <v>1381.4699999999998</v>
          </cell>
          <cell r="J4747">
            <v>0</v>
          </cell>
          <cell r="K4747">
            <v>0</v>
          </cell>
          <cell r="M4747">
            <v>0</v>
          </cell>
          <cell r="P4747">
            <v>1381</v>
          </cell>
          <cell r="V4747" t="str">
            <v>Available</v>
          </cell>
        </row>
        <row r="4748">
          <cell r="E4748">
            <v>10530081</v>
          </cell>
          <cell r="H4748">
            <v>24.63</v>
          </cell>
          <cell r="I4748">
            <v>1093.6200000000001</v>
          </cell>
          <cell r="J4748">
            <v>0</v>
          </cell>
          <cell r="K4748">
            <v>0</v>
          </cell>
          <cell r="M4748">
            <v>0</v>
          </cell>
          <cell r="P4748">
            <v>1094</v>
          </cell>
          <cell r="V4748" t="str">
            <v>Available</v>
          </cell>
        </row>
        <row r="4749">
          <cell r="E4749">
            <v>10530081</v>
          </cell>
          <cell r="H4749">
            <v>90.13000000000001</v>
          </cell>
          <cell r="I4749">
            <v>3125.8599999999997</v>
          </cell>
          <cell r="J4749">
            <v>0</v>
          </cell>
          <cell r="K4749">
            <v>0</v>
          </cell>
          <cell r="M4749">
            <v>0</v>
          </cell>
          <cell r="P4749">
            <v>3126</v>
          </cell>
          <cell r="V4749" t="str">
            <v>Available</v>
          </cell>
        </row>
        <row r="4750">
          <cell r="E4750">
            <v>10530081</v>
          </cell>
          <cell r="H4750">
            <v>15.610000000000001</v>
          </cell>
          <cell r="I4750">
            <v>733.29</v>
          </cell>
          <cell r="J4750">
            <v>0</v>
          </cell>
          <cell r="K4750">
            <v>0</v>
          </cell>
          <cell r="M4750">
            <v>0</v>
          </cell>
          <cell r="P4750">
            <v>733</v>
          </cell>
          <cell r="V4750" t="str">
            <v>Available</v>
          </cell>
        </row>
        <row r="4751">
          <cell r="E4751">
            <v>10530081</v>
          </cell>
          <cell r="H4751">
            <v>12.829999999999998</v>
          </cell>
          <cell r="I4751">
            <v>907.40000000000009</v>
          </cell>
          <cell r="J4751">
            <v>0</v>
          </cell>
          <cell r="K4751">
            <v>0</v>
          </cell>
          <cell r="M4751">
            <v>0</v>
          </cell>
          <cell r="P4751">
            <v>907</v>
          </cell>
          <cell r="V4751" t="str">
            <v>Available</v>
          </cell>
        </row>
        <row r="4752">
          <cell r="E4752">
            <v>10530081</v>
          </cell>
          <cell r="H4752">
            <v>14.620000000000001</v>
          </cell>
          <cell r="I4752">
            <v>512.35</v>
          </cell>
          <cell r="J4752">
            <v>0</v>
          </cell>
          <cell r="K4752">
            <v>0</v>
          </cell>
          <cell r="M4752">
            <v>0</v>
          </cell>
          <cell r="P4752">
            <v>512</v>
          </cell>
          <cell r="V4752" t="str">
            <v>Available</v>
          </cell>
        </row>
        <row r="4753">
          <cell r="E4753">
            <v>10530081</v>
          </cell>
          <cell r="H4753">
            <v>52.25</v>
          </cell>
          <cell r="I4753">
            <v>2196.6999999999998</v>
          </cell>
          <cell r="J4753">
            <v>0</v>
          </cell>
          <cell r="K4753">
            <v>0</v>
          </cell>
          <cell r="M4753">
            <v>0</v>
          </cell>
          <cell r="P4753">
            <v>2197</v>
          </cell>
          <cell r="V4753" t="str">
            <v>Available</v>
          </cell>
        </row>
        <row r="4754">
          <cell r="E4754">
            <v>10530081</v>
          </cell>
          <cell r="H4754">
            <v>9.15</v>
          </cell>
          <cell r="I4754">
            <v>325.02</v>
          </cell>
          <cell r="J4754">
            <v>0</v>
          </cell>
          <cell r="K4754">
            <v>0</v>
          </cell>
          <cell r="M4754">
            <v>0</v>
          </cell>
          <cell r="P4754">
            <v>325</v>
          </cell>
          <cell r="V4754" t="str">
            <v>Available</v>
          </cell>
        </row>
        <row r="4755">
          <cell r="E4755">
            <v>10530081</v>
          </cell>
          <cell r="H4755">
            <v>24.06</v>
          </cell>
          <cell r="I4755">
            <v>974.63</v>
          </cell>
          <cell r="J4755">
            <v>0</v>
          </cell>
          <cell r="K4755">
            <v>0</v>
          </cell>
          <cell r="M4755">
            <v>0</v>
          </cell>
          <cell r="P4755">
            <v>975</v>
          </cell>
          <cell r="V4755" t="str">
            <v>Available</v>
          </cell>
        </row>
        <row r="4756">
          <cell r="E4756">
            <v>10530081</v>
          </cell>
          <cell r="H4756">
            <v>12.57</v>
          </cell>
          <cell r="I4756">
            <v>722.93000000000006</v>
          </cell>
          <cell r="J4756">
            <v>0</v>
          </cell>
          <cell r="K4756">
            <v>0</v>
          </cell>
          <cell r="M4756">
            <v>0</v>
          </cell>
          <cell r="P4756">
            <v>723</v>
          </cell>
          <cell r="V4756" t="str">
            <v>Available</v>
          </cell>
        </row>
        <row r="4757">
          <cell r="E4757">
            <v>10530081</v>
          </cell>
          <cell r="H4757">
            <v>18.71</v>
          </cell>
          <cell r="I4757">
            <v>870.28</v>
          </cell>
          <cell r="J4757">
            <v>0</v>
          </cell>
          <cell r="K4757">
            <v>0</v>
          </cell>
          <cell r="M4757">
            <v>0</v>
          </cell>
          <cell r="P4757">
            <v>870</v>
          </cell>
          <cell r="V4757" t="str">
            <v>Available</v>
          </cell>
        </row>
        <row r="4758">
          <cell r="E4758">
            <v>10530081</v>
          </cell>
          <cell r="H4758">
            <v>22.85</v>
          </cell>
          <cell r="I4758">
            <v>917.65999999999985</v>
          </cell>
          <cell r="J4758">
            <v>0</v>
          </cell>
          <cell r="K4758">
            <v>0</v>
          </cell>
          <cell r="M4758">
            <v>0</v>
          </cell>
          <cell r="P4758">
            <v>918</v>
          </cell>
          <cell r="V4758" t="str">
            <v>Available</v>
          </cell>
        </row>
        <row r="4759">
          <cell r="E4759">
            <v>10530081</v>
          </cell>
          <cell r="H4759">
            <v>7.120000000000001</v>
          </cell>
          <cell r="I4759">
            <v>294.27</v>
          </cell>
          <cell r="J4759">
            <v>0</v>
          </cell>
          <cell r="K4759">
            <v>0</v>
          </cell>
          <cell r="M4759">
            <v>0</v>
          </cell>
          <cell r="P4759">
            <v>294</v>
          </cell>
          <cell r="V4759" t="str">
            <v>Available</v>
          </cell>
        </row>
        <row r="4760">
          <cell r="E4760">
            <v>10530082</v>
          </cell>
          <cell r="H4760">
            <v>11.679999999999998</v>
          </cell>
          <cell r="I4760">
            <v>477.12</v>
          </cell>
          <cell r="J4760">
            <v>0</v>
          </cell>
          <cell r="K4760">
            <v>477.12</v>
          </cell>
          <cell r="M4760">
            <v>0</v>
          </cell>
          <cell r="P4760">
            <v>0</v>
          </cell>
          <cell r="V4760" t="str">
            <v>Not Available</v>
          </cell>
        </row>
        <row r="4761">
          <cell r="E4761">
            <v>10530082</v>
          </cell>
          <cell r="H4761">
            <v>17.02</v>
          </cell>
          <cell r="I4761">
            <v>1080.26</v>
          </cell>
          <cell r="J4761">
            <v>0</v>
          </cell>
          <cell r="K4761">
            <v>0</v>
          </cell>
          <cell r="M4761">
            <v>0</v>
          </cell>
          <cell r="P4761">
            <v>1080</v>
          </cell>
          <cell r="V4761" t="str">
            <v>Available</v>
          </cell>
        </row>
        <row r="4762">
          <cell r="E4762">
            <v>10530082</v>
          </cell>
          <cell r="H4762">
            <v>2.4899999999999998</v>
          </cell>
          <cell r="I4762">
            <v>103.38</v>
          </cell>
          <cell r="J4762">
            <v>0</v>
          </cell>
          <cell r="K4762">
            <v>0</v>
          </cell>
          <cell r="M4762">
            <v>0</v>
          </cell>
          <cell r="P4762">
            <v>103</v>
          </cell>
          <cell r="V4762" t="str">
            <v>Available</v>
          </cell>
        </row>
        <row r="4763">
          <cell r="E4763">
            <v>10530082</v>
          </cell>
          <cell r="H4763">
            <v>6.13</v>
          </cell>
          <cell r="I4763">
            <v>231.57</v>
          </cell>
          <cell r="J4763">
            <v>0</v>
          </cell>
          <cell r="K4763">
            <v>0</v>
          </cell>
          <cell r="M4763">
            <v>0</v>
          </cell>
          <cell r="P4763">
            <v>232</v>
          </cell>
          <cell r="V4763" t="str">
            <v>Available</v>
          </cell>
        </row>
        <row r="4764">
          <cell r="E4764">
            <v>10530082</v>
          </cell>
          <cell r="H4764">
            <v>38.47</v>
          </cell>
          <cell r="I4764">
            <v>1676.3300000000004</v>
          </cell>
          <cell r="J4764">
            <v>0</v>
          </cell>
          <cell r="K4764">
            <v>0</v>
          </cell>
          <cell r="M4764">
            <v>0</v>
          </cell>
          <cell r="P4764">
            <v>1676</v>
          </cell>
          <cell r="V4764" t="str">
            <v>Available</v>
          </cell>
        </row>
        <row r="4765">
          <cell r="E4765">
            <v>10530082</v>
          </cell>
          <cell r="H4765">
            <v>25.090000000000003</v>
          </cell>
          <cell r="I4765">
            <v>1063.3</v>
          </cell>
          <cell r="J4765">
            <v>0</v>
          </cell>
          <cell r="K4765">
            <v>0</v>
          </cell>
          <cell r="M4765">
            <v>0</v>
          </cell>
          <cell r="P4765">
            <v>1063</v>
          </cell>
          <cell r="V4765" t="str">
            <v>Available</v>
          </cell>
        </row>
        <row r="4766">
          <cell r="E4766">
            <v>10530082</v>
          </cell>
          <cell r="H4766">
            <v>112.17000000000002</v>
          </cell>
          <cell r="I4766">
            <v>4883.0599999999995</v>
          </cell>
          <cell r="J4766">
            <v>0</v>
          </cell>
          <cell r="K4766">
            <v>0</v>
          </cell>
          <cell r="M4766">
            <v>0</v>
          </cell>
          <cell r="P4766">
            <v>4883</v>
          </cell>
          <cell r="V4766" t="str">
            <v>Available</v>
          </cell>
        </row>
        <row r="4767">
          <cell r="E4767">
            <v>10530082</v>
          </cell>
          <cell r="H4767">
            <v>46.960000000000008</v>
          </cell>
          <cell r="I4767">
            <v>1711.56</v>
          </cell>
          <cell r="J4767">
            <v>0</v>
          </cell>
          <cell r="K4767">
            <v>0</v>
          </cell>
          <cell r="M4767">
            <v>0</v>
          </cell>
          <cell r="P4767">
            <v>1712</v>
          </cell>
          <cell r="V4767" t="str">
            <v>Available</v>
          </cell>
        </row>
        <row r="4768">
          <cell r="E4768">
            <v>10530082</v>
          </cell>
          <cell r="H4768">
            <v>4.7</v>
          </cell>
          <cell r="I4768">
            <v>219.7</v>
          </cell>
          <cell r="J4768">
            <v>0</v>
          </cell>
          <cell r="K4768">
            <v>0</v>
          </cell>
          <cell r="M4768">
            <v>0</v>
          </cell>
          <cell r="P4768">
            <v>220</v>
          </cell>
          <cell r="V4768" t="str">
            <v>Available</v>
          </cell>
        </row>
        <row r="4769">
          <cell r="E4769">
            <v>10530082</v>
          </cell>
          <cell r="H4769">
            <v>40.58</v>
          </cell>
          <cell r="I4769">
            <v>1690.35</v>
          </cell>
          <cell r="J4769">
            <v>0</v>
          </cell>
          <cell r="K4769">
            <v>0</v>
          </cell>
          <cell r="M4769">
            <v>0</v>
          </cell>
          <cell r="P4769">
            <v>1690</v>
          </cell>
          <cell r="V4769" t="str">
            <v>Available</v>
          </cell>
        </row>
        <row r="4770">
          <cell r="E4770">
            <v>10530082</v>
          </cell>
          <cell r="H4770">
            <v>6.29</v>
          </cell>
          <cell r="I4770">
            <v>261.5</v>
          </cell>
          <cell r="J4770">
            <v>0</v>
          </cell>
          <cell r="K4770">
            <v>0</v>
          </cell>
          <cell r="M4770">
            <v>0</v>
          </cell>
          <cell r="P4770">
            <v>262</v>
          </cell>
          <cell r="V4770" t="str">
            <v>Available</v>
          </cell>
        </row>
        <row r="4771">
          <cell r="E4771">
            <v>10530082</v>
          </cell>
          <cell r="H4771">
            <v>54.430000000000007</v>
          </cell>
          <cell r="I4771">
            <v>2199.4700000000003</v>
          </cell>
          <cell r="J4771">
            <v>0</v>
          </cell>
          <cell r="K4771">
            <v>0</v>
          </cell>
          <cell r="M4771">
            <v>0</v>
          </cell>
          <cell r="P4771">
            <v>2199</v>
          </cell>
          <cell r="V4771" t="str">
            <v>Available</v>
          </cell>
        </row>
        <row r="4772">
          <cell r="E4772">
            <v>10530082</v>
          </cell>
          <cell r="H4772">
            <v>24.709999999999997</v>
          </cell>
          <cell r="I4772">
            <v>1090.97</v>
          </cell>
          <cell r="J4772">
            <v>0</v>
          </cell>
          <cell r="K4772">
            <v>0</v>
          </cell>
          <cell r="M4772">
            <v>0</v>
          </cell>
          <cell r="P4772">
            <v>1091</v>
          </cell>
          <cell r="V4772" t="str">
            <v>Available</v>
          </cell>
        </row>
        <row r="4773">
          <cell r="E4773">
            <v>10530082</v>
          </cell>
          <cell r="H4773">
            <v>84.32</v>
          </cell>
          <cell r="I4773">
            <v>3596.2699999999995</v>
          </cell>
          <cell r="J4773">
            <v>0</v>
          </cell>
          <cell r="K4773">
            <v>0</v>
          </cell>
          <cell r="M4773">
            <v>0</v>
          </cell>
          <cell r="P4773">
            <v>3596</v>
          </cell>
          <cell r="V4773" t="str">
            <v>Available</v>
          </cell>
        </row>
        <row r="4774">
          <cell r="E4774">
            <v>10530082</v>
          </cell>
          <cell r="H4774">
            <v>315.69</v>
          </cell>
          <cell r="I4774">
            <v>12720.85</v>
          </cell>
          <cell r="J4774">
            <v>0</v>
          </cell>
          <cell r="K4774">
            <v>0</v>
          </cell>
          <cell r="M4774">
            <v>0</v>
          </cell>
          <cell r="P4774">
            <v>12721</v>
          </cell>
          <cell r="V4774" t="str">
            <v>Available</v>
          </cell>
        </row>
        <row r="4775">
          <cell r="E4775">
            <v>10530082</v>
          </cell>
          <cell r="H4775">
            <v>32.880000000000003</v>
          </cell>
          <cell r="I4775">
            <v>1226.7</v>
          </cell>
          <cell r="J4775">
            <v>0</v>
          </cell>
          <cell r="K4775">
            <v>0</v>
          </cell>
          <cell r="M4775">
            <v>0</v>
          </cell>
          <cell r="P4775">
            <v>1227</v>
          </cell>
          <cell r="V4775" t="str">
            <v>Available</v>
          </cell>
        </row>
        <row r="4776">
          <cell r="E4776">
            <v>10530082</v>
          </cell>
          <cell r="H4776">
            <v>10.58</v>
          </cell>
          <cell r="I4776">
            <v>434.68</v>
          </cell>
          <cell r="J4776">
            <v>0</v>
          </cell>
          <cell r="K4776">
            <v>0</v>
          </cell>
          <cell r="M4776">
            <v>0</v>
          </cell>
          <cell r="P4776">
            <v>435</v>
          </cell>
          <cell r="V4776" t="str">
            <v>Available</v>
          </cell>
        </row>
        <row r="4777">
          <cell r="E4777">
            <v>10530082</v>
          </cell>
          <cell r="H4777">
            <v>1.33</v>
          </cell>
          <cell r="I4777">
            <v>54.86</v>
          </cell>
          <cell r="J4777">
            <v>0</v>
          </cell>
          <cell r="K4777">
            <v>0</v>
          </cell>
          <cell r="M4777">
            <v>0</v>
          </cell>
          <cell r="P4777">
            <v>55</v>
          </cell>
          <cell r="V4777" t="str">
            <v>Available</v>
          </cell>
        </row>
        <row r="4778">
          <cell r="E4778">
            <v>10530082</v>
          </cell>
          <cell r="H4778">
            <v>28.919999999999998</v>
          </cell>
          <cell r="I4778">
            <v>1263.3700000000001</v>
          </cell>
          <cell r="J4778">
            <v>0</v>
          </cell>
          <cell r="K4778">
            <v>0</v>
          </cell>
          <cell r="M4778">
            <v>0</v>
          </cell>
          <cell r="P4778">
            <v>1263</v>
          </cell>
          <cell r="V4778" t="str">
            <v>Available</v>
          </cell>
        </row>
        <row r="4779">
          <cell r="E4779">
            <v>10530082</v>
          </cell>
          <cell r="H4779">
            <v>24.96</v>
          </cell>
          <cell r="I4779">
            <v>985.2299999999999</v>
          </cell>
          <cell r="J4779">
            <v>0</v>
          </cell>
          <cell r="K4779">
            <v>0</v>
          </cell>
          <cell r="M4779">
            <v>0</v>
          </cell>
          <cell r="P4779">
            <v>985</v>
          </cell>
          <cell r="V4779" t="str">
            <v>Available</v>
          </cell>
        </row>
        <row r="4780">
          <cell r="E4780">
            <v>10530082</v>
          </cell>
          <cell r="H4780">
            <v>47.319999999999993</v>
          </cell>
          <cell r="I4780">
            <v>1693.35</v>
          </cell>
          <cell r="J4780">
            <v>0</v>
          </cell>
          <cell r="K4780">
            <v>0</v>
          </cell>
          <cell r="M4780">
            <v>0</v>
          </cell>
          <cell r="P4780">
            <v>1693</v>
          </cell>
          <cell r="V4780" t="str">
            <v>Available</v>
          </cell>
        </row>
        <row r="4781">
          <cell r="E4781">
            <v>10530082</v>
          </cell>
          <cell r="H4781">
            <v>4.2799999999999994</v>
          </cell>
          <cell r="I4781">
            <v>187.32999999999998</v>
          </cell>
          <cell r="J4781">
            <v>0</v>
          </cell>
          <cell r="K4781">
            <v>0</v>
          </cell>
          <cell r="M4781">
            <v>187</v>
          </cell>
          <cell r="P4781">
            <v>0</v>
          </cell>
          <cell r="V4781" t="str">
            <v>Available</v>
          </cell>
        </row>
        <row r="4782">
          <cell r="E4782">
            <v>10530082</v>
          </cell>
          <cell r="H4782">
            <v>57.129999999999995</v>
          </cell>
          <cell r="I4782">
            <v>2302.54</v>
          </cell>
          <cell r="J4782">
            <v>0</v>
          </cell>
          <cell r="K4782">
            <v>0</v>
          </cell>
          <cell r="M4782">
            <v>0</v>
          </cell>
          <cell r="P4782">
            <v>2303</v>
          </cell>
          <cell r="V4782" t="str">
            <v>Available</v>
          </cell>
        </row>
        <row r="4783">
          <cell r="E4783">
            <v>10530082</v>
          </cell>
          <cell r="H4783">
            <v>78.589999999999989</v>
          </cell>
          <cell r="I4783">
            <v>3515.16</v>
          </cell>
          <cell r="J4783">
            <v>0</v>
          </cell>
          <cell r="K4783">
            <v>0</v>
          </cell>
          <cell r="M4783">
            <v>0</v>
          </cell>
          <cell r="P4783">
            <v>3515</v>
          </cell>
          <cell r="V4783" t="str">
            <v>Available</v>
          </cell>
        </row>
        <row r="4784">
          <cell r="E4784">
            <v>10530082</v>
          </cell>
          <cell r="H4784">
            <v>22.38</v>
          </cell>
          <cell r="I4784">
            <v>849.94999999999993</v>
          </cell>
          <cell r="J4784">
            <v>0</v>
          </cell>
          <cell r="K4784">
            <v>0</v>
          </cell>
          <cell r="M4784">
            <v>0</v>
          </cell>
          <cell r="P4784">
            <v>850</v>
          </cell>
          <cell r="V4784" t="str">
            <v>Available</v>
          </cell>
        </row>
        <row r="4785">
          <cell r="E4785">
            <v>10530084</v>
          </cell>
          <cell r="H4785">
            <v>20.88</v>
          </cell>
          <cell r="I4785">
            <v>864.08999999999992</v>
          </cell>
          <cell r="J4785">
            <v>0</v>
          </cell>
          <cell r="K4785">
            <v>864.08999999999992</v>
          </cell>
          <cell r="M4785">
            <v>0</v>
          </cell>
          <cell r="P4785">
            <v>0</v>
          </cell>
          <cell r="V4785" t="str">
            <v>Not Available</v>
          </cell>
        </row>
        <row r="4786">
          <cell r="E4786">
            <v>10530084</v>
          </cell>
          <cell r="H4786">
            <v>206.91</v>
          </cell>
          <cell r="I4786">
            <v>8864.17</v>
          </cell>
          <cell r="J4786">
            <v>0</v>
          </cell>
          <cell r="K4786">
            <v>0</v>
          </cell>
          <cell r="M4786">
            <v>0</v>
          </cell>
          <cell r="P4786">
            <v>8864</v>
          </cell>
          <cell r="V4786" t="str">
            <v>Available</v>
          </cell>
        </row>
        <row r="4787">
          <cell r="E4787">
            <v>10530084</v>
          </cell>
          <cell r="H4787">
            <v>168.13</v>
          </cell>
          <cell r="I4787">
            <v>6180.6399999999994</v>
          </cell>
          <cell r="J4787">
            <v>0</v>
          </cell>
          <cell r="K4787">
            <v>0</v>
          </cell>
          <cell r="M4787">
            <v>0</v>
          </cell>
          <cell r="P4787">
            <v>6181</v>
          </cell>
          <cell r="V4787" t="str">
            <v>Available</v>
          </cell>
        </row>
        <row r="4788">
          <cell r="E4788">
            <v>10530084</v>
          </cell>
          <cell r="H4788">
            <v>98.41</v>
          </cell>
          <cell r="I4788">
            <v>3722.6399999999994</v>
          </cell>
          <cell r="J4788">
            <v>0</v>
          </cell>
          <cell r="K4788">
            <v>0</v>
          </cell>
          <cell r="M4788">
            <v>0</v>
          </cell>
          <cell r="P4788">
            <v>3723</v>
          </cell>
          <cell r="V4788" t="str">
            <v>Available</v>
          </cell>
        </row>
        <row r="4789">
          <cell r="E4789">
            <v>10530084</v>
          </cell>
          <cell r="H4789">
            <v>35.42</v>
          </cell>
          <cell r="I4789">
            <v>1366.43</v>
          </cell>
          <cell r="J4789">
            <v>0</v>
          </cell>
          <cell r="K4789">
            <v>0</v>
          </cell>
          <cell r="M4789">
            <v>0</v>
          </cell>
          <cell r="P4789">
            <v>1366</v>
          </cell>
          <cell r="V4789" t="str">
            <v>Available</v>
          </cell>
        </row>
        <row r="4790">
          <cell r="E4790">
            <v>10530084</v>
          </cell>
          <cell r="H4790">
            <v>15.209999999999999</v>
          </cell>
          <cell r="I4790">
            <v>1017.85</v>
          </cell>
          <cell r="J4790">
            <v>0</v>
          </cell>
          <cell r="K4790">
            <v>0</v>
          </cell>
          <cell r="M4790">
            <v>0</v>
          </cell>
          <cell r="P4790">
            <v>1018</v>
          </cell>
          <cell r="V4790" t="str">
            <v>Available</v>
          </cell>
        </row>
        <row r="4791">
          <cell r="E4791">
            <v>10530084</v>
          </cell>
          <cell r="H4791">
            <v>7.5</v>
          </cell>
          <cell r="I4791">
            <v>375.87</v>
          </cell>
          <cell r="J4791">
            <v>0</v>
          </cell>
          <cell r="K4791">
            <v>0</v>
          </cell>
          <cell r="M4791">
            <v>0</v>
          </cell>
          <cell r="P4791">
            <v>376</v>
          </cell>
          <cell r="V4791" t="str">
            <v>Available</v>
          </cell>
        </row>
        <row r="4792">
          <cell r="E4792">
            <v>10530084</v>
          </cell>
          <cell r="H4792">
            <v>31.330000000000002</v>
          </cell>
          <cell r="I4792">
            <v>2045.5199999999998</v>
          </cell>
          <cell r="J4792">
            <v>0</v>
          </cell>
          <cell r="K4792">
            <v>0</v>
          </cell>
          <cell r="M4792">
            <v>0</v>
          </cell>
          <cell r="P4792">
            <v>2046</v>
          </cell>
          <cell r="V4792" t="str">
            <v>Available</v>
          </cell>
        </row>
        <row r="4793">
          <cell r="E4793">
            <v>10530084</v>
          </cell>
          <cell r="H4793">
            <v>39.11</v>
          </cell>
          <cell r="I4793">
            <v>1630.4700000000003</v>
          </cell>
          <cell r="J4793">
            <v>0</v>
          </cell>
          <cell r="K4793">
            <v>0</v>
          </cell>
          <cell r="M4793">
            <v>0</v>
          </cell>
          <cell r="P4793">
            <v>1630</v>
          </cell>
          <cell r="V4793" t="str">
            <v>Available</v>
          </cell>
        </row>
        <row r="4794">
          <cell r="E4794">
            <v>10530084</v>
          </cell>
          <cell r="H4794">
            <v>400.32</v>
          </cell>
          <cell r="I4794">
            <v>17687.060000000001</v>
          </cell>
          <cell r="J4794">
            <v>0</v>
          </cell>
          <cell r="K4794">
            <v>0</v>
          </cell>
          <cell r="M4794">
            <v>0</v>
          </cell>
          <cell r="P4794">
            <v>17687</v>
          </cell>
          <cell r="V4794" t="str">
            <v>Available</v>
          </cell>
        </row>
        <row r="4795">
          <cell r="E4795">
            <v>10530084</v>
          </cell>
          <cell r="H4795">
            <v>8.620000000000001</v>
          </cell>
          <cell r="I4795">
            <v>352.46</v>
          </cell>
          <cell r="J4795">
            <v>0</v>
          </cell>
          <cell r="K4795">
            <v>0</v>
          </cell>
          <cell r="M4795">
            <v>0</v>
          </cell>
          <cell r="P4795">
            <v>352</v>
          </cell>
          <cell r="V4795" t="str">
            <v>Available</v>
          </cell>
        </row>
        <row r="4796">
          <cell r="E4796">
            <v>10530084</v>
          </cell>
          <cell r="H4796">
            <v>77.19</v>
          </cell>
          <cell r="I4796">
            <v>3192.5199999999995</v>
          </cell>
          <cell r="J4796">
            <v>0</v>
          </cell>
          <cell r="K4796">
            <v>0</v>
          </cell>
          <cell r="M4796">
            <v>0</v>
          </cell>
          <cell r="P4796">
            <v>3193</v>
          </cell>
          <cell r="V4796" t="str">
            <v>Available</v>
          </cell>
        </row>
        <row r="4797">
          <cell r="E4797">
            <v>10530084</v>
          </cell>
          <cell r="H4797">
            <v>20.820000000000004</v>
          </cell>
          <cell r="I4797">
            <v>796.97</v>
          </cell>
          <cell r="J4797">
            <v>0</v>
          </cell>
          <cell r="K4797">
            <v>0</v>
          </cell>
          <cell r="M4797">
            <v>0</v>
          </cell>
          <cell r="P4797">
            <v>797</v>
          </cell>
          <cell r="V4797" t="str">
            <v>Available</v>
          </cell>
        </row>
        <row r="4798">
          <cell r="E4798">
            <v>10530084</v>
          </cell>
          <cell r="H4798">
            <v>47.749999999999993</v>
          </cell>
          <cell r="I4798">
            <v>1814.16</v>
          </cell>
          <cell r="J4798">
            <v>0</v>
          </cell>
          <cell r="K4798">
            <v>0</v>
          </cell>
          <cell r="M4798">
            <v>0</v>
          </cell>
          <cell r="P4798">
            <v>1814</v>
          </cell>
          <cell r="V4798" t="str">
            <v>Available</v>
          </cell>
        </row>
        <row r="4799">
          <cell r="E4799">
            <v>10530084</v>
          </cell>
          <cell r="H4799">
            <v>37.720000000000006</v>
          </cell>
          <cell r="I4799">
            <v>1453.0100000000002</v>
          </cell>
          <cell r="J4799">
            <v>0</v>
          </cell>
          <cell r="K4799">
            <v>0</v>
          </cell>
          <cell r="M4799">
            <v>0</v>
          </cell>
          <cell r="P4799">
            <v>1453</v>
          </cell>
          <cell r="V4799" t="str">
            <v>Available</v>
          </cell>
        </row>
        <row r="4800">
          <cell r="E4800">
            <v>10530084</v>
          </cell>
          <cell r="H4800">
            <v>14.82</v>
          </cell>
          <cell r="I4800">
            <v>1025.47</v>
          </cell>
          <cell r="J4800">
            <v>0</v>
          </cell>
          <cell r="K4800">
            <v>0</v>
          </cell>
          <cell r="M4800">
            <v>0</v>
          </cell>
          <cell r="P4800">
            <v>1025</v>
          </cell>
          <cell r="V4800" t="str">
            <v>Available</v>
          </cell>
        </row>
        <row r="4801">
          <cell r="E4801">
            <v>10530084</v>
          </cell>
          <cell r="H4801">
            <v>27.25</v>
          </cell>
          <cell r="I4801">
            <v>1520.9599999999998</v>
          </cell>
          <cell r="J4801">
            <v>0</v>
          </cell>
          <cell r="K4801">
            <v>0</v>
          </cell>
          <cell r="M4801">
            <v>0</v>
          </cell>
          <cell r="P4801">
            <v>1521</v>
          </cell>
          <cell r="V4801" t="str">
            <v>Available</v>
          </cell>
        </row>
        <row r="4802">
          <cell r="E4802">
            <v>10530084</v>
          </cell>
          <cell r="H4802">
            <v>43.88000000000001</v>
          </cell>
          <cell r="I4802">
            <v>1738.24</v>
          </cell>
          <cell r="J4802">
            <v>0</v>
          </cell>
          <cell r="K4802">
            <v>0</v>
          </cell>
          <cell r="M4802">
            <v>0</v>
          </cell>
          <cell r="P4802">
            <v>1738</v>
          </cell>
          <cell r="V4802" t="str">
            <v>Available</v>
          </cell>
        </row>
        <row r="4803">
          <cell r="E4803">
            <v>10530084</v>
          </cell>
          <cell r="H4803">
            <v>33.15</v>
          </cell>
          <cell r="I4803">
            <v>1311.7500000000002</v>
          </cell>
          <cell r="J4803">
            <v>0</v>
          </cell>
          <cell r="K4803">
            <v>0</v>
          </cell>
          <cell r="M4803">
            <v>0</v>
          </cell>
          <cell r="P4803">
            <v>1312</v>
          </cell>
          <cell r="V4803" t="str">
            <v>Available</v>
          </cell>
        </row>
        <row r="4804">
          <cell r="E4804">
            <v>10530084</v>
          </cell>
          <cell r="H4804">
            <v>220.06</v>
          </cell>
          <cell r="I4804">
            <v>9227.1999999999989</v>
          </cell>
          <cell r="J4804">
            <v>0</v>
          </cell>
          <cell r="K4804">
            <v>0</v>
          </cell>
          <cell r="M4804">
            <v>0</v>
          </cell>
          <cell r="P4804">
            <v>9227</v>
          </cell>
          <cell r="V4804" t="str">
            <v>Available</v>
          </cell>
        </row>
        <row r="4805">
          <cell r="E4805">
            <v>10530084</v>
          </cell>
          <cell r="H4805">
            <v>21.99</v>
          </cell>
          <cell r="I4805">
            <v>1237.0400000000002</v>
          </cell>
          <cell r="J4805">
            <v>0</v>
          </cell>
          <cell r="K4805">
            <v>0</v>
          </cell>
          <cell r="M4805">
            <v>0</v>
          </cell>
          <cell r="P4805">
            <v>1237</v>
          </cell>
          <cell r="V4805" t="str">
            <v>Available</v>
          </cell>
        </row>
        <row r="4806">
          <cell r="E4806">
            <v>10530084</v>
          </cell>
          <cell r="H4806">
            <v>27.909999999999997</v>
          </cell>
          <cell r="I4806">
            <v>1419.84</v>
          </cell>
          <cell r="J4806">
            <v>0</v>
          </cell>
          <cell r="K4806">
            <v>0</v>
          </cell>
          <cell r="M4806">
            <v>0</v>
          </cell>
          <cell r="P4806">
            <v>1420</v>
          </cell>
          <cell r="V4806" t="str">
            <v>Available</v>
          </cell>
        </row>
        <row r="4807">
          <cell r="E4807">
            <v>10530084</v>
          </cell>
          <cell r="H4807">
            <v>14.219999999999999</v>
          </cell>
          <cell r="I4807">
            <v>524.27</v>
          </cell>
          <cell r="J4807">
            <v>0</v>
          </cell>
          <cell r="K4807">
            <v>0</v>
          </cell>
          <cell r="M4807">
            <v>0</v>
          </cell>
          <cell r="P4807">
            <v>524</v>
          </cell>
          <cell r="V4807" t="str">
            <v>Available</v>
          </cell>
        </row>
        <row r="4808">
          <cell r="E4808">
            <v>10530084</v>
          </cell>
          <cell r="H4808">
            <v>36.659999999999997</v>
          </cell>
          <cell r="I4808">
            <v>1459.7200000000003</v>
          </cell>
          <cell r="J4808">
            <v>0</v>
          </cell>
          <cell r="K4808">
            <v>0</v>
          </cell>
          <cell r="M4808">
            <v>0</v>
          </cell>
          <cell r="P4808">
            <v>1460</v>
          </cell>
          <cell r="V4808" t="str">
            <v>Available</v>
          </cell>
        </row>
        <row r="4809">
          <cell r="E4809">
            <v>10530084</v>
          </cell>
          <cell r="H4809">
            <v>9.58</v>
          </cell>
          <cell r="I4809">
            <v>390.6</v>
          </cell>
          <cell r="J4809">
            <v>0</v>
          </cell>
          <cell r="K4809">
            <v>0</v>
          </cell>
          <cell r="M4809">
            <v>0</v>
          </cell>
          <cell r="P4809">
            <v>391</v>
          </cell>
          <cell r="V4809" t="str">
            <v>Available</v>
          </cell>
        </row>
        <row r="4810">
          <cell r="E4810">
            <v>10530084</v>
          </cell>
          <cell r="H4810">
            <v>20.059999999999999</v>
          </cell>
          <cell r="I4810">
            <v>741.3</v>
          </cell>
          <cell r="J4810">
            <v>0</v>
          </cell>
          <cell r="K4810">
            <v>0</v>
          </cell>
          <cell r="M4810">
            <v>0</v>
          </cell>
          <cell r="P4810">
            <v>741</v>
          </cell>
          <cell r="V4810" t="str">
            <v>Available</v>
          </cell>
        </row>
        <row r="4811">
          <cell r="E4811">
            <v>10530084</v>
          </cell>
          <cell r="H4811">
            <v>11.1</v>
          </cell>
          <cell r="I4811">
            <v>443.83000000000004</v>
          </cell>
          <cell r="J4811">
            <v>0</v>
          </cell>
          <cell r="K4811">
            <v>0</v>
          </cell>
          <cell r="M4811">
            <v>0</v>
          </cell>
          <cell r="P4811">
            <v>444</v>
          </cell>
          <cell r="V4811" t="str">
            <v>Available</v>
          </cell>
        </row>
        <row r="4812">
          <cell r="E4812">
            <v>10530084</v>
          </cell>
          <cell r="H4812">
            <v>44.5</v>
          </cell>
          <cell r="I4812">
            <v>1711.19</v>
          </cell>
          <cell r="J4812">
            <v>0</v>
          </cell>
          <cell r="K4812">
            <v>0</v>
          </cell>
          <cell r="M4812">
            <v>0</v>
          </cell>
          <cell r="P4812">
            <v>1711</v>
          </cell>
          <cell r="V4812" t="str">
            <v>Available</v>
          </cell>
        </row>
        <row r="4813">
          <cell r="E4813">
            <v>10530084</v>
          </cell>
          <cell r="H4813">
            <v>1.03</v>
          </cell>
          <cell r="I4813">
            <v>46.96</v>
          </cell>
          <cell r="J4813">
            <v>0</v>
          </cell>
          <cell r="K4813">
            <v>0</v>
          </cell>
          <cell r="M4813">
            <v>0</v>
          </cell>
          <cell r="P4813">
            <v>47</v>
          </cell>
          <cell r="V4813" t="str">
            <v>Available</v>
          </cell>
        </row>
        <row r="4814">
          <cell r="E4814">
            <v>10530084</v>
          </cell>
          <cell r="H4814">
            <v>9.61</v>
          </cell>
          <cell r="I4814">
            <v>367.99</v>
          </cell>
          <cell r="J4814">
            <v>0</v>
          </cell>
          <cell r="K4814">
            <v>0</v>
          </cell>
          <cell r="M4814">
            <v>0</v>
          </cell>
          <cell r="P4814">
            <v>368</v>
          </cell>
          <cell r="V4814" t="str">
            <v>Available</v>
          </cell>
        </row>
        <row r="4815">
          <cell r="E4815">
            <v>10530084</v>
          </cell>
          <cell r="H4815">
            <v>30.18</v>
          </cell>
          <cell r="I4815">
            <v>1354.8600000000001</v>
          </cell>
          <cell r="J4815">
            <v>0</v>
          </cell>
          <cell r="K4815">
            <v>0</v>
          </cell>
          <cell r="M4815">
            <v>0</v>
          </cell>
          <cell r="P4815">
            <v>1355</v>
          </cell>
          <cell r="V4815" t="str">
            <v>Available</v>
          </cell>
        </row>
        <row r="4816">
          <cell r="E4816">
            <v>10530084</v>
          </cell>
          <cell r="H4816">
            <v>66.14</v>
          </cell>
          <cell r="I4816">
            <v>2591.2299999999996</v>
          </cell>
          <cell r="J4816">
            <v>0</v>
          </cell>
          <cell r="K4816">
            <v>0</v>
          </cell>
          <cell r="M4816">
            <v>0</v>
          </cell>
          <cell r="P4816">
            <v>2591</v>
          </cell>
          <cell r="V4816" t="str">
            <v>Available</v>
          </cell>
        </row>
        <row r="4817">
          <cell r="E4817">
            <v>10530084</v>
          </cell>
          <cell r="H4817">
            <v>24.91</v>
          </cell>
          <cell r="I4817">
            <v>1018.8299999999999</v>
          </cell>
          <cell r="J4817">
            <v>0</v>
          </cell>
          <cell r="K4817">
            <v>0</v>
          </cell>
          <cell r="M4817">
            <v>0</v>
          </cell>
          <cell r="P4817">
            <v>1019</v>
          </cell>
          <cell r="V4817" t="str">
            <v>Available</v>
          </cell>
        </row>
        <row r="4818">
          <cell r="E4818">
            <v>10530084</v>
          </cell>
          <cell r="H4818">
            <v>21.21</v>
          </cell>
          <cell r="I4818">
            <v>833.19000000000017</v>
          </cell>
          <cell r="J4818">
            <v>0</v>
          </cell>
          <cell r="K4818">
            <v>0</v>
          </cell>
          <cell r="M4818">
            <v>0</v>
          </cell>
          <cell r="P4818">
            <v>833</v>
          </cell>
          <cell r="V4818" t="str">
            <v>Available</v>
          </cell>
        </row>
        <row r="4819">
          <cell r="E4819">
            <v>10530084</v>
          </cell>
          <cell r="H4819">
            <v>23.849999999999998</v>
          </cell>
          <cell r="I4819">
            <v>876.85000000000014</v>
          </cell>
          <cell r="J4819">
            <v>0</v>
          </cell>
          <cell r="K4819">
            <v>0</v>
          </cell>
          <cell r="M4819">
            <v>0</v>
          </cell>
          <cell r="P4819">
            <v>877</v>
          </cell>
          <cell r="V4819" t="str">
            <v>Available</v>
          </cell>
        </row>
        <row r="4820">
          <cell r="E4820">
            <v>10530084</v>
          </cell>
          <cell r="H4820">
            <v>131.02000000000004</v>
          </cell>
          <cell r="I4820">
            <v>5029.4700000000012</v>
          </cell>
          <cell r="J4820">
            <v>0</v>
          </cell>
          <cell r="K4820">
            <v>0</v>
          </cell>
          <cell r="M4820">
            <v>1550.4</v>
          </cell>
          <cell r="P4820">
            <v>3479</v>
          </cell>
          <cell r="V4820" t="str">
            <v>Available</v>
          </cell>
        </row>
        <row r="4821">
          <cell r="E4821">
            <v>10530084</v>
          </cell>
          <cell r="H4821">
            <v>34.56</v>
          </cell>
          <cell r="I4821">
            <v>1249.55</v>
          </cell>
          <cell r="J4821">
            <v>0</v>
          </cell>
          <cell r="K4821">
            <v>0</v>
          </cell>
          <cell r="M4821">
            <v>0</v>
          </cell>
          <cell r="P4821">
            <v>1250</v>
          </cell>
          <cell r="V4821" t="str">
            <v>Available</v>
          </cell>
        </row>
        <row r="4822">
          <cell r="E4822">
            <v>10530084</v>
          </cell>
          <cell r="H4822">
            <v>26.14</v>
          </cell>
          <cell r="I4822">
            <v>1060.5</v>
          </cell>
          <cell r="J4822">
            <v>0</v>
          </cell>
          <cell r="K4822">
            <v>0</v>
          </cell>
          <cell r="M4822">
            <v>0</v>
          </cell>
          <cell r="P4822">
            <v>1061</v>
          </cell>
          <cell r="V4822" t="str">
            <v>Available</v>
          </cell>
        </row>
        <row r="4823">
          <cell r="E4823">
            <v>10530084</v>
          </cell>
          <cell r="H4823">
            <v>28.650000000000002</v>
          </cell>
          <cell r="I4823">
            <v>1244.9100000000001</v>
          </cell>
          <cell r="J4823">
            <v>0</v>
          </cell>
          <cell r="K4823">
            <v>0</v>
          </cell>
          <cell r="M4823">
            <v>0</v>
          </cell>
          <cell r="P4823">
            <v>1245</v>
          </cell>
          <cell r="V4823" t="str">
            <v>Available</v>
          </cell>
        </row>
        <row r="4824">
          <cell r="E4824">
            <v>10530084</v>
          </cell>
          <cell r="H4824">
            <v>29.060000000000002</v>
          </cell>
          <cell r="I4824">
            <v>1107.8800000000001</v>
          </cell>
          <cell r="J4824">
            <v>0</v>
          </cell>
          <cell r="K4824">
            <v>0</v>
          </cell>
          <cell r="M4824">
            <v>0</v>
          </cell>
          <cell r="P4824">
            <v>1108</v>
          </cell>
          <cell r="V4824" t="str">
            <v>Available</v>
          </cell>
        </row>
        <row r="4825">
          <cell r="E4825">
            <v>10530084</v>
          </cell>
          <cell r="H4825">
            <v>35.86</v>
          </cell>
          <cell r="I4825">
            <v>1450.61</v>
          </cell>
          <cell r="J4825">
            <v>0</v>
          </cell>
          <cell r="K4825">
            <v>0</v>
          </cell>
          <cell r="M4825">
            <v>0</v>
          </cell>
          <cell r="P4825">
            <v>1451</v>
          </cell>
          <cell r="V4825" t="str">
            <v>Available</v>
          </cell>
        </row>
        <row r="4826">
          <cell r="E4826">
            <v>10530084</v>
          </cell>
          <cell r="H4826">
            <v>14.68</v>
          </cell>
          <cell r="I4826">
            <v>529.94999999999993</v>
          </cell>
          <cell r="J4826">
            <v>0</v>
          </cell>
          <cell r="K4826">
            <v>0</v>
          </cell>
          <cell r="M4826">
            <v>0</v>
          </cell>
          <cell r="P4826">
            <v>530</v>
          </cell>
          <cell r="V4826" t="str">
            <v>Available</v>
          </cell>
        </row>
        <row r="4827">
          <cell r="E4827">
            <v>10530084</v>
          </cell>
          <cell r="H4827">
            <v>35.46</v>
          </cell>
          <cell r="I4827">
            <v>1505.7899999999995</v>
          </cell>
          <cell r="J4827">
            <v>0</v>
          </cell>
          <cell r="K4827">
            <v>0</v>
          </cell>
          <cell r="M4827">
            <v>0</v>
          </cell>
          <cell r="P4827">
            <v>1506</v>
          </cell>
          <cell r="V4827" t="str">
            <v>Available</v>
          </cell>
        </row>
        <row r="4828">
          <cell r="E4828">
            <v>10530084</v>
          </cell>
          <cell r="H4828">
            <v>70.759999999999977</v>
          </cell>
          <cell r="I4828">
            <v>2675.7099999999996</v>
          </cell>
          <cell r="J4828">
            <v>0</v>
          </cell>
          <cell r="K4828">
            <v>0</v>
          </cell>
          <cell r="M4828">
            <v>0</v>
          </cell>
          <cell r="P4828">
            <v>2676</v>
          </cell>
          <cell r="V4828" t="str">
            <v>Available</v>
          </cell>
        </row>
        <row r="4829">
          <cell r="E4829">
            <v>10530085</v>
          </cell>
          <cell r="H4829">
            <v>40.14</v>
          </cell>
          <cell r="I4829">
            <v>1517.19</v>
          </cell>
          <cell r="J4829">
            <v>0</v>
          </cell>
          <cell r="K4829">
            <v>0</v>
          </cell>
          <cell r="M4829">
            <v>0</v>
          </cell>
          <cell r="P4829">
            <v>1517</v>
          </cell>
          <cell r="V4829" t="str">
            <v>Available</v>
          </cell>
        </row>
        <row r="4830">
          <cell r="E4830">
            <v>10530085</v>
          </cell>
          <cell r="H4830">
            <v>18</v>
          </cell>
          <cell r="I4830">
            <v>900</v>
          </cell>
          <cell r="J4830">
            <v>0</v>
          </cell>
          <cell r="K4830">
            <v>0</v>
          </cell>
          <cell r="M4830">
            <v>0</v>
          </cell>
          <cell r="P4830">
            <v>900</v>
          </cell>
          <cell r="V4830" t="str">
            <v>Available</v>
          </cell>
        </row>
        <row r="4831">
          <cell r="E4831">
            <v>10530085</v>
          </cell>
          <cell r="H4831">
            <v>2.0299999999999998</v>
          </cell>
          <cell r="I4831">
            <v>100.18</v>
          </cell>
          <cell r="J4831">
            <v>0</v>
          </cell>
          <cell r="K4831">
            <v>0</v>
          </cell>
          <cell r="M4831">
            <v>0</v>
          </cell>
          <cell r="P4831">
            <v>100</v>
          </cell>
          <cell r="V4831" t="str">
            <v>Available</v>
          </cell>
        </row>
        <row r="4832">
          <cell r="E4832">
            <v>10530085</v>
          </cell>
          <cell r="H4832">
            <v>84.36</v>
          </cell>
          <cell r="I4832">
            <v>2995.92</v>
          </cell>
          <cell r="J4832">
            <v>0</v>
          </cell>
          <cell r="K4832">
            <v>0</v>
          </cell>
          <cell r="M4832">
            <v>0</v>
          </cell>
          <cell r="P4832">
            <v>2996</v>
          </cell>
          <cell r="V4832" t="str">
            <v>Available</v>
          </cell>
        </row>
        <row r="4833">
          <cell r="E4833">
            <v>10530085</v>
          </cell>
          <cell r="H4833">
            <v>63.82</v>
          </cell>
          <cell r="I4833">
            <v>2740.58</v>
          </cell>
          <cell r="J4833">
            <v>0</v>
          </cell>
          <cell r="K4833">
            <v>0</v>
          </cell>
          <cell r="M4833">
            <v>0</v>
          </cell>
          <cell r="P4833">
            <v>2741</v>
          </cell>
          <cell r="V4833" t="str">
            <v>Available</v>
          </cell>
        </row>
        <row r="4834">
          <cell r="E4834">
            <v>10530085</v>
          </cell>
          <cell r="H4834">
            <v>30.93</v>
          </cell>
          <cell r="I4834">
            <v>1283.0999999999999</v>
          </cell>
          <cell r="J4834">
            <v>0</v>
          </cell>
          <cell r="K4834">
            <v>0</v>
          </cell>
          <cell r="M4834">
            <v>0</v>
          </cell>
          <cell r="P4834">
            <v>1283</v>
          </cell>
          <cell r="V4834" t="str">
            <v>Available</v>
          </cell>
        </row>
        <row r="4835">
          <cell r="E4835">
            <v>10530085</v>
          </cell>
          <cell r="H4835">
            <v>25.83</v>
          </cell>
          <cell r="I4835">
            <v>1117.17</v>
          </cell>
          <cell r="J4835">
            <v>0</v>
          </cell>
          <cell r="K4835">
            <v>0</v>
          </cell>
          <cell r="M4835">
            <v>0</v>
          </cell>
          <cell r="P4835">
            <v>1117</v>
          </cell>
          <cell r="V4835" t="str">
            <v>Available</v>
          </cell>
        </row>
        <row r="4836">
          <cell r="E4836">
            <v>10530085</v>
          </cell>
          <cell r="H4836">
            <v>26.45</v>
          </cell>
          <cell r="I4836">
            <v>1634.7099999999998</v>
          </cell>
          <cell r="J4836">
            <v>0</v>
          </cell>
          <cell r="K4836">
            <v>0</v>
          </cell>
          <cell r="M4836">
            <v>0</v>
          </cell>
          <cell r="P4836">
            <v>1635</v>
          </cell>
          <cell r="V4836" t="str">
            <v>Available</v>
          </cell>
        </row>
        <row r="4837">
          <cell r="E4837">
            <v>10530085</v>
          </cell>
          <cell r="H4837">
            <v>10.190000000000001</v>
          </cell>
          <cell r="I4837">
            <v>387.59</v>
          </cell>
          <cell r="J4837">
            <v>0</v>
          </cell>
          <cell r="K4837">
            <v>0</v>
          </cell>
          <cell r="M4837">
            <v>0</v>
          </cell>
          <cell r="P4837">
            <v>388</v>
          </cell>
          <cell r="V4837" t="str">
            <v>Available</v>
          </cell>
        </row>
        <row r="4838">
          <cell r="E4838">
            <v>10530085</v>
          </cell>
          <cell r="H4838">
            <v>54.04999999999999</v>
          </cell>
          <cell r="I4838">
            <v>2042.22</v>
          </cell>
          <cell r="J4838">
            <v>0</v>
          </cell>
          <cell r="K4838">
            <v>0</v>
          </cell>
          <cell r="M4838">
            <v>0</v>
          </cell>
          <cell r="P4838">
            <v>2042</v>
          </cell>
          <cell r="V4838" t="str">
            <v>Available</v>
          </cell>
        </row>
        <row r="4839">
          <cell r="E4839">
            <v>10530085</v>
          </cell>
          <cell r="H4839">
            <v>6.82</v>
          </cell>
          <cell r="I4839">
            <v>520.23</v>
          </cell>
          <cell r="J4839">
            <v>0</v>
          </cell>
          <cell r="K4839">
            <v>0</v>
          </cell>
          <cell r="M4839">
            <v>0</v>
          </cell>
          <cell r="P4839">
            <v>520</v>
          </cell>
          <cell r="V4839" t="str">
            <v>Available</v>
          </cell>
        </row>
        <row r="4840">
          <cell r="E4840">
            <v>10530085</v>
          </cell>
          <cell r="H4840">
            <v>95.339999999999989</v>
          </cell>
          <cell r="I4840">
            <v>5414.6500000000005</v>
          </cell>
          <cell r="J4840">
            <v>0</v>
          </cell>
          <cell r="K4840">
            <v>0</v>
          </cell>
          <cell r="M4840">
            <v>0</v>
          </cell>
          <cell r="P4840">
            <v>5415</v>
          </cell>
          <cell r="V4840" t="str">
            <v>Available</v>
          </cell>
        </row>
        <row r="4841">
          <cell r="E4841">
            <v>10530085</v>
          </cell>
          <cell r="H4841">
            <v>36.75</v>
          </cell>
          <cell r="I4841">
            <v>1365.0400000000002</v>
          </cell>
          <cell r="J4841">
            <v>0</v>
          </cell>
          <cell r="K4841">
            <v>0</v>
          </cell>
          <cell r="M4841">
            <v>0</v>
          </cell>
          <cell r="P4841">
            <v>1365</v>
          </cell>
          <cell r="V4841" t="str">
            <v>Available</v>
          </cell>
        </row>
        <row r="4842">
          <cell r="E4842">
            <v>10530085</v>
          </cell>
          <cell r="H4842">
            <v>17.14</v>
          </cell>
          <cell r="I4842">
            <v>735.11</v>
          </cell>
          <cell r="J4842">
            <v>0</v>
          </cell>
          <cell r="K4842">
            <v>0</v>
          </cell>
          <cell r="M4842">
            <v>0</v>
          </cell>
          <cell r="P4842">
            <v>735</v>
          </cell>
          <cell r="V4842" t="str">
            <v>Available</v>
          </cell>
        </row>
        <row r="4843">
          <cell r="E4843">
            <v>10530091</v>
          </cell>
          <cell r="H4843">
            <v>15.6</v>
          </cell>
          <cell r="I4843">
            <v>605.78</v>
          </cell>
          <cell r="J4843">
            <v>0</v>
          </cell>
          <cell r="K4843">
            <v>0</v>
          </cell>
          <cell r="M4843">
            <v>0</v>
          </cell>
          <cell r="P4843">
            <v>606</v>
          </cell>
          <cell r="V4843" t="str">
            <v>Available</v>
          </cell>
        </row>
        <row r="4844">
          <cell r="E4844">
            <v>10530091</v>
          </cell>
          <cell r="H4844">
            <v>8</v>
          </cell>
          <cell r="I4844">
            <v>309.65000000000003</v>
          </cell>
          <cell r="J4844">
            <v>0</v>
          </cell>
          <cell r="K4844">
            <v>0</v>
          </cell>
          <cell r="M4844">
            <v>0</v>
          </cell>
          <cell r="P4844">
            <v>310</v>
          </cell>
          <cell r="V4844" t="str">
            <v>Available</v>
          </cell>
        </row>
        <row r="4845">
          <cell r="E4845">
            <v>10530091</v>
          </cell>
          <cell r="H4845">
            <v>5.8</v>
          </cell>
          <cell r="I4845">
            <v>250.28</v>
          </cell>
          <cell r="J4845">
            <v>0</v>
          </cell>
          <cell r="K4845">
            <v>0</v>
          </cell>
          <cell r="M4845">
            <v>0</v>
          </cell>
          <cell r="P4845">
            <v>250</v>
          </cell>
          <cell r="V4845" t="str">
            <v>Available</v>
          </cell>
        </row>
        <row r="4846">
          <cell r="E4846">
            <v>10530091</v>
          </cell>
          <cell r="H4846">
            <v>4.8</v>
          </cell>
          <cell r="I4846">
            <v>451.20999999999992</v>
          </cell>
          <cell r="J4846">
            <v>0</v>
          </cell>
          <cell r="K4846">
            <v>0</v>
          </cell>
          <cell r="M4846">
            <v>0</v>
          </cell>
          <cell r="P4846">
            <v>451</v>
          </cell>
          <cell r="V4846" t="str">
            <v>Available</v>
          </cell>
        </row>
        <row r="4847">
          <cell r="E4847">
            <v>10530091</v>
          </cell>
          <cell r="H4847">
            <v>6.6</v>
          </cell>
          <cell r="I4847">
            <v>221.76999999999998</v>
          </cell>
          <cell r="J4847">
            <v>0</v>
          </cell>
          <cell r="K4847">
            <v>0</v>
          </cell>
          <cell r="M4847">
            <v>0</v>
          </cell>
          <cell r="P4847">
            <v>222</v>
          </cell>
          <cell r="V4847" t="str">
            <v>Available</v>
          </cell>
        </row>
        <row r="4848">
          <cell r="E4848">
            <v>10530091</v>
          </cell>
          <cell r="H4848">
            <v>9.6999999999999993</v>
          </cell>
          <cell r="I4848">
            <v>326.88</v>
          </cell>
          <cell r="J4848">
            <v>0</v>
          </cell>
          <cell r="K4848">
            <v>0</v>
          </cell>
          <cell r="M4848">
            <v>0</v>
          </cell>
          <cell r="P4848">
            <v>327</v>
          </cell>
          <cell r="V4848" t="str">
            <v>Available</v>
          </cell>
        </row>
        <row r="4849">
          <cell r="E4849">
            <v>10530091</v>
          </cell>
          <cell r="H4849">
            <v>10</v>
          </cell>
          <cell r="I4849">
            <v>388.42</v>
          </cell>
          <cell r="J4849">
            <v>0</v>
          </cell>
          <cell r="K4849">
            <v>0</v>
          </cell>
          <cell r="M4849">
            <v>0</v>
          </cell>
          <cell r="P4849">
            <v>388</v>
          </cell>
          <cell r="V4849" t="str">
            <v>Available</v>
          </cell>
        </row>
        <row r="4850">
          <cell r="E4850">
            <v>10530092</v>
          </cell>
          <cell r="H4850">
            <v>414.1099999999999</v>
          </cell>
          <cell r="I4850">
            <v>18111.750000000007</v>
          </cell>
          <cell r="J4850">
            <v>0</v>
          </cell>
          <cell r="K4850">
            <v>0</v>
          </cell>
          <cell r="M4850">
            <v>0</v>
          </cell>
          <cell r="P4850">
            <v>18112</v>
          </cell>
          <cell r="V4850" t="str">
            <v>Available</v>
          </cell>
        </row>
        <row r="4851">
          <cell r="E4851">
            <v>10530092</v>
          </cell>
          <cell r="H4851">
            <v>18.399999999999999</v>
          </cell>
          <cell r="I4851">
            <v>688.18</v>
          </cell>
          <cell r="J4851">
            <v>0</v>
          </cell>
          <cell r="K4851">
            <v>0</v>
          </cell>
          <cell r="M4851">
            <v>518</v>
          </cell>
          <cell r="P4851">
            <v>170</v>
          </cell>
          <cell r="V4851" t="str">
            <v>Available</v>
          </cell>
        </row>
        <row r="4852">
          <cell r="E4852">
            <v>10530092</v>
          </cell>
          <cell r="H4852">
            <v>54.099999999999994</v>
          </cell>
          <cell r="I4852">
            <v>2622.4300000000003</v>
          </cell>
          <cell r="J4852">
            <v>0</v>
          </cell>
          <cell r="K4852">
            <v>0</v>
          </cell>
          <cell r="M4852">
            <v>0</v>
          </cell>
          <cell r="P4852">
            <v>2622</v>
          </cell>
          <cell r="V4852" t="str">
            <v>Available</v>
          </cell>
        </row>
        <row r="4853">
          <cell r="E4853">
            <v>10530092</v>
          </cell>
          <cell r="H4853">
            <v>50.9</v>
          </cell>
          <cell r="I4853">
            <v>1871.2</v>
          </cell>
          <cell r="J4853">
            <v>0</v>
          </cell>
          <cell r="K4853">
            <v>0</v>
          </cell>
          <cell r="M4853">
            <v>0</v>
          </cell>
          <cell r="P4853">
            <v>1871</v>
          </cell>
          <cell r="V4853" t="str">
            <v>Available</v>
          </cell>
        </row>
        <row r="4854">
          <cell r="E4854">
            <v>10530092</v>
          </cell>
          <cell r="H4854">
            <v>216.89999999999998</v>
          </cell>
          <cell r="I4854">
            <v>8219.0600000000013</v>
          </cell>
          <cell r="J4854">
            <v>0</v>
          </cell>
          <cell r="K4854">
            <v>0</v>
          </cell>
          <cell r="M4854">
            <v>0</v>
          </cell>
          <cell r="P4854">
            <v>8219</v>
          </cell>
          <cell r="V4854" t="str">
            <v>Available</v>
          </cell>
        </row>
        <row r="4855">
          <cell r="E4855">
            <v>10530092</v>
          </cell>
          <cell r="H4855">
            <v>7.7</v>
          </cell>
          <cell r="I4855">
            <v>625.37</v>
          </cell>
          <cell r="J4855">
            <v>0</v>
          </cell>
          <cell r="K4855">
            <v>0</v>
          </cell>
          <cell r="M4855">
            <v>0</v>
          </cell>
          <cell r="P4855">
            <v>625</v>
          </cell>
          <cell r="V4855" t="str">
            <v>Not Available</v>
          </cell>
        </row>
        <row r="4856">
          <cell r="E4856">
            <v>10530092</v>
          </cell>
          <cell r="H4856">
            <v>6.2</v>
          </cell>
          <cell r="I4856">
            <v>219.67</v>
          </cell>
          <cell r="J4856">
            <v>0</v>
          </cell>
          <cell r="K4856">
            <v>0</v>
          </cell>
          <cell r="M4856">
            <v>0</v>
          </cell>
          <cell r="P4856">
            <v>220</v>
          </cell>
          <cell r="V4856" t="str">
            <v>Not Available</v>
          </cell>
        </row>
        <row r="4857">
          <cell r="E4857">
            <v>10530092</v>
          </cell>
          <cell r="H4857">
            <v>50.2</v>
          </cell>
          <cell r="I4857">
            <v>2157.1299999999997</v>
          </cell>
          <cell r="J4857">
            <v>0</v>
          </cell>
          <cell r="K4857">
            <v>0</v>
          </cell>
          <cell r="M4857">
            <v>0</v>
          </cell>
          <cell r="P4857">
            <v>2157</v>
          </cell>
          <cell r="V4857" t="str">
            <v>Not Available</v>
          </cell>
        </row>
        <row r="4858">
          <cell r="E4858">
            <v>10530092</v>
          </cell>
          <cell r="H4858">
            <v>13.1</v>
          </cell>
          <cell r="I4858">
            <v>495.22</v>
          </cell>
          <cell r="J4858">
            <v>0</v>
          </cell>
          <cell r="K4858">
            <v>0</v>
          </cell>
          <cell r="M4858">
            <v>0</v>
          </cell>
          <cell r="P4858">
            <v>495</v>
          </cell>
          <cell r="V4858" t="str">
            <v>Not Available</v>
          </cell>
        </row>
        <row r="4859">
          <cell r="E4859">
            <v>10530092</v>
          </cell>
          <cell r="H4859">
            <v>10.199999999999999</v>
          </cell>
          <cell r="I4859">
            <v>821.92000000000007</v>
          </cell>
          <cell r="J4859">
            <v>0</v>
          </cell>
          <cell r="K4859">
            <v>0</v>
          </cell>
          <cell r="M4859">
            <v>0</v>
          </cell>
          <cell r="P4859">
            <v>822</v>
          </cell>
          <cell r="V4859" t="str">
            <v>Not Available</v>
          </cell>
        </row>
        <row r="4860">
          <cell r="E4860">
            <v>10530092</v>
          </cell>
          <cell r="H4860">
            <v>15.9</v>
          </cell>
          <cell r="I4860">
            <v>977.54000000000008</v>
          </cell>
          <cell r="J4860">
            <v>0</v>
          </cell>
          <cell r="K4860">
            <v>0</v>
          </cell>
          <cell r="M4860">
            <v>0</v>
          </cell>
          <cell r="P4860">
            <v>978</v>
          </cell>
          <cell r="V4860" t="str">
            <v>Not Available</v>
          </cell>
        </row>
        <row r="4861">
          <cell r="E4861">
            <v>10530092</v>
          </cell>
          <cell r="H4861">
            <v>23.4</v>
          </cell>
          <cell r="I4861">
            <v>903.40000000000009</v>
          </cell>
          <cell r="J4861">
            <v>0</v>
          </cell>
          <cell r="K4861">
            <v>0</v>
          </cell>
          <cell r="M4861">
            <v>0</v>
          </cell>
          <cell r="P4861">
            <v>903</v>
          </cell>
          <cell r="V4861" t="str">
            <v>Not Available</v>
          </cell>
        </row>
        <row r="4862">
          <cell r="E4862">
            <v>10530092</v>
          </cell>
          <cell r="H4862">
            <v>12.2</v>
          </cell>
          <cell r="I4862">
            <v>488.77000000000004</v>
          </cell>
          <cell r="J4862">
            <v>0</v>
          </cell>
          <cell r="K4862">
            <v>0</v>
          </cell>
          <cell r="M4862">
            <v>0</v>
          </cell>
          <cell r="P4862">
            <v>489</v>
          </cell>
          <cell r="V4862" t="str">
            <v>Not Available</v>
          </cell>
        </row>
        <row r="4863">
          <cell r="E4863">
            <v>10530092</v>
          </cell>
          <cell r="H4863">
            <v>58.6</v>
          </cell>
          <cell r="I4863">
            <v>2105.6800000000003</v>
          </cell>
          <cell r="J4863">
            <v>0</v>
          </cell>
          <cell r="K4863">
            <v>0</v>
          </cell>
          <cell r="M4863">
            <v>0</v>
          </cell>
          <cell r="P4863">
            <v>2106</v>
          </cell>
          <cell r="V4863" t="str">
            <v>Available</v>
          </cell>
        </row>
        <row r="4864">
          <cell r="E4864">
            <v>10530092</v>
          </cell>
          <cell r="H4864">
            <v>38.199999999999996</v>
          </cell>
          <cell r="I4864">
            <v>2169.81</v>
          </cell>
          <cell r="J4864">
            <v>0</v>
          </cell>
          <cell r="K4864">
            <v>0</v>
          </cell>
          <cell r="M4864">
            <v>0</v>
          </cell>
          <cell r="P4864">
            <v>2170</v>
          </cell>
          <cell r="V4864" t="str">
            <v>Not Available</v>
          </cell>
        </row>
        <row r="4865">
          <cell r="E4865">
            <v>10530092</v>
          </cell>
          <cell r="H4865">
            <v>37.6</v>
          </cell>
          <cell r="I4865">
            <v>2063.0500000000002</v>
          </cell>
          <cell r="J4865">
            <v>0</v>
          </cell>
          <cell r="K4865">
            <v>0</v>
          </cell>
          <cell r="M4865">
            <v>0</v>
          </cell>
          <cell r="P4865">
            <v>2063</v>
          </cell>
          <cell r="V4865" t="str">
            <v>Not Available</v>
          </cell>
        </row>
        <row r="4866">
          <cell r="E4866">
            <v>10530092</v>
          </cell>
          <cell r="H4866">
            <v>5</v>
          </cell>
          <cell r="I4866">
            <v>184.48000000000002</v>
          </cell>
          <cell r="J4866">
            <v>0</v>
          </cell>
          <cell r="K4866">
            <v>0</v>
          </cell>
          <cell r="M4866">
            <v>0</v>
          </cell>
          <cell r="P4866">
            <v>184</v>
          </cell>
          <cell r="V4866" t="str">
            <v>Not Available</v>
          </cell>
        </row>
        <row r="4867">
          <cell r="E4867">
            <v>10530093</v>
          </cell>
          <cell r="H4867">
            <v>29.199999999999996</v>
          </cell>
          <cell r="I4867">
            <v>1300.19</v>
          </cell>
          <cell r="J4867">
            <v>0</v>
          </cell>
          <cell r="K4867">
            <v>1300.19</v>
          </cell>
          <cell r="M4867">
            <v>0</v>
          </cell>
          <cell r="P4867">
            <v>0</v>
          </cell>
          <cell r="V4867" t="str">
            <v>Not Available</v>
          </cell>
        </row>
        <row r="4868">
          <cell r="E4868">
            <v>10530093</v>
          </cell>
          <cell r="H4868">
            <v>84.899999999999991</v>
          </cell>
          <cell r="I4868">
            <v>3627.9100000000003</v>
          </cell>
          <cell r="J4868">
            <v>0</v>
          </cell>
          <cell r="K4868">
            <v>0</v>
          </cell>
          <cell r="M4868">
            <v>0</v>
          </cell>
          <cell r="P4868">
            <v>3628</v>
          </cell>
          <cell r="V4868" t="str">
            <v>Available</v>
          </cell>
        </row>
        <row r="4869">
          <cell r="E4869">
            <v>10530093</v>
          </cell>
          <cell r="H4869">
            <v>51.499999999999993</v>
          </cell>
          <cell r="I4869">
            <v>2542.61</v>
          </cell>
          <cell r="J4869">
            <v>0</v>
          </cell>
          <cell r="K4869">
            <v>0</v>
          </cell>
          <cell r="M4869">
            <v>0</v>
          </cell>
          <cell r="P4869">
            <v>2543</v>
          </cell>
          <cell r="V4869" t="str">
            <v>Available</v>
          </cell>
        </row>
        <row r="4870">
          <cell r="E4870">
            <v>10530093</v>
          </cell>
          <cell r="H4870">
            <v>181.39999999999998</v>
          </cell>
          <cell r="I4870">
            <v>8912.3599999999969</v>
          </cell>
          <cell r="J4870">
            <v>0</v>
          </cell>
          <cell r="K4870">
            <v>0</v>
          </cell>
          <cell r="M4870">
            <v>0</v>
          </cell>
          <cell r="P4870">
            <v>8912</v>
          </cell>
          <cell r="V4870" t="str">
            <v>Available</v>
          </cell>
        </row>
        <row r="4871">
          <cell r="E4871">
            <v>10530093</v>
          </cell>
          <cell r="H4871">
            <v>12.1</v>
          </cell>
          <cell r="I4871">
            <v>619.52</v>
          </cell>
          <cell r="J4871">
            <v>0</v>
          </cell>
          <cell r="K4871">
            <v>0</v>
          </cell>
          <cell r="M4871">
            <v>0</v>
          </cell>
          <cell r="P4871">
            <v>620</v>
          </cell>
          <cell r="V4871" t="str">
            <v>Available</v>
          </cell>
        </row>
        <row r="4872">
          <cell r="E4872">
            <v>10530093</v>
          </cell>
          <cell r="H4872">
            <v>15.099999999999998</v>
          </cell>
          <cell r="I4872">
            <v>1277.79</v>
          </cell>
          <cell r="J4872">
            <v>0</v>
          </cell>
          <cell r="K4872">
            <v>0</v>
          </cell>
          <cell r="M4872">
            <v>0</v>
          </cell>
          <cell r="P4872">
            <v>1278</v>
          </cell>
          <cell r="V4872" t="str">
            <v>Available</v>
          </cell>
        </row>
        <row r="4873">
          <cell r="E4873">
            <v>10530093</v>
          </cell>
          <cell r="H4873">
            <v>36.200000000000003</v>
          </cell>
          <cell r="I4873">
            <v>1997.12</v>
          </cell>
          <cell r="J4873">
            <v>0</v>
          </cell>
          <cell r="K4873">
            <v>0</v>
          </cell>
          <cell r="M4873">
            <v>0</v>
          </cell>
          <cell r="P4873">
            <v>1997</v>
          </cell>
          <cell r="V4873" t="str">
            <v>Available</v>
          </cell>
        </row>
        <row r="4874">
          <cell r="E4874">
            <v>10530093</v>
          </cell>
          <cell r="H4874">
            <v>18</v>
          </cell>
          <cell r="I4874">
            <v>897.98</v>
          </cell>
          <cell r="J4874">
            <v>0</v>
          </cell>
          <cell r="K4874">
            <v>0</v>
          </cell>
          <cell r="M4874">
            <v>0</v>
          </cell>
          <cell r="P4874">
            <v>898</v>
          </cell>
          <cell r="V4874" t="str">
            <v>Available</v>
          </cell>
        </row>
        <row r="4875">
          <cell r="E4875">
            <v>10530093</v>
          </cell>
          <cell r="H4875">
            <v>14.6</v>
          </cell>
          <cell r="I4875">
            <v>1228.46</v>
          </cell>
          <cell r="J4875">
            <v>0</v>
          </cell>
          <cell r="K4875">
            <v>0</v>
          </cell>
          <cell r="M4875">
            <v>0</v>
          </cell>
          <cell r="P4875">
            <v>1228</v>
          </cell>
          <cell r="V4875" t="str">
            <v>Available</v>
          </cell>
        </row>
        <row r="4876">
          <cell r="E4876">
            <v>10530093</v>
          </cell>
          <cell r="H4876">
            <v>34.6</v>
          </cell>
          <cell r="I4876">
            <v>1847.43</v>
          </cell>
          <cell r="J4876">
            <v>0</v>
          </cell>
          <cell r="K4876">
            <v>0</v>
          </cell>
          <cell r="M4876">
            <v>0</v>
          </cell>
          <cell r="P4876">
            <v>1847</v>
          </cell>
          <cell r="V4876" t="str">
            <v>Available</v>
          </cell>
        </row>
        <row r="4877">
          <cell r="E4877">
            <v>10530093</v>
          </cell>
          <cell r="H4877">
            <v>28.099999999999998</v>
          </cell>
          <cell r="I4877">
            <v>1221.8</v>
          </cell>
          <cell r="J4877">
            <v>0</v>
          </cell>
          <cell r="K4877">
            <v>0</v>
          </cell>
          <cell r="M4877">
            <v>0</v>
          </cell>
          <cell r="P4877">
            <v>1222</v>
          </cell>
          <cell r="V4877" t="str">
            <v>Available</v>
          </cell>
        </row>
        <row r="4878">
          <cell r="E4878">
            <v>10530093</v>
          </cell>
          <cell r="H4878">
            <v>37.199999999999996</v>
          </cell>
          <cell r="I4878">
            <v>1492.25</v>
          </cell>
          <cell r="J4878">
            <v>0</v>
          </cell>
          <cell r="K4878">
            <v>0</v>
          </cell>
          <cell r="M4878">
            <v>0</v>
          </cell>
          <cell r="P4878">
            <v>1492</v>
          </cell>
          <cell r="V4878" t="str">
            <v>Available</v>
          </cell>
        </row>
        <row r="4879">
          <cell r="E4879">
            <v>10530093</v>
          </cell>
          <cell r="H4879">
            <v>21.1</v>
          </cell>
          <cell r="I4879">
            <v>1156.96</v>
          </cell>
          <cell r="J4879">
            <v>0</v>
          </cell>
          <cell r="K4879">
            <v>0</v>
          </cell>
          <cell r="M4879">
            <v>0</v>
          </cell>
          <cell r="P4879">
            <v>1157</v>
          </cell>
          <cell r="V4879" t="str">
            <v>Available</v>
          </cell>
        </row>
        <row r="4880">
          <cell r="E4880">
            <v>10530093</v>
          </cell>
          <cell r="H4880">
            <v>20.399999999999999</v>
          </cell>
          <cell r="I4880">
            <v>1679.1799999999998</v>
          </cell>
          <cell r="J4880">
            <v>0</v>
          </cell>
          <cell r="K4880">
            <v>0</v>
          </cell>
          <cell r="M4880">
            <v>0</v>
          </cell>
          <cell r="P4880">
            <v>1679</v>
          </cell>
          <cell r="V4880" t="str">
            <v>Available</v>
          </cell>
        </row>
        <row r="4881">
          <cell r="E4881">
            <v>10530093</v>
          </cell>
          <cell r="H4881">
            <v>47.1</v>
          </cell>
          <cell r="I4881">
            <v>1812.67</v>
          </cell>
          <cell r="J4881">
            <v>0</v>
          </cell>
          <cell r="K4881">
            <v>0</v>
          </cell>
          <cell r="M4881">
            <v>0</v>
          </cell>
          <cell r="P4881">
            <v>1813</v>
          </cell>
          <cell r="V4881" t="str">
            <v>Available</v>
          </cell>
        </row>
        <row r="4882">
          <cell r="E4882">
            <v>10530093</v>
          </cell>
          <cell r="H4882">
            <v>10.9</v>
          </cell>
          <cell r="I4882">
            <v>497.57</v>
          </cell>
          <cell r="J4882">
            <v>0</v>
          </cell>
          <cell r="K4882">
            <v>0</v>
          </cell>
          <cell r="M4882">
            <v>0</v>
          </cell>
          <cell r="P4882">
            <v>498</v>
          </cell>
          <cell r="V4882" t="str">
            <v>Available</v>
          </cell>
        </row>
        <row r="4883">
          <cell r="E4883">
            <v>10530093</v>
          </cell>
          <cell r="H4883">
            <v>8.1</v>
          </cell>
          <cell r="I4883">
            <v>335.78000000000003</v>
          </cell>
          <cell r="J4883">
            <v>0</v>
          </cell>
          <cell r="K4883">
            <v>0</v>
          </cell>
          <cell r="M4883">
            <v>0</v>
          </cell>
          <cell r="P4883">
            <v>336</v>
          </cell>
          <cell r="V4883" t="str">
            <v>Available</v>
          </cell>
        </row>
        <row r="4884">
          <cell r="E4884">
            <v>10530093</v>
          </cell>
          <cell r="H4884">
            <v>11.4</v>
          </cell>
          <cell r="I4884">
            <v>457.19000000000005</v>
          </cell>
          <cell r="J4884">
            <v>0</v>
          </cell>
          <cell r="K4884">
            <v>0</v>
          </cell>
          <cell r="M4884">
            <v>0</v>
          </cell>
          <cell r="P4884">
            <v>457</v>
          </cell>
          <cell r="V4884" t="str">
            <v>Available</v>
          </cell>
        </row>
        <row r="4885">
          <cell r="E4885">
            <v>10530093</v>
          </cell>
          <cell r="H4885">
            <v>24.3</v>
          </cell>
          <cell r="I4885">
            <v>1123.02</v>
          </cell>
          <cell r="J4885">
            <v>0</v>
          </cell>
          <cell r="K4885">
            <v>0</v>
          </cell>
          <cell r="M4885">
            <v>0</v>
          </cell>
          <cell r="P4885">
            <v>1123</v>
          </cell>
          <cell r="V4885" t="str">
            <v>Available</v>
          </cell>
        </row>
        <row r="4886">
          <cell r="E4886">
            <v>10530093</v>
          </cell>
          <cell r="H4886">
            <v>2.5</v>
          </cell>
          <cell r="I4886">
            <v>77.7</v>
          </cell>
          <cell r="J4886">
            <v>0</v>
          </cell>
          <cell r="K4886">
            <v>0</v>
          </cell>
          <cell r="M4886">
            <v>78</v>
          </cell>
          <cell r="P4886">
            <v>0</v>
          </cell>
          <cell r="V4886" t="str">
            <v>Available</v>
          </cell>
        </row>
        <row r="4887">
          <cell r="E4887">
            <v>10530093</v>
          </cell>
          <cell r="H4887">
            <v>31.299999999999997</v>
          </cell>
          <cell r="I4887">
            <v>1717.5400000000002</v>
          </cell>
          <cell r="J4887">
            <v>0</v>
          </cell>
          <cell r="K4887">
            <v>0</v>
          </cell>
          <cell r="M4887">
            <v>0</v>
          </cell>
          <cell r="P4887">
            <v>1718</v>
          </cell>
          <cell r="V4887" t="str">
            <v>Available</v>
          </cell>
        </row>
        <row r="4888">
          <cell r="E4888">
            <v>10530093</v>
          </cell>
          <cell r="H4888">
            <v>26.6</v>
          </cell>
          <cell r="I4888">
            <v>999.55</v>
          </cell>
          <cell r="J4888">
            <v>0</v>
          </cell>
          <cell r="K4888">
            <v>0</v>
          </cell>
          <cell r="M4888">
            <v>0</v>
          </cell>
          <cell r="P4888">
            <v>1000</v>
          </cell>
          <cell r="V4888" t="str">
            <v>Available</v>
          </cell>
        </row>
        <row r="4889">
          <cell r="E4889">
            <v>10530093</v>
          </cell>
          <cell r="H4889">
            <v>53.800000000000004</v>
          </cell>
          <cell r="I4889">
            <v>1962.63</v>
          </cell>
          <cell r="J4889">
            <v>0</v>
          </cell>
          <cell r="K4889">
            <v>0</v>
          </cell>
          <cell r="M4889">
            <v>0</v>
          </cell>
          <cell r="P4889">
            <v>1963</v>
          </cell>
          <cell r="V4889" t="str">
            <v>Available</v>
          </cell>
        </row>
        <row r="4890">
          <cell r="E4890">
            <v>10530093</v>
          </cell>
          <cell r="H4890">
            <v>58.899999999999991</v>
          </cell>
          <cell r="I4890">
            <v>2850.37</v>
          </cell>
          <cell r="J4890">
            <v>0</v>
          </cell>
          <cell r="K4890">
            <v>0</v>
          </cell>
          <cell r="M4890">
            <v>0</v>
          </cell>
          <cell r="P4890">
            <v>2850</v>
          </cell>
          <cell r="V4890" t="str">
            <v>Available</v>
          </cell>
        </row>
        <row r="4891">
          <cell r="E4891">
            <v>10530093</v>
          </cell>
          <cell r="H4891">
            <v>30.3</v>
          </cell>
          <cell r="I4891">
            <v>1778.5099999999998</v>
          </cell>
          <cell r="J4891">
            <v>0</v>
          </cell>
          <cell r="K4891">
            <v>0</v>
          </cell>
          <cell r="M4891">
            <v>0</v>
          </cell>
          <cell r="P4891">
            <v>1779</v>
          </cell>
          <cell r="V4891" t="str">
            <v>Available</v>
          </cell>
        </row>
        <row r="4892">
          <cell r="E4892">
            <v>10530093</v>
          </cell>
          <cell r="H4892">
            <v>23.200000000000003</v>
          </cell>
          <cell r="I4892">
            <v>913.97</v>
          </cell>
          <cell r="J4892">
            <v>0</v>
          </cell>
          <cell r="K4892">
            <v>0</v>
          </cell>
          <cell r="M4892">
            <v>0</v>
          </cell>
          <cell r="P4892">
            <v>914</v>
          </cell>
          <cell r="V4892" t="str">
            <v>Available</v>
          </cell>
        </row>
        <row r="4893">
          <cell r="E4893">
            <v>10530093</v>
          </cell>
          <cell r="H4893">
            <v>11</v>
          </cell>
          <cell r="I4893">
            <v>395.13</v>
          </cell>
          <cell r="J4893">
            <v>0</v>
          </cell>
          <cell r="K4893">
            <v>0</v>
          </cell>
          <cell r="M4893">
            <v>0</v>
          </cell>
          <cell r="P4893">
            <v>395</v>
          </cell>
          <cell r="V4893" t="str">
            <v>Available</v>
          </cell>
        </row>
        <row r="4894">
          <cell r="E4894">
            <v>10530093</v>
          </cell>
          <cell r="H4894">
            <v>99.1</v>
          </cell>
          <cell r="I4894">
            <v>3888.4500000000003</v>
          </cell>
          <cell r="J4894">
            <v>0</v>
          </cell>
          <cell r="K4894">
            <v>0</v>
          </cell>
          <cell r="M4894">
            <v>0</v>
          </cell>
          <cell r="P4894">
            <v>3888</v>
          </cell>
          <cell r="V4894" t="str">
            <v>Available</v>
          </cell>
        </row>
        <row r="4895">
          <cell r="E4895">
            <v>10530093</v>
          </cell>
          <cell r="H4895">
            <v>7.5</v>
          </cell>
          <cell r="I4895">
            <v>251.25</v>
          </cell>
          <cell r="J4895">
            <v>0</v>
          </cell>
          <cell r="K4895">
            <v>0</v>
          </cell>
          <cell r="M4895">
            <v>0</v>
          </cell>
          <cell r="P4895">
            <v>251</v>
          </cell>
          <cell r="V4895" t="str">
            <v>Available</v>
          </cell>
        </row>
        <row r="4896">
          <cell r="E4896">
            <v>10530093</v>
          </cell>
          <cell r="H4896">
            <v>43.000000000000007</v>
          </cell>
          <cell r="I4896">
            <v>1399.5</v>
          </cell>
          <cell r="J4896">
            <v>0</v>
          </cell>
          <cell r="K4896">
            <v>0</v>
          </cell>
          <cell r="M4896">
            <v>0</v>
          </cell>
          <cell r="P4896">
            <v>1400</v>
          </cell>
          <cell r="V4896" t="str">
            <v>Available</v>
          </cell>
        </row>
        <row r="4897">
          <cell r="E4897">
            <v>10530093</v>
          </cell>
          <cell r="H4897">
            <v>14.900000000000002</v>
          </cell>
          <cell r="I4897">
            <v>815.23</v>
          </cell>
          <cell r="J4897">
            <v>0</v>
          </cell>
          <cell r="K4897">
            <v>0</v>
          </cell>
          <cell r="M4897">
            <v>0</v>
          </cell>
          <cell r="P4897">
            <v>815</v>
          </cell>
          <cell r="V4897" t="str">
            <v>Available</v>
          </cell>
        </row>
        <row r="4898">
          <cell r="E4898">
            <v>10530093</v>
          </cell>
          <cell r="H4898">
            <v>27.500000000000004</v>
          </cell>
          <cell r="I4898">
            <v>1036.3399999999999</v>
          </cell>
          <cell r="J4898">
            <v>0</v>
          </cell>
          <cell r="K4898">
            <v>0</v>
          </cell>
          <cell r="M4898">
            <v>0</v>
          </cell>
          <cell r="P4898">
            <v>1036</v>
          </cell>
          <cell r="V4898" t="str">
            <v>Available</v>
          </cell>
        </row>
        <row r="4899">
          <cell r="E4899">
            <v>10530093</v>
          </cell>
          <cell r="H4899">
            <v>33.300000000000004</v>
          </cell>
          <cell r="I4899">
            <v>1564.19</v>
          </cell>
          <cell r="J4899">
            <v>0</v>
          </cell>
          <cell r="K4899">
            <v>0</v>
          </cell>
          <cell r="M4899">
            <v>0</v>
          </cell>
          <cell r="P4899">
            <v>1564</v>
          </cell>
          <cell r="V4899" t="str">
            <v>Available</v>
          </cell>
        </row>
        <row r="4900">
          <cell r="E4900">
            <v>10530093</v>
          </cell>
          <cell r="H4900">
            <v>27.400000000000006</v>
          </cell>
          <cell r="I4900">
            <v>1014.62</v>
          </cell>
          <cell r="J4900">
            <v>0</v>
          </cell>
          <cell r="K4900">
            <v>0</v>
          </cell>
          <cell r="M4900">
            <v>0</v>
          </cell>
          <cell r="P4900">
            <v>1015</v>
          </cell>
          <cell r="V4900" t="str">
            <v>Available</v>
          </cell>
        </row>
        <row r="4901">
          <cell r="E4901">
            <v>10530093</v>
          </cell>
          <cell r="H4901">
            <v>18.3</v>
          </cell>
          <cell r="I4901">
            <v>835.52</v>
          </cell>
          <cell r="J4901">
            <v>0</v>
          </cell>
          <cell r="K4901">
            <v>0</v>
          </cell>
          <cell r="M4901">
            <v>0</v>
          </cell>
          <cell r="P4901">
            <v>836</v>
          </cell>
          <cell r="V4901" t="str">
            <v>Available</v>
          </cell>
        </row>
        <row r="4902">
          <cell r="E4902">
            <v>10530096</v>
          </cell>
          <cell r="H4902">
            <v>5</v>
          </cell>
          <cell r="I4902">
            <v>242.7</v>
          </cell>
          <cell r="J4902">
            <v>0</v>
          </cell>
          <cell r="K4902">
            <v>242.7</v>
          </cell>
          <cell r="M4902">
            <v>0</v>
          </cell>
          <cell r="P4902">
            <v>0</v>
          </cell>
          <cell r="V4902" t="str">
            <v>Not Available</v>
          </cell>
        </row>
        <row r="4903">
          <cell r="E4903">
            <v>10530096</v>
          </cell>
          <cell r="H4903">
            <v>1961.9999999999998</v>
          </cell>
          <cell r="I4903">
            <v>99296.460000000021</v>
          </cell>
          <cell r="J4903">
            <v>0</v>
          </cell>
          <cell r="K4903">
            <v>0</v>
          </cell>
          <cell r="M4903">
            <v>12600</v>
          </cell>
          <cell r="P4903">
            <v>86696</v>
          </cell>
          <cell r="V4903" t="str">
            <v>Available</v>
          </cell>
        </row>
        <row r="4904">
          <cell r="E4904">
            <v>10530096</v>
          </cell>
          <cell r="H4904">
            <v>37.799999999999997</v>
          </cell>
          <cell r="I4904">
            <v>2008.31</v>
          </cell>
          <cell r="J4904">
            <v>0</v>
          </cell>
          <cell r="K4904">
            <v>0</v>
          </cell>
          <cell r="M4904">
            <v>0</v>
          </cell>
          <cell r="P4904">
            <v>2008</v>
          </cell>
          <cell r="V4904" t="str">
            <v>Available</v>
          </cell>
        </row>
        <row r="4905">
          <cell r="E4905">
            <v>10530096</v>
          </cell>
          <cell r="H4905">
            <v>225.70000000000002</v>
          </cell>
          <cell r="I4905">
            <v>10687.02</v>
          </cell>
          <cell r="J4905">
            <v>0</v>
          </cell>
          <cell r="K4905">
            <v>0</v>
          </cell>
          <cell r="M4905">
            <v>0</v>
          </cell>
          <cell r="P4905">
            <v>10687</v>
          </cell>
          <cell r="V4905" t="str">
            <v>Not Available</v>
          </cell>
        </row>
        <row r="4906">
          <cell r="E4906">
            <v>10530096</v>
          </cell>
          <cell r="H4906">
            <v>167.6</v>
          </cell>
          <cell r="I4906">
            <v>7718.49</v>
          </cell>
          <cell r="J4906">
            <v>0</v>
          </cell>
          <cell r="K4906">
            <v>0</v>
          </cell>
          <cell r="M4906">
            <v>0</v>
          </cell>
          <cell r="P4906">
            <v>7718</v>
          </cell>
          <cell r="V4906" t="str">
            <v>Not Available</v>
          </cell>
        </row>
        <row r="4907">
          <cell r="E4907">
            <v>10530096</v>
          </cell>
          <cell r="H4907">
            <v>75.2</v>
          </cell>
          <cell r="I4907">
            <v>4331.42</v>
          </cell>
          <cell r="J4907">
            <v>0</v>
          </cell>
          <cell r="K4907">
            <v>0</v>
          </cell>
          <cell r="M4907">
            <v>0</v>
          </cell>
          <cell r="P4907">
            <v>4331</v>
          </cell>
          <cell r="V4907" t="str">
            <v>Not Available</v>
          </cell>
        </row>
        <row r="4908">
          <cell r="E4908">
            <v>10530097</v>
          </cell>
          <cell r="H4908">
            <v>8.8999999999999968</v>
          </cell>
          <cell r="I4908">
            <v>353.89000000000004</v>
          </cell>
          <cell r="J4908">
            <v>0</v>
          </cell>
          <cell r="K4908">
            <v>353.89000000000004</v>
          </cell>
          <cell r="M4908">
            <v>0</v>
          </cell>
          <cell r="P4908">
            <v>0</v>
          </cell>
          <cell r="V4908" t="str">
            <v>Not Available</v>
          </cell>
        </row>
        <row r="4909">
          <cell r="E4909">
            <v>10530097</v>
          </cell>
          <cell r="H4909">
            <v>36.6</v>
          </cell>
          <cell r="I4909">
            <v>1481.01</v>
          </cell>
          <cell r="J4909">
            <v>0</v>
          </cell>
          <cell r="K4909">
            <v>0</v>
          </cell>
          <cell r="M4909">
            <v>0</v>
          </cell>
          <cell r="P4909">
            <v>1481</v>
          </cell>
          <cell r="V4909" t="str">
            <v>Available</v>
          </cell>
        </row>
        <row r="4910">
          <cell r="E4910">
            <v>10530097</v>
          </cell>
          <cell r="H4910">
            <v>57.8</v>
          </cell>
          <cell r="I4910">
            <v>2269.3199999999997</v>
          </cell>
          <cell r="J4910">
            <v>0</v>
          </cell>
          <cell r="K4910">
            <v>0</v>
          </cell>
          <cell r="M4910">
            <v>0</v>
          </cell>
          <cell r="P4910">
            <v>2269</v>
          </cell>
          <cell r="V4910" t="str">
            <v>Available</v>
          </cell>
        </row>
        <row r="4911">
          <cell r="E4911">
            <v>10530097</v>
          </cell>
          <cell r="H4911">
            <v>99.399999999999991</v>
          </cell>
          <cell r="I4911">
            <v>4173.6499999999996</v>
          </cell>
          <cell r="J4911">
            <v>0</v>
          </cell>
          <cell r="K4911">
            <v>0</v>
          </cell>
          <cell r="M4911">
            <v>0</v>
          </cell>
          <cell r="P4911">
            <v>4174</v>
          </cell>
          <cell r="V4911" t="str">
            <v>Available</v>
          </cell>
        </row>
        <row r="4912">
          <cell r="E4912">
            <v>10530097</v>
          </cell>
          <cell r="H4912">
            <v>9.8000000000000007</v>
          </cell>
          <cell r="I4912">
            <v>585</v>
          </cell>
          <cell r="J4912">
            <v>0</v>
          </cell>
          <cell r="K4912">
            <v>0</v>
          </cell>
          <cell r="M4912">
            <v>0</v>
          </cell>
          <cell r="P4912">
            <v>585</v>
          </cell>
          <cell r="V4912" t="str">
            <v>Available</v>
          </cell>
        </row>
        <row r="4913">
          <cell r="E4913">
            <v>10530097</v>
          </cell>
          <cell r="H4913">
            <v>53.699999999999996</v>
          </cell>
          <cell r="I4913">
            <v>1846.25</v>
          </cell>
          <cell r="J4913">
            <v>0</v>
          </cell>
          <cell r="K4913">
            <v>0</v>
          </cell>
          <cell r="M4913">
            <v>0</v>
          </cell>
          <cell r="P4913">
            <v>1846</v>
          </cell>
          <cell r="V4913" t="str">
            <v>Available</v>
          </cell>
        </row>
        <row r="4914">
          <cell r="E4914">
            <v>10530097</v>
          </cell>
          <cell r="H4914">
            <v>29.1</v>
          </cell>
          <cell r="I4914">
            <v>1064.58</v>
          </cell>
          <cell r="J4914">
            <v>0</v>
          </cell>
          <cell r="K4914">
            <v>0</v>
          </cell>
          <cell r="M4914">
            <v>0</v>
          </cell>
          <cell r="P4914">
            <v>1065</v>
          </cell>
          <cell r="V4914" t="str">
            <v>Available</v>
          </cell>
        </row>
        <row r="4915">
          <cell r="E4915">
            <v>10530097</v>
          </cell>
          <cell r="H4915">
            <v>20.9</v>
          </cell>
          <cell r="I4915">
            <v>1192.18</v>
          </cell>
          <cell r="J4915">
            <v>0</v>
          </cell>
          <cell r="K4915">
            <v>0</v>
          </cell>
          <cell r="M4915">
            <v>0</v>
          </cell>
          <cell r="P4915">
            <v>1192</v>
          </cell>
          <cell r="V4915" t="str">
            <v>Available</v>
          </cell>
        </row>
        <row r="4916">
          <cell r="E4916">
            <v>10530097</v>
          </cell>
          <cell r="H4916">
            <v>62.4</v>
          </cell>
          <cell r="I4916">
            <v>2474.86</v>
          </cell>
          <cell r="J4916">
            <v>0</v>
          </cell>
          <cell r="K4916">
            <v>0</v>
          </cell>
          <cell r="M4916">
            <v>0</v>
          </cell>
          <cell r="P4916">
            <v>2475</v>
          </cell>
          <cell r="V4916" t="str">
            <v>Available</v>
          </cell>
        </row>
        <row r="4917">
          <cell r="E4917">
            <v>10530097</v>
          </cell>
          <cell r="H4917">
            <v>26.8</v>
          </cell>
          <cell r="I4917">
            <v>1542.78</v>
          </cell>
          <cell r="J4917">
            <v>0</v>
          </cell>
          <cell r="K4917">
            <v>0</v>
          </cell>
          <cell r="M4917">
            <v>0</v>
          </cell>
          <cell r="P4917">
            <v>1543</v>
          </cell>
          <cell r="V4917" t="str">
            <v>Available</v>
          </cell>
        </row>
        <row r="4918">
          <cell r="E4918">
            <v>10530097</v>
          </cell>
          <cell r="H4918">
            <v>50.899999999999991</v>
          </cell>
          <cell r="I4918">
            <v>1944.23</v>
          </cell>
          <cell r="J4918">
            <v>0</v>
          </cell>
          <cell r="K4918">
            <v>0</v>
          </cell>
          <cell r="M4918">
            <v>0</v>
          </cell>
          <cell r="P4918">
            <v>1944</v>
          </cell>
          <cell r="V4918" t="str">
            <v>Available</v>
          </cell>
        </row>
        <row r="4919">
          <cell r="E4919">
            <v>10530097</v>
          </cell>
          <cell r="H4919">
            <v>9.1</v>
          </cell>
          <cell r="I4919">
            <v>439.05999999999995</v>
          </cell>
          <cell r="J4919">
            <v>0</v>
          </cell>
          <cell r="K4919">
            <v>0</v>
          </cell>
          <cell r="M4919">
            <v>0</v>
          </cell>
          <cell r="P4919">
            <v>439</v>
          </cell>
          <cell r="V4919" t="str">
            <v>Available</v>
          </cell>
        </row>
        <row r="4920">
          <cell r="E4920">
            <v>10530097</v>
          </cell>
          <cell r="H4920">
            <v>55.999999999999993</v>
          </cell>
          <cell r="I4920">
            <v>2219.25</v>
          </cell>
          <cell r="J4920">
            <v>0</v>
          </cell>
          <cell r="K4920">
            <v>0</v>
          </cell>
          <cell r="M4920">
            <v>0</v>
          </cell>
          <cell r="P4920">
            <v>2219</v>
          </cell>
          <cell r="V4920" t="str">
            <v>Available</v>
          </cell>
        </row>
        <row r="4921">
          <cell r="E4921">
            <v>10530097</v>
          </cell>
          <cell r="H4921">
            <v>22.4</v>
          </cell>
          <cell r="I4921">
            <v>833.16</v>
          </cell>
          <cell r="J4921">
            <v>0</v>
          </cell>
          <cell r="K4921">
            <v>0</v>
          </cell>
          <cell r="M4921">
            <v>0</v>
          </cell>
          <cell r="P4921">
            <v>833</v>
          </cell>
          <cell r="V4921" t="str">
            <v>Available</v>
          </cell>
        </row>
        <row r="4922">
          <cell r="E4922">
            <v>10530097</v>
          </cell>
          <cell r="H4922">
            <v>98.9</v>
          </cell>
          <cell r="I4922">
            <v>3998.92</v>
          </cell>
          <cell r="J4922">
            <v>0</v>
          </cell>
          <cell r="K4922">
            <v>0</v>
          </cell>
          <cell r="M4922">
            <v>0</v>
          </cell>
          <cell r="P4922">
            <v>3999</v>
          </cell>
          <cell r="V4922" t="str">
            <v>Available</v>
          </cell>
        </row>
        <row r="4923">
          <cell r="E4923">
            <v>10530097</v>
          </cell>
          <cell r="H4923">
            <v>33.799999999999997</v>
          </cell>
          <cell r="I4923">
            <v>1198.3500000000001</v>
          </cell>
          <cell r="J4923">
            <v>0</v>
          </cell>
          <cell r="K4923">
            <v>0</v>
          </cell>
          <cell r="M4923">
            <v>0</v>
          </cell>
          <cell r="P4923">
            <v>1198</v>
          </cell>
          <cell r="V4923" t="str">
            <v>Available</v>
          </cell>
        </row>
        <row r="4924">
          <cell r="E4924">
            <v>10530097</v>
          </cell>
          <cell r="H4924">
            <v>31.9</v>
          </cell>
          <cell r="I4924">
            <v>1155.27</v>
          </cell>
          <cell r="J4924">
            <v>0</v>
          </cell>
          <cell r="K4924">
            <v>0</v>
          </cell>
          <cell r="M4924">
            <v>0</v>
          </cell>
          <cell r="P4924">
            <v>1155</v>
          </cell>
          <cell r="V4924" t="str">
            <v>Available</v>
          </cell>
        </row>
        <row r="4925">
          <cell r="E4925">
            <v>10530097</v>
          </cell>
          <cell r="H4925">
            <v>64.900000000000006</v>
          </cell>
          <cell r="I4925">
            <v>2601.0300000000007</v>
          </cell>
          <cell r="J4925">
            <v>0</v>
          </cell>
          <cell r="K4925">
            <v>0</v>
          </cell>
          <cell r="M4925">
            <v>0</v>
          </cell>
          <cell r="P4925">
            <v>2601</v>
          </cell>
          <cell r="V4925" t="str">
            <v>Available</v>
          </cell>
        </row>
        <row r="4926">
          <cell r="E4926">
            <v>10530097</v>
          </cell>
          <cell r="H4926">
            <v>15.100000000000001</v>
          </cell>
          <cell r="I4926">
            <v>563.35</v>
          </cell>
          <cell r="J4926">
            <v>0</v>
          </cell>
          <cell r="K4926">
            <v>0</v>
          </cell>
          <cell r="M4926">
            <v>0</v>
          </cell>
          <cell r="P4926">
            <v>563</v>
          </cell>
          <cell r="V4926" t="str">
            <v>Available</v>
          </cell>
        </row>
        <row r="4927">
          <cell r="E4927">
            <v>10530097</v>
          </cell>
          <cell r="H4927">
            <v>36.700000000000003</v>
          </cell>
          <cell r="I4927">
            <v>1863.9099999999999</v>
          </cell>
          <cell r="J4927">
            <v>0</v>
          </cell>
          <cell r="K4927">
            <v>0</v>
          </cell>
          <cell r="M4927">
            <v>0</v>
          </cell>
          <cell r="P4927">
            <v>1864</v>
          </cell>
          <cell r="V4927" t="str">
            <v>Available</v>
          </cell>
        </row>
        <row r="4928">
          <cell r="E4928">
            <v>10530100</v>
          </cell>
          <cell r="H4928">
            <v>0.99999999999999989</v>
          </cell>
          <cell r="I4928">
            <v>38.49</v>
          </cell>
          <cell r="J4928">
            <v>0</v>
          </cell>
          <cell r="K4928">
            <v>38.49</v>
          </cell>
          <cell r="M4928">
            <v>0</v>
          </cell>
          <cell r="P4928">
            <v>0</v>
          </cell>
          <cell r="V4928" t="str">
            <v>Not Available</v>
          </cell>
        </row>
        <row r="4929">
          <cell r="E4929">
            <v>10530100</v>
          </cell>
          <cell r="H4929">
            <v>33.300000000000004</v>
          </cell>
          <cell r="I4929">
            <v>1260.4799999999998</v>
          </cell>
          <cell r="J4929">
            <v>0</v>
          </cell>
          <cell r="K4929">
            <v>0</v>
          </cell>
          <cell r="M4929">
            <v>0</v>
          </cell>
          <cell r="P4929">
            <v>1260</v>
          </cell>
          <cell r="V4929" t="str">
            <v>Available</v>
          </cell>
        </row>
        <row r="4930">
          <cell r="E4930">
            <v>10530100</v>
          </cell>
          <cell r="H4930">
            <v>32.300000000000004</v>
          </cell>
          <cell r="I4930">
            <v>1973.1799999999998</v>
          </cell>
          <cell r="J4930">
            <v>0</v>
          </cell>
          <cell r="K4930">
            <v>0</v>
          </cell>
          <cell r="M4930">
            <v>0</v>
          </cell>
          <cell r="P4930">
            <v>1973</v>
          </cell>
          <cell r="V4930" t="str">
            <v>Available</v>
          </cell>
        </row>
        <row r="4931">
          <cell r="E4931">
            <v>10530100</v>
          </cell>
          <cell r="H4931">
            <v>33</v>
          </cell>
          <cell r="I4931">
            <v>1235.67</v>
          </cell>
          <cell r="J4931">
            <v>0</v>
          </cell>
          <cell r="K4931">
            <v>0</v>
          </cell>
          <cell r="M4931">
            <v>0</v>
          </cell>
          <cell r="P4931">
            <v>1236</v>
          </cell>
          <cell r="V4931" t="str">
            <v>Available</v>
          </cell>
        </row>
        <row r="4932">
          <cell r="E4932">
            <v>10530100</v>
          </cell>
          <cell r="H4932">
            <v>36.799999999999997</v>
          </cell>
          <cell r="I4932">
            <v>1360.26</v>
          </cell>
          <cell r="J4932">
            <v>0</v>
          </cell>
          <cell r="K4932">
            <v>0</v>
          </cell>
          <cell r="M4932">
            <v>0</v>
          </cell>
          <cell r="P4932">
            <v>1360</v>
          </cell>
          <cell r="V4932" t="str">
            <v>Available</v>
          </cell>
        </row>
        <row r="4933">
          <cell r="E4933">
            <v>10530101</v>
          </cell>
          <cell r="H4933">
            <v>57.3</v>
          </cell>
          <cell r="I4933">
            <v>2796.9600000000005</v>
          </cell>
          <cell r="J4933">
            <v>0</v>
          </cell>
          <cell r="K4933">
            <v>0</v>
          </cell>
          <cell r="M4933">
            <v>0</v>
          </cell>
          <cell r="P4933">
            <v>2797</v>
          </cell>
          <cell r="V4933" t="str">
            <v>Available</v>
          </cell>
        </row>
        <row r="4934">
          <cell r="E4934">
            <v>10530101</v>
          </cell>
          <cell r="H4934">
            <v>24.799999999999997</v>
          </cell>
          <cell r="I4934">
            <v>926.61</v>
          </cell>
          <cell r="J4934">
            <v>0</v>
          </cell>
          <cell r="K4934">
            <v>0</v>
          </cell>
          <cell r="M4934">
            <v>0</v>
          </cell>
          <cell r="P4934">
            <v>927</v>
          </cell>
          <cell r="V4934" t="str">
            <v>Available</v>
          </cell>
        </row>
        <row r="4935">
          <cell r="E4935">
            <v>10530101</v>
          </cell>
          <cell r="H4935">
            <v>37</v>
          </cell>
          <cell r="I4935">
            <v>1475.4399999999998</v>
          </cell>
          <cell r="J4935">
            <v>0</v>
          </cell>
          <cell r="K4935">
            <v>0</v>
          </cell>
          <cell r="M4935">
            <v>0</v>
          </cell>
          <cell r="P4935">
            <v>1475</v>
          </cell>
          <cell r="V4935" t="str">
            <v>Available</v>
          </cell>
        </row>
        <row r="4936">
          <cell r="E4936">
            <v>10530101</v>
          </cell>
          <cell r="H4936">
            <v>131.6</v>
          </cell>
          <cell r="I4936">
            <v>4079.8500000000004</v>
          </cell>
          <cell r="J4936">
            <v>0</v>
          </cell>
          <cell r="K4936">
            <v>0</v>
          </cell>
          <cell r="M4936">
            <v>0</v>
          </cell>
          <cell r="P4936">
            <v>4080</v>
          </cell>
          <cell r="V4936" t="str">
            <v>Available</v>
          </cell>
        </row>
        <row r="4937">
          <cell r="E4937">
            <v>10530101</v>
          </cell>
          <cell r="H4937">
            <v>2</v>
          </cell>
          <cell r="I4937">
            <v>80.62</v>
          </cell>
          <cell r="J4937">
            <v>0</v>
          </cell>
          <cell r="K4937">
            <v>0</v>
          </cell>
          <cell r="M4937">
            <v>0</v>
          </cell>
          <cell r="P4937">
            <v>81</v>
          </cell>
          <cell r="V4937" t="str">
            <v>Available</v>
          </cell>
        </row>
        <row r="4938">
          <cell r="E4938">
            <v>10530101</v>
          </cell>
          <cell r="H4938">
            <v>5.0999999999999996</v>
          </cell>
          <cell r="I4938">
            <v>196.7</v>
          </cell>
          <cell r="J4938">
            <v>0</v>
          </cell>
          <cell r="K4938">
            <v>0</v>
          </cell>
          <cell r="M4938">
            <v>0</v>
          </cell>
          <cell r="P4938">
            <v>197</v>
          </cell>
          <cell r="V4938" t="str">
            <v>Available</v>
          </cell>
        </row>
        <row r="4939">
          <cell r="E4939">
            <v>10530101</v>
          </cell>
          <cell r="H4939">
            <v>11.3</v>
          </cell>
          <cell r="I4939">
            <v>390.9</v>
          </cell>
          <cell r="J4939">
            <v>0</v>
          </cell>
          <cell r="K4939">
            <v>0</v>
          </cell>
          <cell r="M4939">
            <v>0</v>
          </cell>
          <cell r="P4939">
            <v>391</v>
          </cell>
          <cell r="V4939" t="str">
            <v>Available</v>
          </cell>
        </row>
        <row r="4940">
          <cell r="E4940">
            <v>10530101</v>
          </cell>
          <cell r="H4940">
            <v>72.8</v>
          </cell>
          <cell r="I4940">
            <v>3405.76</v>
          </cell>
          <cell r="J4940">
            <v>0</v>
          </cell>
          <cell r="K4940">
            <v>0</v>
          </cell>
          <cell r="M4940">
            <v>0</v>
          </cell>
          <cell r="P4940">
            <v>3406</v>
          </cell>
          <cell r="V4940" t="str">
            <v>Available</v>
          </cell>
        </row>
        <row r="4941">
          <cell r="E4941">
            <v>10530101</v>
          </cell>
          <cell r="H4941">
            <v>11.499999999999998</v>
          </cell>
          <cell r="I4941">
            <v>568.12</v>
          </cell>
          <cell r="J4941">
            <v>0</v>
          </cell>
          <cell r="K4941">
            <v>0</v>
          </cell>
          <cell r="M4941">
            <v>0</v>
          </cell>
          <cell r="P4941">
            <v>568</v>
          </cell>
          <cell r="V4941" t="str">
            <v>Available</v>
          </cell>
        </row>
        <row r="4942">
          <cell r="E4942">
            <v>10530101</v>
          </cell>
          <cell r="H4942">
            <v>38.5</v>
          </cell>
          <cell r="I4942">
            <v>1250.73</v>
          </cell>
          <cell r="J4942">
            <v>0</v>
          </cell>
          <cell r="K4942">
            <v>0</v>
          </cell>
          <cell r="M4942">
            <v>0</v>
          </cell>
          <cell r="P4942">
            <v>1251</v>
          </cell>
          <cell r="V4942" t="str">
            <v>Available</v>
          </cell>
        </row>
        <row r="4943">
          <cell r="E4943">
            <v>10530101</v>
          </cell>
          <cell r="H4943">
            <v>7.5000000000000018</v>
          </cell>
          <cell r="I4943">
            <v>433.08</v>
          </cell>
          <cell r="J4943">
            <v>0</v>
          </cell>
          <cell r="K4943">
            <v>0</v>
          </cell>
          <cell r="M4943">
            <v>0</v>
          </cell>
          <cell r="P4943">
            <v>433</v>
          </cell>
          <cell r="V4943" t="str">
            <v>Available</v>
          </cell>
        </row>
        <row r="4944">
          <cell r="E4944">
            <v>10530101</v>
          </cell>
          <cell r="H4944">
            <v>12.800000000000002</v>
          </cell>
          <cell r="I4944">
            <v>1090.3899999999999</v>
          </cell>
          <cell r="J4944">
            <v>0</v>
          </cell>
          <cell r="K4944">
            <v>0</v>
          </cell>
          <cell r="M4944">
            <v>0</v>
          </cell>
          <cell r="P4944">
            <v>1090</v>
          </cell>
          <cell r="V4944" t="str">
            <v>Available</v>
          </cell>
        </row>
        <row r="4945">
          <cell r="E4945">
            <v>10530101</v>
          </cell>
          <cell r="H4945">
            <v>16.799999999999997</v>
          </cell>
          <cell r="I4945">
            <v>977.42000000000007</v>
          </cell>
          <cell r="J4945">
            <v>0</v>
          </cell>
          <cell r="K4945">
            <v>0</v>
          </cell>
          <cell r="M4945">
            <v>0</v>
          </cell>
          <cell r="P4945">
            <v>977</v>
          </cell>
          <cell r="V4945" t="str">
            <v>Available</v>
          </cell>
        </row>
        <row r="4946">
          <cell r="E4946">
            <v>10530101</v>
          </cell>
          <cell r="H4946">
            <v>19.3</v>
          </cell>
          <cell r="I4946">
            <v>707.24000000000012</v>
          </cell>
          <cell r="J4946">
            <v>0</v>
          </cell>
          <cell r="K4946">
            <v>0</v>
          </cell>
          <cell r="M4946">
            <v>0</v>
          </cell>
          <cell r="P4946">
            <v>707</v>
          </cell>
          <cell r="V4946" t="str">
            <v>Available</v>
          </cell>
        </row>
        <row r="4947">
          <cell r="E4947">
            <v>10530102</v>
          </cell>
          <cell r="H4947">
            <v>1.0999999999999999</v>
          </cell>
          <cell r="I4947">
            <v>46.319999999999993</v>
          </cell>
          <cell r="J4947">
            <v>0</v>
          </cell>
          <cell r="K4947">
            <v>46.319999999999993</v>
          </cell>
          <cell r="M4947">
            <v>0</v>
          </cell>
          <cell r="P4947">
            <v>0</v>
          </cell>
          <cell r="V4947" t="str">
            <v>Not Available</v>
          </cell>
        </row>
        <row r="4948">
          <cell r="E4948">
            <v>10530102</v>
          </cell>
          <cell r="H4948">
            <v>8.1</v>
          </cell>
          <cell r="I4948">
            <v>333.03999999999996</v>
          </cell>
          <cell r="J4948">
            <v>0</v>
          </cell>
          <cell r="K4948">
            <v>0</v>
          </cell>
          <cell r="M4948">
            <v>0</v>
          </cell>
          <cell r="P4948">
            <v>0</v>
          </cell>
          <cell r="V4948" t="str">
            <v>Available</v>
          </cell>
        </row>
        <row r="4949">
          <cell r="E4949">
            <v>10530102</v>
          </cell>
          <cell r="H4949">
            <v>13.799999999999999</v>
          </cell>
          <cell r="I4949">
            <v>667.18999999999994</v>
          </cell>
          <cell r="J4949">
            <v>0</v>
          </cell>
          <cell r="K4949">
            <v>0</v>
          </cell>
          <cell r="M4949">
            <v>0</v>
          </cell>
          <cell r="P4949">
            <v>500</v>
          </cell>
          <cell r="V4949" t="str">
            <v>Available</v>
          </cell>
        </row>
        <row r="4950">
          <cell r="E4950">
            <v>10530102</v>
          </cell>
          <cell r="H4950">
            <v>29.400000000000002</v>
          </cell>
          <cell r="I4950">
            <v>1209.7799999999997</v>
          </cell>
          <cell r="J4950">
            <v>0</v>
          </cell>
          <cell r="K4950">
            <v>0</v>
          </cell>
          <cell r="M4950">
            <v>0</v>
          </cell>
          <cell r="P4950">
            <v>1210</v>
          </cell>
          <cell r="V4950" t="str">
            <v>Available</v>
          </cell>
        </row>
        <row r="4951">
          <cell r="E4951">
            <v>10530102</v>
          </cell>
          <cell r="H4951">
            <v>24.900000000000002</v>
          </cell>
          <cell r="I4951">
            <v>912.06</v>
          </cell>
          <cell r="J4951">
            <v>0</v>
          </cell>
          <cell r="K4951">
            <v>0</v>
          </cell>
          <cell r="M4951">
            <v>0</v>
          </cell>
          <cell r="P4951">
            <v>912</v>
          </cell>
          <cell r="V4951" t="str">
            <v>Available</v>
          </cell>
        </row>
        <row r="4952">
          <cell r="E4952">
            <v>10530103</v>
          </cell>
          <cell r="H4952">
            <v>34.200000000000003</v>
          </cell>
          <cell r="I4952">
            <v>1512.3700000000001</v>
          </cell>
          <cell r="J4952">
            <v>0</v>
          </cell>
          <cell r="K4952">
            <v>1512.3700000000001</v>
          </cell>
          <cell r="M4952">
            <v>0</v>
          </cell>
          <cell r="P4952">
            <v>0</v>
          </cell>
          <cell r="V4952" t="str">
            <v>Not Available</v>
          </cell>
        </row>
        <row r="4953">
          <cell r="E4953">
            <v>10530103</v>
          </cell>
          <cell r="H4953">
            <v>577.49999999999989</v>
          </cell>
          <cell r="I4953">
            <v>30012.940000000002</v>
          </cell>
          <cell r="J4953">
            <v>0</v>
          </cell>
          <cell r="K4953">
            <v>0</v>
          </cell>
          <cell r="M4953">
            <v>6200</v>
          </cell>
          <cell r="P4953">
            <v>23813</v>
          </cell>
          <cell r="V4953" t="str">
            <v>Available</v>
          </cell>
        </row>
        <row r="4954">
          <cell r="E4954">
            <v>10530103</v>
          </cell>
          <cell r="H4954">
            <v>449.2</v>
          </cell>
          <cell r="I4954">
            <v>19347.060000000001</v>
          </cell>
          <cell r="J4954">
            <v>0</v>
          </cell>
          <cell r="K4954">
            <v>0</v>
          </cell>
          <cell r="M4954">
            <v>0</v>
          </cell>
          <cell r="P4954">
            <v>19347</v>
          </cell>
          <cell r="V4954" t="str">
            <v>Available</v>
          </cell>
        </row>
        <row r="4955">
          <cell r="E4955">
            <v>10530103</v>
          </cell>
          <cell r="H4955">
            <v>435.40000000000003</v>
          </cell>
          <cell r="I4955">
            <v>20005.249999999996</v>
          </cell>
          <cell r="J4955">
            <v>0</v>
          </cell>
          <cell r="K4955">
            <v>0</v>
          </cell>
          <cell r="M4955">
            <v>4650</v>
          </cell>
          <cell r="P4955">
            <v>15355</v>
          </cell>
          <cell r="V4955" t="str">
            <v>Available</v>
          </cell>
        </row>
        <row r="4956">
          <cell r="E4956">
            <v>10530103</v>
          </cell>
          <cell r="H4956">
            <v>10.600000000000001</v>
          </cell>
          <cell r="I4956">
            <v>443.48999999999995</v>
          </cell>
          <cell r="J4956">
            <v>0</v>
          </cell>
          <cell r="K4956">
            <v>0</v>
          </cell>
          <cell r="M4956">
            <v>0</v>
          </cell>
          <cell r="P4956">
            <v>443</v>
          </cell>
          <cell r="V4956" t="str">
            <v>Available</v>
          </cell>
        </row>
        <row r="4957">
          <cell r="E4957">
            <v>10530103</v>
          </cell>
          <cell r="H4957">
            <v>84.899999999999991</v>
          </cell>
          <cell r="I4957">
            <v>3187.13</v>
          </cell>
          <cell r="J4957">
            <v>0</v>
          </cell>
          <cell r="K4957">
            <v>0</v>
          </cell>
          <cell r="M4957">
            <v>1550</v>
          </cell>
          <cell r="P4957">
            <v>1637</v>
          </cell>
          <cell r="V4957" t="str">
            <v>Available</v>
          </cell>
        </row>
        <row r="4958">
          <cell r="E4958">
            <v>10530103</v>
          </cell>
          <cell r="H4958">
            <v>85.7</v>
          </cell>
          <cell r="I4958">
            <v>3365.8900000000003</v>
          </cell>
          <cell r="J4958">
            <v>0</v>
          </cell>
          <cell r="K4958">
            <v>0</v>
          </cell>
          <cell r="M4958">
            <v>0</v>
          </cell>
          <cell r="P4958">
            <v>3366</v>
          </cell>
          <cell r="V4958" t="str">
            <v>Available</v>
          </cell>
        </row>
        <row r="4959">
          <cell r="E4959">
            <v>10530103</v>
          </cell>
          <cell r="H4959">
            <v>61.099999999999994</v>
          </cell>
          <cell r="I4959">
            <v>2639.6099999999997</v>
          </cell>
          <cell r="J4959">
            <v>0</v>
          </cell>
          <cell r="K4959">
            <v>0</v>
          </cell>
          <cell r="M4959">
            <v>0</v>
          </cell>
          <cell r="P4959">
            <v>2640</v>
          </cell>
          <cell r="V4959" t="str">
            <v>Available</v>
          </cell>
        </row>
        <row r="4960">
          <cell r="E4960">
            <v>10530103</v>
          </cell>
          <cell r="H4960">
            <v>13.500000000000002</v>
          </cell>
          <cell r="I4960">
            <v>576.94000000000005</v>
          </cell>
          <cell r="J4960">
            <v>0</v>
          </cell>
          <cell r="K4960">
            <v>0</v>
          </cell>
          <cell r="M4960">
            <v>577</v>
          </cell>
          <cell r="P4960">
            <v>0</v>
          </cell>
          <cell r="V4960" t="str">
            <v>Available</v>
          </cell>
        </row>
        <row r="4961">
          <cell r="E4961">
            <v>10530103</v>
          </cell>
          <cell r="H4961">
            <v>17.100000000000001</v>
          </cell>
          <cell r="I4961">
            <v>717.28</v>
          </cell>
          <cell r="J4961">
            <v>0</v>
          </cell>
          <cell r="K4961">
            <v>0</v>
          </cell>
          <cell r="M4961">
            <v>0</v>
          </cell>
          <cell r="P4961">
            <v>717</v>
          </cell>
          <cell r="V4961" t="str">
            <v>Available</v>
          </cell>
        </row>
        <row r="4962">
          <cell r="E4962">
            <v>10530103</v>
          </cell>
          <cell r="H4962">
            <v>6.4</v>
          </cell>
          <cell r="I4962">
            <v>399.71999999999997</v>
          </cell>
          <cell r="J4962">
            <v>0</v>
          </cell>
          <cell r="K4962">
            <v>0</v>
          </cell>
          <cell r="M4962">
            <v>0</v>
          </cell>
          <cell r="P4962">
            <v>400</v>
          </cell>
          <cell r="V4962" t="str">
            <v>Available</v>
          </cell>
        </row>
        <row r="4963">
          <cell r="E4963">
            <v>10530103</v>
          </cell>
          <cell r="H4963">
            <v>9.1000000000000014</v>
          </cell>
          <cell r="I4963">
            <v>341.48</v>
          </cell>
          <cell r="J4963">
            <v>0</v>
          </cell>
          <cell r="K4963">
            <v>0</v>
          </cell>
          <cell r="M4963">
            <v>0</v>
          </cell>
          <cell r="P4963">
            <v>341</v>
          </cell>
          <cell r="V4963" t="str">
            <v>Available</v>
          </cell>
        </row>
        <row r="4964">
          <cell r="E4964">
            <v>10530103</v>
          </cell>
          <cell r="H4964">
            <v>243.3</v>
          </cell>
          <cell r="I4964">
            <v>8943.07</v>
          </cell>
          <cell r="J4964">
            <v>0</v>
          </cell>
          <cell r="K4964">
            <v>0</v>
          </cell>
          <cell r="M4964">
            <v>0</v>
          </cell>
          <cell r="P4964">
            <v>8943</v>
          </cell>
          <cell r="V4964" t="str">
            <v>Available</v>
          </cell>
        </row>
        <row r="4965">
          <cell r="E4965">
            <v>10530103</v>
          </cell>
          <cell r="H4965">
            <v>45.199999999999996</v>
          </cell>
          <cell r="I4965">
            <v>1644.0600000000002</v>
          </cell>
          <cell r="J4965">
            <v>0</v>
          </cell>
          <cell r="K4965">
            <v>0</v>
          </cell>
          <cell r="M4965">
            <v>0</v>
          </cell>
          <cell r="P4965">
            <v>1644</v>
          </cell>
          <cell r="V4965" t="str">
            <v>Available</v>
          </cell>
        </row>
        <row r="4966">
          <cell r="E4966">
            <v>10530103</v>
          </cell>
          <cell r="H4966">
            <v>24.299999999999997</v>
          </cell>
          <cell r="I4966">
            <v>1192.3200000000002</v>
          </cell>
          <cell r="J4966">
            <v>0</v>
          </cell>
          <cell r="K4966">
            <v>0</v>
          </cell>
          <cell r="M4966">
            <v>0</v>
          </cell>
          <cell r="P4966">
            <v>1192</v>
          </cell>
          <cell r="V4966" t="str">
            <v>Available</v>
          </cell>
        </row>
        <row r="4967">
          <cell r="E4967">
            <v>10530103</v>
          </cell>
          <cell r="H4967">
            <v>154.29999999999998</v>
          </cell>
          <cell r="I4967">
            <v>5749.85</v>
          </cell>
          <cell r="J4967">
            <v>0</v>
          </cell>
          <cell r="K4967">
            <v>0</v>
          </cell>
          <cell r="M4967">
            <v>3100</v>
          </cell>
          <cell r="P4967">
            <v>2650</v>
          </cell>
          <cell r="V4967" t="str">
            <v>Available</v>
          </cell>
        </row>
        <row r="4968">
          <cell r="E4968">
            <v>10530103</v>
          </cell>
          <cell r="H4968">
            <v>52.400000000000013</v>
          </cell>
          <cell r="I4968">
            <v>2005.8200000000002</v>
          </cell>
          <cell r="J4968">
            <v>0</v>
          </cell>
          <cell r="K4968">
            <v>0</v>
          </cell>
          <cell r="M4968">
            <v>0</v>
          </cell>
          <cell r="P4968">
            <v>2006</v>
          </cell>
          <cell r="V4968" t="str">
            <v>Available</v>
          </cell>
        </row>
        <row r="4969">
          <cell r="E4969">
            <v>10530103</v>
          </cell>
          <cell r="H4969">
            <v>11.600000000000001</v>
          </cell>
          <cell r="I4969">
            <v>507.09999999999997</v>
          </cell>
          <cell r="J4969">
            <v>0</v>
          </cell>
          <cell r="K4969">
            <v>0</v>
          </cell>
          <cell r="M4969">
            <v>0</v>
          </cell>
          <cell r="P4969">
            <v>507</v>
          </cell>
          <cell r="V4969" t="str">
            <v>Available</v>
          </cell>
        </row>
        <row r="4970">
          <cell r="E4970">
            <v>10530103</v>
          </cell>
          <cell r="H4970">
            <v>23</v>
          </cell>
          <cell r="I4970">
            <v>882.28</v>
          </cell>
          <cell r="J4970">
            <v>0</v>
          </cell>
          <cell r="K4970">
            <v>0</v>
          </cell>
          <cell r="M4970">
            <v>0</v>
          </cell>
          <cell r="P4970">
            <v>882</v>
          </cell>
          <cell r="V4970" t="str">
            <v>Available</v>
          </cell>
        </row>
        <row r="4971">
          <cell r="E4971">
            <v>10530103</v>
          </cell>
          <cell r="H4971">
            <v>31.4</v>
          </cell>
          <cell r="I4971">
            <v>1346.3899999999999</v>
          </cell>
          <cell r="J4971">
            <v>0</v>
          </cell>
          <cell r="K4971">
            <v>0</v>
          </cell>
          <cell r="M4971">
            <v>0</v>
          </cell>
          <cell r="P4971">
            <v>1346</v>
          </cell>
          <cell r="V4971" t="str">
            <v>Available</v>
          </cell>
        </row>
        <row r="4972">
          <cell r="E4972">
            <v>10530103</v>
          </cell>
          <cell r="H4972">
            <v>14</v>
          </cell>
          <cell r="I4972">
            <v>585.4</v>
          </cell>
          <cell r="J4972">
            <v>0</v>
          </cell>
          <cell r="K4972">
            <v>0</v>
          </cell>
          <cell r="M4972">
            <v>0</v>
          </cell>
          <cell r="P4972">
            <v>585</v>
          </cell>
          <cell r="V4972" t="str">
            <v>Available</v>
          </cell>
        </row>
        <row r="4973">
          <cell r="E4973">
            <v>10530103</v>
          </cell>
          <cell r="H4973">
            <v>37.200000000000003</v>
          </cell>
          <cell r="I4973">
            <v>1569.9699999999998</v>
          </cell>
          <cell r="J4973">
            <v>0</v>
          </cell>
          <cell r="K4973">
            <v>0</v>
          </cell>
          <cell r="M4973">
            <v>0</v>
          </cell>
          <cell r="P4973">
            <v>1570</v>
          </cell>
          <cell r="V4973" t="str">
            <v>Available</v>
          </cell>
        </row>
        <row r="4974">
          <cell r="E4974">
            <v>10530103</v>
          </cell>
          <cell r="H4974">
            <v>21.6</v>
          </cell>
          <cell r="I4974">
            <v>990.7</v>
          </cell>
          <cell r="J4974">
            <v>0</v>
          </cell>
          <cell r="K4974">
            <v>0</v>
          </cell>
          <cell r="M4974">
            <v>0</v>
          </cell>
          <cell r="P4974">
            <v>991</v>
          </cell>
          <cell r="V4974" t="str">
            <v>Available</v>
          </cell>
        </row>
        <row r="4975">
          <cell r="E4975">
            <v>10530103</v>
          </cell>
          <cell r="H4975">
            <v>31.599999999999998</v>
          </cell>
          <cell r="I4975">
            <v>1186.77</v>
          </cell>
          <cell r="J4975">
            <v>0</v>
          </cell>
          <cell r="K4975">
            <v>0</v>
          </cell>
          <cell r="M4975">
            <v>0</v>
          </cell>
          <cell r="P4975">
            <v>1187</v>
          </cell>
          <cell r="V4975" t="str">
            <v>Available</v>
          </cell>
        </row>
        <row r="4976">
          <cell r="E4976">
            <v>10530103</v>
          </cell>
          <cell r="H4976">
            <v>88.2</v>
          </cell>
          <cell r="I4976">
            <v>3237</v>
          </cell>
          <cell r="J4976">
            <v>0</v>
          </cell>
          <cell r="K4976">
            <v>0</v>
          </cell>
          <cell r="M4976">
            <v>0</v>
          </cell>
          <cell r="P4976">
            <v>3237</v>
          </cell>
          <cell r="V4976" t="str">
            <v>Available</v>
          </cell>
        </row>
        <row r="4977">
          <cell r="E4977">
            <v>10530103</v>
          </cell>
          <cell r="H4977">
            <v>6.2</v>
          </cell>
          <cell r="I4977">
            <v>259.85000000000002</v>
          </cell>
          <cell r="J4977">
            <v>0</v>
          </cell>
          <cell r="K4977">
            <v>0</v>
          </cell>
          <cell r="M4977">
            <v>0</v>
          </cell>
          <cell r="P4977">
            <v>260</v>
          </cell>
          <cell r="V4977" t="str">
            <v>Available</v>
          </cell>
        </row>
        <row r="4978">
          <cell r="E4978">
            <v>10530103</v>
          </cell>
          <cell r="H4978">
            <v>13.4</v>
          </cell>
          <cell r="I4978">
            <v>520.46</v>
          </cell>
          <cell r="J4978">
            <v>0</v>
          </cell>
          <cell r="K4978">
            <v>0</v>
          </cell>
          <cell r="M4978">
            <v>0</v>
          </cell>
          <cell r="P4978">
            <v>520</v>
          </cell>
          <cell r="V4978" t="str">
            <v>Available</v>
          </cell>
        </row>
        <row r="4979">
          <cell r="E4979">
            <v>10530103</v>
          </cell>
          <cell r="H4979">
            <v>23.1</v>
          </cell>
          <cell r="I4979">
            <v>963.55000000000007</v>
          </cell>
          <cell r="J4979">
            <v>0</v>
          </cell>
          <cell r="K4979">
            <v>0</v>
          </cell>
          <cell r="M4979">
            <v>524</v>
          </cell>
          <cell r="P4979">
            <v>440</v>
          </cell>
          <cell r="V4979" t="str">
            <v>Available</v>
          </cell>
        </row>
        <row r="4980">
          <cell r="E4980">
            <v>10530103</v>
          </cell>
          <cell r="H4980">
            <v>53.500000000000007</v>
          </cell>
          <cell r="I4980">
            <v>2097.4100000000003</v>
          </cell>
          <cell r="J4980">
            <v>0</v>
          </cell>
          <cell r="K4980">
            <v>0</v>
          </cell>
          <cell r="M4980">
            <v>0</v>
          </cell>
          <cell r="P4980">
            <v>2097</v>
          </cell>
          <cell r="V4980" t="str">
            <v>Available</v>
          </cell>
        </row>
        <row r="4981">
          <cell r="E4981">
            <v>10530106</v>
          </cell>
          <cell r="H4981">
            <v>24.090000000000003</v>
          </cell>
          <cell r="I4981">
            <v>1466.9599999999998</v>
          </cell>
          <cell r="J4981">
            <v>0</v>
          </cell>
          <cell r="K4981">
            <v>1466.9599999999998</v>
          </cell>
          <cell r="M4981">
            <v>0</v>
          </cell>
          <cell r="P4981">
            <v>0</v>
          </cell>
          <cell r="V4981" t="str">
            <v>Not Available</v>
          </cell>
        </row>
        <row r="4982">
          <cell r="E4982">
            <v>10530106</v>
          </cell>
          <cell r="H4982">
            <v>154.36000000000001</v>
          </cell>
          <cell r="I4982">
            <v>7256.8499999999995</v>
          </cell>
          <cell r="J4982">
            <v>0</v>
          </cell>
          <cell r="K4982">
            <v>0</v>
          </cell>
          <cell r="M4982">
            <v>0</v>
          </cell>
          <cell r="P4982">
            <v>7257</v>
          </cell>
          <cell r="V4982" t="str">
            <v>Available</v>
          </cell>
        </row>
        <row r="4983">
          <cell r="E4983">
            <v>10530106</v>
          </cell>
          <cell r="H4983">
            <v>50.650000000000006</v>
          </cell>
          <cell r="I4983">
            <v>2489.9699999999998</v>
          </cell>
          <cell r="J4983">
            <v>0</v>
          </cell>
          <cell r="K4983">
            <v>0</v>
          </cell>
          <cell r="M4983">
            <v>0</v>
          </cell>
          <cell r="P4983">
            <v>2490</v>
          </cell>
          <cell r="V4983" t="str">
            <v>Available</v>
          </cell>
        </row>
        <row r="4984">
          <cell r="E4984">
            <v>10530106</v>
          </cell>
          <cell r="H4984">
            <v>147.4</v>
          </cell>
          <cell r="I4984">
            <v>5888.5999999999985</v>
          </cell>
          <cell r="J4984">
            <v>0</v>
          </cell>
          <cell r="K4984">
            <v>0</v>
          </cell>
          <cell r="M4984">
            <v>0</v>
          </cell>
          <cell r="P4984">
            <v>5889</v>
          </cell>
          <cell r="V4984" t="str">
            <v>Available</v>
          </cell>
        </row>
        <row r="4985">
          <cell r="E4985">
            <v>10530106</v>
          </cell>
          <cell r="H4985">
            <v>86.149999999999991</v>
          </cell>
          <cell r="I4985">
            <v>3568.7499999999995</v>
          </cell>
          <cell r="J4985">
            <v>0</v>
          </cell>
          <cell r="K4985">
            <v>0</v>
          </cell>
          <cell r="M4985">
            <v>0</v>
          </cell>
          <cell r="P4985">
            <v>3569</v>
          </cell>
          <cell r="V4985" t="str">
            <v>Available</v>
          </cell>
        </row>
        <row r="4986">
          <cell r="E4986">
            <v>10530106</v>
          </cell>
          <cell r="H4986">
            <v>72.689999999999984</v>
          </cell>
          <cell r="I4986">
            <v>3265.7599999999998</v>
          </cell>
          <cell r="J4986">
            <v>0</v>
          </cell>
          <cell r="K4986">
            <v>0</v>
          </cell>
          <cell r="M4986">
            <v>0</v>
          </cell>
          <cell r="P4986">
            <v>3266</v>
          </cell>
          <cell r="V4986" t="str">
            <v>Available</v>
          </cell>
        </row>
        <row r="4987">
          <cell r="E4987">
            <v>10530106</v>
          </cell>
          <cell r="H4987">
            <v>112.32</v>
          </cell>
          <cell r="I4987">
            <v>4968.79</v>
          </cell>
          <cell r="J4987">
            <v>0</v>
          </cell>
          <cell r="K4987">
            <v>0</v>
          </cell>
          <cell r="M4987">
            <v>0</v>
          </cell>
          <cell r="P4987">
            <v>4969</v>
          </cell>
          <cell r="V4987" t="str">
            <v>Available</v>
          </cell>
        </row>
        <row r="4988">
          <cell r="E4988">
            <v>10530106</v>
          </cell>
          <cell r="H4988">
            <v>59.190000000000005</v>
          </cell>
          <cell r="I4988">
            <v>2202.7600000000002</v>
          </cell>
          <cell r="J4988">
            <v>0</v>
          </cell>
          <cell r="K4988">
            <v>0</v>
          </cell>
          <cell r="M4988">
            <v>0</v>
          </cell>
          <cell r="P4988">
            <v>2203</v>
          </cell>
          <cell r="V4988" t="str">
            <v>Not Available</v>
          </cell>
        </row>
        <row r="4989">
          <cell r="E4989">
            <v>10530106</v>
          </cell>
          <cell r="H4989">
            <v>4.99</v>
          </cell>
          <cell r="I4989">
            <v>311.23</v>
          </cell>
          <cell r="J4989">
            <v>0</v>
          </cell>
          <cell r="K4989">
            <v>0</v>
          </cell>
          <cell r="M4989">
            <v>0</v>
          </cell>
          <cell r="P4989">
            <v>311</v>
          </cell>
          <cell r="V4989" t="str">
            <v>Not Available</v>
          </cell>
        </row>
        <row r="4990">
          <cell r="E4990">
            <v>10530106</v>
          </cell>
          <cell r="H4990">
            <v>9.7200000000000006</v>
          </cell>
          <cell r="I4990">
            <v>468.95</v>
          </cell>
          <cell r="J4990">
            <v>0</v>
          </cell>
          <cell r="K4990">
            <v>0</v>
          </cell>
          <cell r="M4990">
            <v>0</v>
          </cell>
          <cell r="P4990">
            <v>469</v>
          </cell>
          <cell r="V4990" t="str">
            <v>Not Available</v>
          </cell>
        </row>
        <row r="4991">
          <cell r="E4991">
            <v>10530106</v>
          </cell>
          <cell r="H4991">
            <v>31.14</v>
          </cell>
          <cell r="I4991">
            <v>1141.0099999999998</v>
          </cell>
          <cell r="J4991">
            <v>0</v>
          </cell>
          <cell r="K4991">
            <v>0</v>
          </cell>
          <cell r="M4991">
            <v>0</v>
          </cell>
          <cell r="P4991">
            <v>1141</v>
          </cell>
          <cell r="V4991" t="str">
            <v>Not Available</v>
          </cell>
        </row>
        <row r="4992">
          <cell r="E4992">
            <v>10530108</v>
          </cell>
          <cell r="H4992">
            <v>9.06</v>
          </cell>
          <cell r="I4992">
            <v>362.87</v>
          </cell>
          <cell r="J4992">
            <v>0</v>
          </cell>
          <cell r="K4992">
            <v>362.87</v>
          </cell>
          <cell r="M4992">
            <v>0</v>
          </cell>
          <cell r="P4992">
            <v>0</v>
          </cell>
          <cell r="V4992" t="str">
            <v>Not Available</v>
          </cell>
        </row>
        <row r="4993">
          <cell r="E4993">
            <v>10530108</v>
          </cell>
          <cell r="H4993">
            <v>305.42999999999989</v>
          </cell>
          <cell r="I4993">
            <v>12996.619999999997</v>
          </cell>
          <cell r="J4993">
            <v>0</v>
          </cell>
          <cell r="K4993">
            <v>0</v>
          </cell>
          <cell r="M4993">
            <v>0</v>
          </cell>
          <cell r="P4993">
            <v>12997</v>
          </cell>
          <cell r="V4993" t="str">
            <v>Available</v>
          </cell>
        </row>
        <row r="4994">
          <cell r="E4994">
            <v>10530108</v>
          </cell>
          <cell r="H4994">
            <v>30.759999999999998</v>
          </cell>
          <cell r="I4994">
            <v>1385.01</v>
          </cell>
          <cell r="J4994">
            <v>0</v>
          </cell>
          <cell r="K4994">
            <v>0</v>
          </cell>
          <cell r="M4994">
            <v>0</v>
          </cell>
          <cell r="P4994">
            <v>1385</v>
          </cell>
          <cell r="V4994" t="str">
            <v>Available</v>
          </cell>
        </row>
        <row r="4995">
          <cell r="E4995">
            <v>10530108</v>
          </cell>
          <cell r="H4995">
            <v>26.44</v>
          </cell>
          <cell r="I4995">
            <v>1011.9399999999999</v>
          </cell>
          <cell r="J4995">
            <v>0</v>
          </cell>
          <cell r="K4995">
            <v>0</v>
          </cell>
          <cell r="M4995">
            <v>0</v>
          </cell>
          <cell r="P4995">
            <v>1012</v>
          </cell>
          <cell r="V4995" t="str">
            <v>Available</v>
          </cell>
        </row>
        <row r="4996">
          <cell r="E4996">
            <v>10530108</v>
          </cell>
          <cell r="H4996">
            <v>64.13000000000001</v>
          </cell>
          <cell r="I4996">
            <v>2641.37</v>
          </cell>
          <cell r="J4996">
            <v>0</v>
          </cell>
          <cell r="K4996">
            <v>0</v>
          </cell>
          <cell r="M4996">
            <v>0</v>
          </cell>
          <cell r="P4996">
            <v>2641</v>
          </cell>
          <cell r="V4996" t="str">
            <v>Available</v>
          </cell>
        </row>
        <row r="4997">
          <cell r="E4997">
            <v>10530108</v>
          </cell>
          <cell r="H4997">
            <v>12.2</v>
          </cell>
          <cell r="I4997">
            <v>438.67999999999995</v>
          </cell>
          <cell r="J4997">
            <v>0</v>
          </cell>
          <cell r="K4997">
            <v>0</v>
          </cell>
          <cell r="M4997">
            <v>0</v>
          </cell>
          <cell r="P4997">
            <v>439</v>
          </cell>
          <cell r="V4997" t="str">
            <v>Available</v>
          </cell>
        </row>
        <row r="4998">
          <cell r="E4998">
            <v>10530108</v>
          </cell>
          <cell r="H4998">
            <v>76.84</v>
          </cell>
          <cell r="I4998">
            <v>3014.66</v>
          </cell>
          <cell r="J4998">
            <v>0</v>
          </cell>
          <cell r="K4998">
            <v>0</v>
          </cell>
          <cell r="M4998">
            <v>0</v>
          </cell>
          <cell r="P4998">
            <v>3015</v>
          </cell>
          <cell r="V4998" t="str">
            <v>Available</v>
          </cell>
        </row>
        <row r="4999">
          <cell r="E4999">
            <v>10530108</v>
          </cell>
          <cell r="H4999">
            <v>16.989999999999998</v>
          </cell>
          <cell r="I4999">
            <v>736.12</v>
          </cell>
          <cell r="J4999">
            <v>0</v>
          </cell>
          <cell r="K4999">
            <v>0</v>
          </cell>
          <cell r="M4999">
            <v>0</v>
          </cell>
          <cell r="P4999">
            <v>736</v>
          </cell>
          <cell r="V4999" t="str">
            <v>Available</v>
          </cell>
        </row>
        <row r="5000">
          <cell r="E5000">
            <v>10530108</v>
          </cell>
          <cell r="H5000">
            <v>15.420000000000002</v>
          </cell>
          <cell r="I5000">
            <v>664.81</v>
          </cell>
          <cell r="J5000">
            <v>0</v>
          </cell>
          <cell r="K5000">
            <v>0</v>
          </cell>
          <cell r="M5000">
            <v>0</v>
          </cell>
          <cell r="P5000">
            <v>665</v>
          </cell>
          <cell r="V5000" t="str">
            <v>Available</v>
          </cell>
        </row>
        <row r="5001">
          <cell r="E5001">
            <v>10530109</v>
          </cell>
          <cell r="H5001">
            <v>14.01</v>
          </cell>
          <cell r="I5001">
            <v>628.97</v>
          </cell>
          <cell r="J5001">
            <v>0</v>
          </cell>
          <cell r="K5001">
            <v>628.97</v>
          </cell>
          <cell r="M5001">
            <v>0</v>
          </cell>
          <cell r="P5001">
            <v>0</v>
          </cell>
          <cell r="V5001" t="str">
            <v>Not Available</v>
          </cell>
        </row>
        <row r="5002">
          <cell r="E5002">
            <v>10530109</v>
          </cell>
          <cell r="H5002">
            <v>5.1899999999999995</v>
          </cell>
          <cell r="I5002">
            <v>272.98</v>
          </cell>
          <cell r="J5002">
            <v>0</v>
          </cell>
          <cell r="K5002">
            <v>0</v>
          </cell>
          <cell r="M5002">
            <v>0</v>
          </cell>
          <cell r="P5002">
            <v>273</v>
          </cell>
          <cell r="V5002" t="str">
            <v>Available</v>
          </cell>
        </row>
        <row r="5003">
          <cell r="E5003">
            <v>10530109</v>
          </cell>
          <cell r="H5003">
            <v>312.33999999999997</v>
          </cell>
          <cell r="I5003">
            <v>14078.23</v>
          </cell>
          <cell r="J5003">
            <v>0</v>
          </cell>
          <cell r="K5003">
            <v>0</v>
          </cell>
          <cell r="M5003">
            <v>7750</v>
          </cell>
          <cell r="P5003">
            <v>6328</v>
          </cell>
          <cell r="V5003" t="str">
            <v>Available</v>
          </cell>
        </row>
        <row r="5004">
          <cell r="E5004">
            <v>10530109</v>
          </cell>
          <cell r="H5004">
            <v>293.48999999999995</v>
          </cell>
          <cell r="I5004">
            <v>12622.500000000002</v>
          </cell>
          <cell r="J5004">
            <v>0</v>
          </cell>
          <cell r="K5004">
            <v>0</v>
          </cell>
          <cell r="M5004">
            <v>0</v>
          </cell>
          <cell r="P5004">
            <v>12623</v>
          </cell>
          <cell r="V5004" t="str">
            <v>Available</v>
          </cell>
        </row>
        <row r="5005">
          <cell r="E5005">
            <v>10530109</v>
          </cell>
          <cell r="H5005">
            <v>55.449999999999996</v>
          </cell>
          <cell r="I5005">
            <v>2617.06</v>
          </cell>
          <cell r="J5005">
            <v>0</v>
          </cell>
          <cell r="K5005">
            <v>0</v>
          </cell>
          <cell r="M5005">
            <v>0</v>
          </cell>
          <cell r="P5005">
            <v>2617</v>
          </cell>
          <cell r="V5005" t="str">
            <v>Available</v>
          </cell>
        </row>
        <row r="5006">
          <cell r="E5006">
            <v>10530109</v>
          </cell>
          <cell r="H5006">
            <v>22.460000000000004</v>
          </cell>
          <cell r="I5006">
            <v>1032.52</v>
          </cell>
          <cell r="J5006">
            <v>0</v>
          </cell>
          <cell r="K5006">
            <v>0</v>
          </cell>
          <cell r="M5006">
            <v>0</v>
          </cell>
          <cell r="P5006">
            <v>1033</v>
          </cell>
          <cell r="V5006" t="str">
            <v>Available</v>
          </cell>
        </row>
        <row r="5007">
          <cell r="E5007">
            <v>10530109</v>
          </cell>
          <cell r="H5007">
            <v>156.05000000000004</v>
          </cell>
          <cell r="I5007">
            <v>6942.3799999999992</v>
          </cell>
          <cell r="J5007">
            <v>0</v>
          </cell>
          <cell r="K5007">
            <v>0</v>
          </cell>
          <cell r="M5007">
            <v>1550</v>
          </cell>
          <cell r="P5007">
            <v>5392</v>
          </cell>
          <cell r="V5007" t="str">
            <v>Available</v>
          </cell>
        </row>
        <row r="5008">
          <cell r="E5008">
            <v>10530109</v>
          </cell>
          <cell r="H5008">
            <v>65.710000000000008</v>
          </cell>
          <cell r="I5008">
            <v>2863.4900000000002</v>
          </cell>
          <cell r="J5008">
            <v>0</v>
          </cell>
          <cell r="K5008">
            <v>0</v>
          </cell>
          <cell r="M5008">
            <v>0</v>
          </cell>
          <cell r="P5008">
            <v>2863</v>
          </cell>
          <cell r="V5008" t="str">
            <v>Available</v>
          </cell>
        </row>
        <row r="5009">
          <cell r="E5009">
            <v>10530109</v>
          </cell>
          <cell r="H5009">
            <v>39.410000000000004</v>
          </cell>
          <cell r="I5009">
            <v>1738.42</v>
          </cell>
          <cell r="J5009">
            <v>0</v>
          </cell>
          <cell r="K5009">
            <v>0</v>
          </cell>
          <cell r="M5009">
            <v>0</v>
          </cell>
          <cell r="P5009">
            <v>1738</v>
          </cell>
          <cell r="V5009" t="str">
            <v>Available</v>
          </cell>
        </row>
        <row r="5010">
          <cell r="E5010">
            <v>10530109</v>
          </cell>
          <cell r="H5010">
            <v>55.400000000000006</v>
          </cell>
          <cell r="I5010">
            <v>3170.2</v>
          </cell>
          <cell r="J5010">
            <v>0</v>
          </cell>
          <cell r="K5010">
            <v>0</v>
          </cell>
          <cell r="M5010">
            <v>0</v>
          </cell>
          <cell r="P5010">
            <v>3170</v>
          </cell>
          <cell r="V5010" t="str">
            <v>Available</v>
          </cell>
        </row>
        <row r="5011">
          <cell r="E5011">
            <v>10530109</v>
          </cell>
          <cell r="H5011">
            <v>49.05</v>
          </cell>
          <cell r="I5011">
            <v>1938.1</v>
          </cell>
          <cell r="J5011">
            <v>0</v>
          </cell>
          <cell r="K5011">
            <v>0</v>
          </cell>
          <cell r="M5011">
            <v>1550</v>
          </cell>
          <cell r="P5011">
            <v>388</v>
          </cell>
          <cell r="V5011" t="str">
            <v>Available</v>
          </cell>
        </row>
        <row r="5012">
          <cell r="E5012">
            <v>10530109</v>
          </cell>
          <cell r="H5012">
            <v>36.479999999999997</v>
          </cell>
          <cell r="I5012">
            <v>1503.5300000000002</v>
          </cell>
          <cell r="J5012">
            <v>0</v>
          </cell>
          <cell r="K5012">
            <v>0</v>
          </cell>
          <cell r="M5012">
            <v>0</v>
          </cell>
          <cell r="P5012">
            <v>1504</v>
          </cell>
          <cell r="V5012" t="str">
            <v>Available</v>
          </cell>
        </row>
        <row r="5013">
          <cell r="E5013">
            <v>10530109</v>
          </cell>
          <cell r="H5013">
            <v>123.71999999999998</v>
          </cell>
          <cell r="I5013">
            <v>4950.7300000000005</v>
          </cell>
          <cell r="J5013">
            <v>0</v>
          </cell>
          <cell r="K5013">
            <v>0</v>
          </cell>
          <cell r="M5013">
            <v>0</v>
          </cell>
          <cell r="P5013">
            <v>4951</v>
          </cell>
          <cell r="V5013" t="str">
            <v>Available</v>
          </cell>
        </row>
        <row r="5014">
          <cell r="E5014">
            <v>10530109</v>
          </cell>
          <cell r="H5014">
            <v>39.539999999999985</v>
          </cell>
          <cell r="I5014">
            <v>2020.9900000000002</v>
          </cell>
          <cell r="J5014">
            <v>0</v>
          </cell>
          <cell r="K5014">
            <v>0</v>
          </cell>
          <cell r="M5014">
            <v>0</v>
          </cell>
          <cell r="P5014">
            <v>2021</v>
          </cell>
          <cell r="V5014" t="str">
            <v>Available</v>
          </cell>
        </row>
        <row r="5015">
          <cell r="E5015">
            <v>10530109</v>
          </cell>
          <cell r="H5015">
            <v>62.120000000000005</v>
          </cell>
          <cell r="I5015">
            <v>3039.7400000000002</v>
          </cell>
          <cell r="J5015">
            <v>0</v>
          </cell>
          <cell r="K5015">
            <v>0</v>
          </cell>
          <cell r="M5015">
            <v>0</v>
          </cell>
          <cell r="P5015">
            <v>3040</v>
          </cell>
          <cell r="V5015" t="str">
            <v>Available</v>
          </cell>
        </row>
        <row r="5016">
          <cell r="E5016">
            <v>10530109</v>
          </cell>
          <cell r="H5016">
            <v>7.2900000000000009</v>
          </cell>
          <cell r="I5016">
            <v>680.62</v>
          </cell>
          <cell r="J5016">
            <v>0</v>
          </cell>
          <cell r="K5016">
            <v>0</v>
          </cell>
          <cell r="M5016">
            <v>0</v>
          </cell>
          <cell r="P5016">
            <v>681</v>
          </cell>
          <cell r="V5016" t="str">
            <v>Available</v>
          </cell>
        </row>
        <row r="5017">
          <cell r="E5017">
            <v>10530109</v>
          </cell>
          <cell r="H5017">
            <v>18.14</v>
          </cell>
          <cell r="I5017">
            <v>735.03</v>
          </cell>
          <cell r="J5017">
            <v>0</v>
          </cell>
          <cell r="K5017">
            <v>0</v>
          </cell>
          <cell r="M5017">
            <v>0</v>
          </cell>
          <cell r="P5017">
            <v>735</v>
          </cell>
          <cell r="V5017" t="str">
            <v>Available</v>
          </cell>
        </row>
        <row r="5018">
          <cell r="E5018">
            <v>10530109</v>
          </cell>
          <cell r="H5018">
            <v>23.840000000000003</v>
          </cell>
          <cell r="I5018">
            <v>996.42000000000007</v>
          </cell>
          <cell r="J5018">
            <v>0</v>
          </cell>
          <cell r="K5018">
            <v>0</v>
          </cell>
          <cell r="M5018">
            <v>0</v>
          </cell>
          <cell r="P5018">
            <v>996</v>
          </cell>
          <cell r="V5018" t="str">
            <v>Available</v>
          </cell>
        </row>
        <row r="5019">
          <cell r="E5019">
            <v>10530109</v>
          </cell>
          <cell r="H5019">
            <v>135.9</v>
          </cell>
          <cell r="I5019">
            <v>5586.95</v>
          </cell>
          <cell r="J5019">
            <v>0</v>
          </cell>
          <cell r="K5019">
            <v>0</v>
          </cell>
          <cell r="M5019">
            <v>0</v>
          </cell>
          <cell r="P5019">
            <v>5587</v>
          </cell>
          <cell r="V5019" t="str">
            <v>Available</v>
          </cell>
        </row>
        <row r="5020">
          <cell r="E5020">
            <v>10530109</v>
          </cell>
          <cell r="H5020">
            <v>40.229999999999997</v>
          </cell>
          <cell r="I5020">
            <v>1755.47</v>
          </cell>
          <cell r="J5020">
            <v>0</v>
          </cell>
          <cell r="K5020">
            <v>0</v>
          </cell>
          <cell r="M5020">
            <v>54</v>
          </cell>
          <cell r="P5020">
            <v>1701</v>
          </cell>
          <cell r="V5020" t="str">
            <v>Available</v>
          </cell>
        </row>
        <row r="5021">
          <cell r="E5021">
            <v>10530109</v>
          </cell>
          <cell r="H5021">
            <v>20.100000000000001</v>
          </cell>
          <cell r="I5021">
            <v>1225.1099999999999</v>
          </cell>
          <cell r="J5021">
            <v>0</v>
          </cell>
          <cell r="K5021">
            <v>0</v>
          </cell>
          <cell r="M5021">
            <v>0</v>
          </cell>
          <cell r="P5021">
            <v>1225</v>
          </cell>
          <cell r="V5021" t="str">
            <v>Available</v>
          </cell>
        </row>
        <row r="5022">
          <cell r="E5022">
            <v>10530109</v>
          </cell>
          <cell r="H5022">
            <v>26.7</v>
          </cell>
          <cell r="I5022">
            <v>1423.4</v>
          </cell>
          <cell r="J5022">
            <v>0</v>
          </cell>
          <cell r="K5022">
            <v>0</v>
          </cell>
          <cell r="M5022">
            <v>0</v>
          </cell>
          <cell r="P5022">
            <v>1423</v>
          </cell>
          <cell r="V5022" t="str">
            <v>Available</v>
          </cell>
        </row>
        <row r="5023">
          <cell r="E5023">
            <v>10530109</v>
          </cell>
          <cell r="H5023">
            <v>31.97</v>
          </cell>
          <cell r="I5023">
            <v>1362.86</v>
          </cell>
          <cell r="J5023">
            <v>0</v>
          </cell>
          <cell r="K5023">
            <v>0</v>
          </cell>
          <cell r="M5023">
            <v>0</v>
          </cell>
          <cell r="P5023">
            <v>1363</v>
          </cell>
          <cell r="V5023" t="str">
            <v>Available</v>
          </cell>
        </row>
        <row r="5024">
          <cell r="E5024">
            <v>10530109</v>
          </cell>
          <cell r="H5024">
            <v>31.329999999999995</v>
          </cell>
          <cell r="I5024">
            <v>1450.8200000000002</v>
          </cell>
          <cell r="J5024">
            <v>0</v>
          </cell>
          <cell r="K5024">
            <v>0</v>
          </cell>
          <cell r="M5024">
            <v>0</v>
          </cell>
          <cell r="P5024">
            <v>1451</v>
          </cell>
          <cell r="V5024" t="str">
            <v>Available</v>
          </cell>
        </row>
        <row r="5025">
          <cell r="E5025">
            <v>10530109</v>
          </cell>
          <cell r="H5025">
            <v>96.8</v>
          </cell>
          <cell r="I5025">
            <v>4054.5900000000006</v>
          </cell>
          <cell r="J5025">
            <v>0</v>
          </cell>
          <cell r="K5025">
            <v>0</v>
          </cell>
          <cell r="M5025">
            <v>0</v>
          </cell>
          <cell r="P5025">
            <v>4055</v>
          </cell>
          <cell r="V5025" t="str">
            <v>Available</v>
          </cell>
        </row>
        <row r="5026">
          <cell r="E5026">
            <v>10530110</v>
          </cell>
          <cell r="H5026">
            <v>35.83</v>
          </cell>
          <cell r="I5026">
            <v>1508.3500000000001</v>
          </cell>
          <cell r="J5026">
            <v>0</v>
          </cell>
          <cell r="K5026">
            <v>1508.3500000000001</v>
          </cell>
          <cell r="M5026">
            <v>0</v>
          </cell>
          <cell r="P5026">
            <v>0</v>
          </cell>
          <cell r="V5026" t="str">
            <v>Not Available</v>
          </cell>
        </row>
        <row r="5027">
          <cell r="E5027">
            <v>10530110</v>
          </cell>
          <cell r="H5027">
            <v>266.28999999999991</v>
          </cell>
          <cell r="I5027">
            <v>10822.820000000005</v>
          </cell>
          <cell r="J5027">
            <v>0</v>
          </cell>
          <cell r="K5027">
            <v>0</v>
          </cell>
          <cell r="M5027">
            <v>0</v>
          </cell>
          <cell r="P5027">
            <v>10823</v>
          </cell>
          <cell r="V5027" t="str">
            <v>Available</v>
          </cell>
        </row>
        <row r="5028">
          <cell r="E5028">
            <v>10530110</v>
          </cell>
          <cell r="H5028">
            <v>199.12</v>
          </cell>
          <cell r="I5028">
            <v>7659.7800000000016</v>
          </cell>
          <cell r="J5028">
            <v>0</v>
          </cell>
          <cell r="K5028">
            <v>0</v>
          </cell>
          <cell r="M5028">
            <v>0</v>
          </cell>
          <cell r="P5028">
            <v>7660</v>
          </cell>
          <cell r="V5028" t="str">
            <v>Available</v>
          </cell>
        </row>
        <row r="5029">
          <cell r="E5029">
            <v>10530110</v>
          </cell>
          <cell r="H5029">
            <v>19.850000000000001</v>
          </cell>
          <cell r="I5029">
            <v>1448.8699999999997</v>
          </cell>
          <cell r="J5029">
            <v>0</v>
          </cell>
          <cell r="K5029">
            <v>0</v>
          </cell>
          <cell r="M5029">
            <v>0</v>
          </cell>
          <cell r="P5029">
            <v>1449</v>
          </cell>
          <cell r="V5029" t="str">
            <v>Available</v>
          </cell>
        </row>
        <row r="5030">
          <cell r="E5030">
            <v>10530110</v>
          </cell>
          <cell r="H5030">
            <v>1.24</v>
          </cell>
          <cell r="I5030">
            <v>56.26</v>
          </cell>
          <cell r="J5030">
            <v>0</v>
          </cell>
          <cell r="K5030">
            <v>0</v>
          </cell>
          <cell r="M5030">
            <v>0</v>
          </cell>
          <cell r="P5030">
            <v>56</v>
          </cell>
          <cell r="V5030" t="str">
            <v>Available</v>
          </cell>
        </row>
        <row r="5031">
          <cell r="E5031">
            <v>10530110</v>
          </cell>
          <cell r="H5031">
            <v>70.22</v>
          </cell>
          <cell r="I5031">
            <v>2893.2500000000005</v>
          </cell>
          <cell r="J5031">
            <v>0</v>
          </cell>
          <cell r="K5031">
            <v>0</v>
          </cell>
          <cell r="M5031">
            <v>0</v>
          </cell>
          <cell r="P5031">
            <v>2893</v>
          </cell>
          <cell r="V5031" t="str">
            <v>Available</v>
          </cell>
        </row>
        <row r="5032">
          <cell r="E5032">
            <v>10530110</v>
          </cell>
          <cell r="H5032">
            <v>9.44</v>
          </cell>
          <cell r="I5032">
            <v>416.3</v>
          </cell>
          <cell r="J5032">
            <v>0</v>
          </cell>
          <cell r="K5032">
            <v>0</v>
          </cell>
          <cell r="M5032">
            <v>0</v>
          </cell>
          <cell r="P5032">
            <v>416</v>
          </cell>
          <cell r="V5032" t="str">
            <v>Available</v>
          </cell>
        </row>
        <row r="5033">
          <cell r="E5033">
            <v>10530110</v>
          </cell>
          <cell r="H5033">
            <v>1.1000000000000001</v>
          </cell>
          <cell r="I5033">
            <v>98.22</v>
          </cell>
          <cell r="J5033">
            <v>0</v>
          </cell>
          <cell r="K5033">
            <v>0</v>
          </cell>
          <cell r="M5033">
            <v>0</v>
          </cell>
          <cell r="P5033">
            <v>98</v>
          </cell>
          <cell r="V5033" t="str">
            <v>Available</v>
          </cell>
        </row>
        <row r="5034">
          <cell r="E5034">
            <v>10530110</v>
          </cell>
          <cell r="H5034">
            <v>24.209999999999997</v>
          </cell>
          <cell r="I5034">
            <v>948.75</v>
          </cell>
          <cell r="J5034">
            <v>0</v>
          </cell>
          <cell r="K5034">
            <v>0</v>
          </cell>
          <cell r="M5034">
            <v>0</v>
          </cell>
          <cell r="P5034">
            <v>949</v>
          </cell>
          <cell r="V5034" t="str">
            <v>Available</v>
          </cell>
        </row>
        <row r="5035">
          <cell r="E5035">
            <v>10530110</v>
          </cell>
          <cell r="H5035">
            <v>30.259999999999998</v>
          </cell>
          <cell r="I5035">
            <v>1082.3800000000001</v>
          </cell>
          <cell r="J5035">
            <v>0</v>
          </cell>
          <cell r="K5035">
            <v>0</v>
          </cell>
          <cell r="M5035">
            <v>0</v>
          </cell>
          <cell r="P5035">
            <v>1082</v>
          </cell>
          <cell r="V5035" t="str">
            <v>Available</v>
          </cell>
        </row>
        <row r="5036">
          <cell r="E5036">
            <v>10530110</v>
          </cell>
          <cell r="H5036">
            <v>17.27</v>
          </cell>
          <cell r="I5036">
            <v>733.12999999999988</v>
          </cell>
          <cell r="J5036">
            <v>0</v>
          </cell>
          <cell r="K5036">
            <v>0</v>
          </cell>
          <cell r="M5036">
            <v>0</v>
          </cell>
          <cell r="P5036">
            <v>733</v>
          </cell>
          <cell r="V5036" t="str">
            <v>Available</v>
          </cell>
        </row>
        <row r="5037">
          <cell r="E5037">
            <v>10530110</v>
          </cell>
          <cell r="H5037">
            <v>15.92</v>
          </cell>
          <cell r="I5037">
            <v>671.78</v>
          </cell>
          <cell r="J5037">
            <v>0</v>
          </cell>
          <cell r="K5037">
            <v>0</v>
          </cell>
          <cell r="M5037">
            <v>0</v>
          </cell>
          <cell r="P5037">
            <v>672</v>
          </cell>
          <cell r="V5037" t="str">
            <v>Available</v>
          </cell>
        </row>
        <row r="5038">
          <cell r="E5038">
            <v>10530110</v>
          </cell>
          <cell r="H5038">
            <v>44.34</v>
          </cell>
          <cell r="I5038">
            <v>1963.0700000000002</v>
          </cell>
          <cell r="J5038">
            <v>0</v>
          </cell>
          <cell r="K5038">
            <v>0</v>
          </cell>
          <cell r="M5038">
            <v>0</v>
          </cell>
          <cell r="P5038">
            <v>1963</v>
          </cell>
          <cell r="V5038" t="str">
            <v>Available</v>
          </cell>
        </row>
        <row r="5039">
          <cell r="E5039">
            <v>10530110</v>
          </cell>
          <cell r="H5039">
            <v>29.29</v>
          </cell>
          <cell r="I5039">
            <v>1193.71</v>
          </cell>
          <cell r="J5039">
            <v>0</v>
          </cell>
          <cell r="K5039">
            <v>0</v>
          </cell>
          <cell r="M5039">
            <v>0</v>
          </cell>
          <cell r="P5039">
            <v>1194</v>
          </cell>
          <cell r="V5039" t="str">
            <v>Available</v>
          </cell>
        </row>
        <row r="5040">
          <cell r="E5040">
            <v>10530111</v>
          </cell>
          <cell r="H5040">
            <v>11.860000000000001</v>
          </cell>
          <cell r="I5040">
            <v>475.41000000000008</v>
          </cell>
          <cell r="J5040">
            <v>0</v>
          </cell>
          <cell r="K5040">
            <v>475.41000000000008</v>
          </cell>
          <cell r="M5040">
            <v>0</v>
          </cell>
          <cell r="P5040">
            <v>0</v>
          </cell>
          <cell r="V5040" t="str">
            <v>Not Available</v>
          </cell>
        </row>
        <row r="5041">
          <cell r="E5041">
            <v>10530111</v>
          </cell>
          <cell r="H5041">
            <v>95.21</v>
          </cell>
          <cell r="I5041">
            <v>3649.2099999999996</v>
          </cell>
          <cell r="J5041">
            <v>0</v>
          </cell>
          <cell r="K5041">
            <v>0</v>
          </cell>
          <cell r="M5041">
            <v>0</v>
          </cell>
          <cell r="P5041">
            <v>3649</v>
          </cell>
          <cell r="V5041" t="str">
            <v>Available</v>
          </cell>
        </row>
        <row r="5042">
          <cell r="E5042">
            <v>10530111</v>
          </cell>
          <cell r="H5042">
            <v>15.76</v>
          </cell>
          <cell r="I5042">
            <v>580.85</v>
          </cell>
          <cell r="J5042">
            <v>0</v>
          </cell>
          <cell r="K5042">
            <v>0</v>
          </cell>
          <cell r="M5042">
            <v>0</v>
          </cell>
          <cell r="P5042">
            <v>581</v>
          </cell>
          <cell r="V5042" t="str">
            <v>Available</v>
          </cell>
        </row>
        <row r="5043">
          <cell r="E5043">
            <v>10530111</v>
          </cell>
          <cell r="H5043">
            <v>7.2100000000000009</v>
          </cell>
          <cell r="I5043">
            <v>265.69000000000005</v>
          </cell>
          <cell r="J5043">
            <v>0</v>
          </cell>
          <cell r="K5043">
            <v>0</v>
          </cell>
          <cell r="M5043">
            <v>0</v>
          </cell>
          <cell r="P5043">
            <v>266</v>
          </cell>
          <cell r="V5043" t="str">
            <v>Available</v>
          </cell>
        </row>
        <row r="5044">
          <cell r="E5044">
            <v>10530111</v>
          </cell>
          <cell r="H5044">
            <v>39.340000000000003</v>
          </cell>
          <cell r="I5044">
            <v>1471.96</v>
          </cell>
          <cell r="J5044">
            <v>0</v>
          </cell>
          <cell r="K5044">
            <v>0</v>
          </cell>
          <cell r="M5044">
            <v>0</v>
          </cell>
          <cell r="P5044">
            <v>1472</v>
          </cell>
          <cell r="V5044" t="str">
            <v>Available</v>
          </cell>
        </row>
        <row r="5045">
          <cell r="E5045">
            <v>10530111</v>
          </cell>
          <cell r="H5045">
            <v>13.280000000000001</v>
          </cell>
          <cell r="I5045">
            <v>467.73</v>
          </cell>
          <cell r="J5045">
            <v>0</v>
          </cell>
          <cell r="K5045">
            <v>0</v>
          </cell>
          <cell r="M5045">
            <v>0</v>
          </cell>
          <cell r="P5045">
            <v>468</v>
          </cell>
          <cell r="V5045" t="str">
            <v>Available</v>
          </cell>
        </row>
        <row r="5046">
          <cell r="E5046">
            <v>10530111</v>
          </cell>
          <cell r="H5046">
            <v>50.609999999999992</v>
          </cell>
          <cell r="I5046">
            <v>2278.7199999999998</v>
          </cell>
          <cell r="J5046">
            <v>0</v>
          </cell>
          <cell r="K5046">
            <v>0</v>
          </cell>
          <cell r="M5046">
            <v>0</v>
          </cell>
          <cell r="P5046">
            <v>2279</v>
          </cell>
          <cell r="V5046" t="str">
            <v>Available</v>
          </cell>
        </row>
        <row r="5047">
          <cell r="E5047">
            <v>10530111</v>
          </cell>
          <cell r="H5047">
            <v>16.100000000000001</v>
          </cell>
          <cell r="I5047">
            <v>649.37</v>
          </cell>
          <cell r="J5047">
            <v>0</v>
          </cell>
          <cell r="K5047">
            <v>0</v>
          </cell>
          <cell r="M5047">
            <v>0</v>
          </cell>
          <cell r="P5047">
            <v>649</v>
          </cell>
          <cell r="V5047" t="str">
            <v>Available</v>
          </cell>
        </row>
        <row r="5048">
          <cell r="E5048">
            <v>10530111</v>
          </cell>
          <cell r="H5048">
            <v>21.85</v>
          </cell>
          <cell r="I5048">
            <v>954.08</v>
          </cell>
          <cell r="J5048">
            <v>0</v>
          </cell>
          <cell r="K5048">
            <v>0</v>
          </cell>
          <cell r="M5048">
            <v>0</v>
          </cell>
          <cell r="P5048">
            <v>954</v>
          </cell>
          <cell r="V5048" t="str">
            <v>Available</v>
          </cell>
        </row>
        <row r="5049">
          <cell r="E5049">
            <v>10530111</v>
          </cell>
          <cell r="H5049">
            <v>8.02</v>
          </cell>
          <cell r="I5049">
            <v>267.48</v>
          </cell>
          <cell r="J5049">
            <v>0</v>
          </cell>
          <cell r="K5049">
            <v>0</v>
          </cell>
          <cell r="M5049">
            <v>0</v>
          </cell>
          <cell r="P5049">
            <v>267</v>
          </cell>
          <cell r="V5049" t="str">
            <v>Available</v>
          </cell>
        </row>
        <row r="5050">
          <cell r="E5050">
            <v>10530111</v>
          </cell>
          <cell r="H5050">
            <v>12.89</v>
          </cell>
          <cell r="I5050">
            <v>450.51</v>
          </cell>
          <cell r="J5050">
            <v>0</v>
          </cell>
          <cell r="K5050">
            <v>0</v>
          </cell>
          <cell r="M5050">
            <v>0</v>
          </cell>
          <cell r="P5050">
            <v>451</v>
          </cell>
          <cell r="V5050" t="str">
            <v>Available</v>
          </cell>
        </row>
        <row r="5051">
          <cell r="E5051">
            <v>10530111</v>
          </cell>
          <cell r="H5051">
            <v>53.55</v>
          </cell>
          <cell r="I5051">
            <v>2306.7199999999998</v>
          </cell>
          <cell r="J5051">
            <v>0</v>
          </cell>
          <cell r="K5051">
            <v>0</v>
          </cell>
          <cell r="M5051">
            <v>0</v>
          </cell>
          <cell r="P5051">
            <v>2307</v>
          </cell>
          <cell r="V5051" t="str">
            <v>Available</v>
          </cell>
        </row>
        <row r="5052">
          <cell r="E5052">
            <v>10530111</v>
          </cell>
          <cell r="H5052">
            <v>33.93</v>
          </cell>
          <cell r="I5052">
            <v>1378.5199999999998</v>
          </cell>
          <cell r="J5052">
            <v>0</v>
          </cell>
          <cell r="K5052">
            <v>0</v>
          </cell>
          <cell r="M5052">
            <v>0</v>
          </cell>
          <cell r="P5052">
            <v>1379</v>
          </cell>
          <cell r="V5052" t="str">
            <v>Available</v>
          </cell>
        </row>
        <row r="5053">
          <cell r="E5053">
            <v>10530111</v>
          </cell>
          <cell r="H5053">
            <v>12.36</v>
          </cell>
          <cell r="I5053">
            <v>521.33000000000004</v>
          </cell>
          <cell r="J5053">
            <v>0</v>
          </cell>
          <cell r="K5053">
            <v>0</v>
          </cell>
          <cell r="M5053">
            <v>0</v>
          </cell>
          <cell r="P5053">
            <v>521</v>
          </cell>
          <cell r="V5053" t="str">
            <v>Available</v>
          </cell>
        </row>
        <row r="5054">
          <cell r="E5054">
            <v>10530111</v>
          </cell>
          <cell r="H5054">
            <v>9.9400000000000013</v>
          </cell>
          <cell r="I5054">
            <v>370.68000000000006</v>
          </cell>
          <cell r="J5054">
            <v>0</v>
          </cell>
          <cell r="K5054">
            <v>0</v>
          </cell>
          <cell r="M5054">
            <v>0</v>
          </cell>
          <cell r="P5054">
            <v>371</v>
          </cell>
          <cell r="V5054" t="str">
            <v>Available</v>
          </cell>
        </row>
        <row r="5055">
          <cell r="E5055">
            <v>10530111</v>
          </cell>
          <cell r="H5055">
            <v>2.84</v>
          </cell>
          <cell r="I5055">
            <v>90.61</v>
          </cell>
          <cell r="J5055">
            <v>0</v>
          </cell>
          <cell r="K5055">
            <v>0</v>
          </cell>
          <cell r="M5055">
            <v>0</v>
          </cell>
          <cell r="P5055">
            <v>91</v>
          </cell>
          <cell r="V5055" t="str">
            <v>Available</v>
          </cell>
        </row>
        <row r="5056">
          <cell r="E5056">
            <v>10530111</v>
          </cell>
          <cell r="H5056">
            <v>47.27</v>
          </cell>
          <cell r="I5056">
            <v>1742.9000000000003</v>
          </cell>
          <cell r="J5056">
            <v>0</v>
          </cell>
          <cell r="K5056">
            <v>0</v>
          </cell>
          <cell r="M5056">
            <v>0</v>
          </cell>
          <cell r="P5056">
            <v>1743</v>
          </cell>
          <cell r="V5056" t="str">
            <v>Available</v>
          </cell>
        </row>
        <row r="5057">
          <cell r="E5057">
            <v>10530111</v>
          </cell>
          <cell r="H5057">
            <v>22.740000000000002</v>
          </cell>
          <cell r="I5057">
            <v>832.98</v>
          </cell>
          <cell r="J5057">
            <v>0</v>
          </cell>
          <cell r="K5057">
            <v>0</v>
          </cell>
          <cell r="M5057">
            <v>0</v>
          </cell>
          <cell r="P5057">
            <v>833</v>
          </cell>
          <cell r="V5057" t="str">
            <v>Available</v>
          </cell>
        </row>
        <row r="5058">
          <cell r="E5058">
            <v>10530112</v>
          </cell>
          <cell r="H5058">
            <v>148.47000000000003</v>
          </cell>
          <cell r="I5058">
            <v>6050.36</v>
          </cell>
          <cell r="J5058">
            <v>0</v>
          </cell>
          <cell r="K5058">
            <v>0</v>
          </cell>
          <cell r="M5058">
            <v>0</v>
          </cell>
          <cell r="P5058">
            <v>6050</v>
          </cell>
          <cell r="V5058" t="str">
            <v>Available</v>
          </cell>
        </row>
        <row r="5059">
          <cell r="E5059">
            <v>10530112</v>
          </cell>
          <cell r="H5059">
            <v>31.31</v>
          </cell>
          <cell r="I5059">
            <v>1342.08</v>
          </cell>
          <cell r="J5059">
            <v>0</v>
          </cell>
          <cell r="K5059">
            <v>0</v>
          </cell>
          <cell r="M5059">
            <v>0</v>
          </cell>
          <cell r="P5059">
            <v>1342</v>
          </cell>
          <cell r="V5059" t="str">
            <v>Available</v>
          </cell>
        </row>
        <row r="5060">
          <cell r="E5060">
            <v>10530112</v>
          </cell>
          <cell r="H5060">
            <v>519.63</v>
          </cell>
          <cell r="I5060">
            <v>18831.850000000002</v>
          </cell>
          <cell r="J5060">
            <v>0</v>
          </cell>
          <cell r="K5060">
            <v>0</v>
          </cell>
          <cell r="M5060">
            <v>0</v>
          </cell>
          <cell r="P5060">
            <v>18832</v>
          </cell>
          <cell r="V5060" t="str">
            <v>Available</v>
          </cell>
        </row>
        <row r="5061">
          <cell r="E5061">
            <v>10530112</v>
          </cell>
          <cell r="H5061">
            <v>19.84</v>
          </cell>
          <cell r="I5061">
            <v>1444.92</v>
          </cell>
          <cell r="J5061">
            <v>0</v>
          </cell>
          <cell r="K5061">
            <v>0</v>
          </cell>
          <cell r="M5061">
            <v>0</v>
          </cell>
          <cell r="P5061">
            <v>1445</v>
          </cell>
          <cell r="V5061" t="str">
            <v>Available</v>
          </cell>
        </row>
        <row r="5062">
          <cell r="E5062">
            <v>10530113</v>
          </cell>
          <cell r="H5062">
            <v>4.2999999999999989</v>
          </cell>
          <cell r="I5062">
            <v>160.33000000000001</v>
          </cell>
          <cell r="J5062">
            <v>0</v>
          </cell>
          <cell r="K5062">
            <v>160.33000000000001</v>
          </cell>
          <cell r="M5062">
            <v>0</v>
          </cell>
          <cell r="P5062">
            <v>0</v>
          </cell>
          <cell r="V5062" t="str">
            <v>Not Available</v>
          </cell>
        </row>
        <row r="5063">
          <cell r="E5063">
            <v>10530113</v>
          </cell>
          <cell r="H5063">
            <v>136.66000000000003</v>
          </cell>
          <cell r="I5063">
            <v>5890.7199999999993</v>
          </cell>
          <cell r="J5063">
            <v>0</v>
          </cell>
          <cell r="K5063">
            <v>0</v>
          </cell>
          <cell r="M5063">
            <v>4650</v>
          </cell>
          <cell r="P5063">
            <v>1241</v>
          </cell>
          <cell r="V5063" t="str">
            <v>Available</v>
          </cell>
        </row>
        <row r="5064">
          <cell r="E5064">
            <v>10530113</v>
          </cell>
          <cell r="H5064">
            <v>25.339999999999996</v>
          </cell>
          <cell r="I5064">
            <v>1021.3199999999999</v>
          </cell>
          <cell r="J5064">
            <v>0</v>
          </cell>
          <cell r="K5064">
            <v>0</v>
          </cell>
          <cell r="M5064">
            <v>0</v>
          </cell>
          <cell r="P5064">
            <v>1021</v>
          </cell>
          <cell r="V5064" t="str">
            <v>Available</v>
          </cell>
        </row>
        <row r="5065">
          <cell r="E5065">
            <v>10530113</v>
          </cell>
          <cell r="H5065">
            <v>13.92</v>
          </cell>
          <cell r="I5065">
            <v>522.99</v>
          </cell>
          <cell r="J5065">
            <v>0</v>
          </cell>
          <cell r="K5065">
            <v>0</v>
          </cell>
          <cell r="M5065">
            <v>0</v>
          </cell>
          <cell r="P5065">
            <v>523</v>
          </cell>
          <cell r="V5065" t="str">
            <v>Available</v>
          </cell>
        </row>
        <row r="5066">
          <cell r="E5066">
            <v>10530113</v>
          </cell>
          <cell r="H5066">
            <v>126.16</v>
          </cell>
          <cell r="I5066">
            <v>4832.55</v>
          </cell>
          <cell r="J5066">
            <v>0</v>
          </cell>
          <cell r="K5066">
            <v>0</v>
          </cell>
          <cell r="M5066">
            <v>0</v>
          </cell>
          <cell r="P5066">
            <v>4833</v>
          </cell>
          <cell r="V5066" t="str">
            <v>Available</v>
          </cell>
        </row>
        <row r="5067">
          <cell r="E5067">
            <v>10530113</v>
          </cell>
          <cell r="H5067">
            <v>51.059999999999995</v>
          </cell>
          <cell r="I5067">
            <v>1886.8600000000001</v>
          </cell>
          <cell r="J5067">
            <v>0</v>
          </cell>
          <cell r="K5067">
            <v>0</v>
          </cell>
          <cell r="M5067">
            <v>0</v>
          </cell>
          <cell r="P5067">
            <v>1887</v>
          </cell>
          <cell r="V5067" t="str">
            <v>Available</v>
          </cell>
        </row>
        <row r="5068">
          <cell r="E5068">
            <v>10530113</v>
          </cell>
          <cell r="H5068">
            <v>25.420000000000005</v>
          </cell>
          <cell r="I5068">
            <v>992.15999999999985</v>
          </cell>
          <cell r="J5068">
            <v>0</v>
          </cell>
          <cell r="K5068">
            <v>0</v>
          </cell>
          <cell r="M5068">
            <v>0</v>
          </cell>
          <cell r="P5068">
            <v>992</v>
          </cell>
          <cell r="V5068" t="str">
            <v>Available</v>
          </cell>
        </row>
        <row r="5069">
          <cell r="E5069">
            <v>10530113</v>
          </cell>
          <cell r="H5069">
            <v>11.479999999999999</v>
          </cell>
          <cell r="I5069">
            <v>483.48999999999995</v>
          </cell>
          <cell r="J5069">
            <v>0</v>
          </cell>
          <cell r="K5069">
            <v>0</v>
          </cell>
          <cell r="M5069">
            <v>0</v>
          </cell>
          <cell r="P5069">
            <v>483</v>
          </cell>
          <cell r="V5069" t="str">
            <v>Not Available</v>
          </cell>
        </row>
        <row r="5070">
          <cell r="E5070">
            <v>10530113</v>
          </cell>
          <cell r="H5070">
            <v>65.600000000000009</v>
          </cell>
          <cell r="I5070">
            <v>2873.1499999999996</v>
          </cell>
          <cell r="J5070">
            <v>0</v>
          </cell>
          <cell r="K5070">
            <v>0</v>
          </cell>
          <cell r="M5070">
            <v>0</v>
          </cell>
          <cell r="P5070">
            <v>2873</v>
          </cell>
          <cell r="V5070" t="str">
            <v>Available</v>
          </cell>
        </row>
        <row r="5071">
          <cell r="E5071">
            <v>10530113</v>
          </cell>
          <cell r="H5071">
            <v>11.28</v>
          </cell>
          <cell r="I5071">
            <v>487.56</v>
          </cell>
          <cell r="J5071">
            <v>0</v>
          </cell>
          <cell r="K5071">
            <v>0</v>
          </cell>
          <cell r="M5071">
            <v>0</v>
          </cell>
          <cell r="P5071">
            <v>488</v>
          </cell>
          <cell r="V5071" t="str">
            <v>Available</v>
          </cell>
        </row>
        <row r="5072">
          <cell r="E5072">
            <v>10530114</v>
          </cell>
          <cell r="H5072">
            <v>8.19</v>
          </cell>
          <cell r="I5072">
            <v>362.01</v>
          </cell>
          <cell r="J5072">
            <v>0</v>
          </cell>
          <cell r="K5072">
            <v>362.01</v>
          </cell>
          <cell r="M5072">
            <v>0</v>
          </cell>
          <cell r="P5072">
            <v>0</v>
          </cell>
          <cell r="V5072" t="str">
            <v>Not Available</v>
          </cell>
        </row>
        <row r="5073">
          <cell r="E5073">
            <v>10530114</v>
          </cell>
          <cell r="H5073">
            <v>35.799999999999997</v>
          </cell>
          <cell r="I5073">
            <v>1694.8600000000001</v>
          </cell>
          <cell r="J5073">
            <v>0</v>
          </cell>
          <cell r="K5073">
            <v>0</v>
          </cell>
          <cell r="M5073">
            <v>0</v>
          </cell>
          <cell r="P5073">
            <v>1695</v>
          </cell>
          <cell r="V5073" t="str">
            <v>Available</v>
          </cell>
        </row>
        <row r="5074">
          <cell r="E5074">
            <v>10530114</v>
          </cell>
          <cell r="H5074">
            <v>22.17</v>
          </cell>
          <cell r="I5074">
            <v>1356.3900000000003</v>
          </cell>
          <cell r="J5074">
            <v>0</v>
          </cell>
          <cell r="K5074">
            <v>0</v>
          </cell>
          <cell r="M5074">
            <v>0</v>
          </cell>
          <cell r="P5074">
            <v>1356</v>
          </cell>
          <cell r="V5074" t="str">
            <v>Available</v>
          </cell>
        </row>
        <row r="5075">
          <cell r="E5075">
            <v>10530114</v>
          </cell>
          <cell r="H5075">
            <v>16.11</v>
          </cell>
          <cell r="I5075">
            <v>728.28</v>
          </cell>
          <cell r="J5075">
            <v>0</v>
          </cell>
          <cell r="K5075">
            <v>0</v>
          </cell>
          <cell r="M5075">
            <v>0</v>
          </cell>
          <cell r="P5075">
            <v>728</v>
          </cell>
          <cell r="V5075" t="str">
            <v>Available</v>
          </cell>
        </row>
        <row r="5076">
          <cell r="E5076">
            <v>10530114</v>
          </cell>
          <cell r="H5076">
            <v>40.510000000000005</v>
          </cell>
          <cell r="I5076">
            <v>2332.7199999999998</v>
          </cell>
          <cell r="J5076">
            <v>0</v>
          </cell>
          <cell r="K5076">
            <v>0</v>
          </cell>
          <cell r="M5076">
            <v>0</v>
          </cell>
          <cell r="P5076">
            <v>2333</v>
          </cell>
          <cell r="V5076" t="str">
            <v>Available</v>
          </cell>
        </row>
        <row r="5077">
          <cell r="E5077">
            <v>10530114</v>
          </cell>
          <cell r="H5077">
            <v>16.3</v>
          </cell>
          <cell r="I5077">
            <v>757.25</v>
          </cell>
          <cell r="J5077">
            <v>0</v>
          </cell>
          <cell r="K5077">
            <v>0</v>
          </cell>
          <cell r="M5077">
            <v>0</v>
          </cell>
          <cell r="P5077">
            <v>757</v>
          </cell>
          <cell r="V5077" t="str">
            <v>Available</v>
          </cell>
        </row>
        <row r="5078">
          <cell r="E5078">
            <v>10530114</v>
          </cell>
          <cell r="H5078">
            <v>13.17</v>
          </cell>
          <cell r="I5078">
            <v>676.95999999999992</v>
          </cell>
          <cell r="J5078">
            <v>0</v>
          </cell>
          <cell r="K5078">
            <v>0</v>
          </cell>
          <cell r="M5078">
            <v>0</v>
          </cell>
          <cell r="P5078">
            <v>677</v>
          </cell>
          <cell r="V5078" t="str">
            <v>Available</v>
          </cell>
        </row>
        <row r="5079">
          <cell r="E5079">
            <v>10530114</v>
          </cell>
          <cell r="H5079">
            <v>56.55</v>
          </cell>
          <cell r="I5079">
            <v>2243.41</v>
          </cell>
          <cell r="J5079">
            <v>0</v>
          </cell>
          <cell r="K5079">
            <v>0</v>
          </cell>
          <cell r="M5079">
            <v>0</v>
          </cell>
          <cell r="P5079">
            <v>2243</v>
          </cell>
          <cell r="V5079" t="str">
            <v>Available</v>
          </cell>
        </row>
        <row r="5080">
          <cell r="E5080">
            <v>10530114</v>
          </cell>
          <cell r="H5080">
            <v>10.119999999999999</v>
          </cell>
          <cell r="I5080">
            <v>711.72</v>
          </cell>
          <cell r="J5080">
            <v>0</v>
          </cell>
          <cell r="K5080">
            <v>0</v>
          </cell>
          <cell r="M5080">
            <v>0</v>
          </cell>
          <cell r="P5080">
            <v>712</v>
          </cell>
          <cell r="V5080" t="str">
            <v>Available</v>
          </cell>
        </row>
        <row r="5081">
          <cell r="E5081">
            <v>10530114</v>
          </cell>
          <cell r="H5081">
            <v>15.839999999999998</v>
          </cell>
          <cell r="I5081">
            <v>621.24</v>
          </cell>
          <cell r="J5081">
            <v>0</v>
          </cell>
          <cell r="K5081">
            <v>0</v>
          </cell>
          <cell r="M5081">
            <v>0</v>
          </cell>
          <cell r="P5081">
            <v>621</v>
          </cell>
          <cell r="V5081" t="str">
            <v>Available</v>
          </cell>
        </row>
        <row r="5082">
          <cell r="E5082">
            <v>10530114</v>
          </cell>
          <cell r="H5082">
            <v>18.37</v>
          </cell>
          <cell r="I5082">
            <v>896.87000000000012</v>
          </cell>
          <cell r="J5082">
            <v>0</v>
          </cell>
          <cell r="K5082">
            <v>0</v>
          </cell>
          <cell r="M5082">
            <v>0</v>
          </cell>
          <cell r="P5082">
            <v>897</v>
          </cell>
          <cell r="V5082" t="str">
            <v>Available</v>
          </cell>
        </row>
        <row r="5083">
          <cell r="E5083">
            <v>10530114</v>
          </cell>
          <cell r="H5083">
            <v>33.340000000000003</v>
          </cell>
          <cell r="I5083">
            <v>1209.4099999999999</v>
          </cell>
          <cell r="J5083">
            <v>0</v>
          </cell>
          <cell r="K5083">
            <v>0</v>
          </cell>
          <cell r="M5083">
            <v>0</v>
          </cell>
          <cell r="P5083">
            <v>1209</v>
          </cell>
          <cell r="V5083" t="str">
            <v>Available</v>
          </cell>
        </row>
        <row r="5084">
          <cell r="E5084">
            <v>10530114</v>
          </cell>
          <cell r="H5084">
            <v>5.3</v>
          </cell>
          <cell r="I5084">
            <v>212.07000000000002</v>
          </cell>
          <cell r="J5084">
            <v>0</v>
          </cell>
          <cell r="K5084">
            <v>0</v>
          </cell>
          <cell r="M5084">
            <v>0</v>
          </cell>
          <cell r="P5084">
            <v>212</v>
          </cell>
          <cell r="V5084" t="str">
            <v>Available</v>
          </cell>
        </row>
        <row r="5085">
          <cell r="E5085">
            <v>10530114</v>
          </cell>
          <cell r="H5085">
            <v>24.209999999999997</v>
          </cell>
          <cell r="I5085">
            <v>933.35</v>
          </cell>
          <cell r="J5085">
            <v>0</v>
          </cell>
          <cell r="K5085">
            <v>0</v>
          </cell>
          <cell r="M5085">
            <v>0</v>
          </cell>
          <cell r="P5085">
            <v>933</v>
          </cell>
          <cell r="V5085" t="str">
            <v>Available</v>
          </cell>
        </row>
        <row r="5086">
          <cell r="E5086">
            <v>10530114</v>
          </cell>
          <cell r="H5086">
            <v>36.15</v>
          </cell>
          <cell r="I5086">
            <v>1290.7299999999998</v>
          </cell>
          <cell r="J5086">
            <v>0</v>
          </cell>
          <cell r="K5086">
            <v>0</v>
          </cell>
          <cell r="M5086">
            <v>0</v>
          </cell>
          <cell r="P5086">
            <v>1291</v>
          </cell>
          <cell r="V5086" t="str">
            <v>Available</v>
          </cell>
        </row>
        <row r="5087">
          <cell r="E5087">
            <v>10530114</v>
          </cell>
          <cell r="H5087">
            <v>22.57</v>
          </cell>
          <cell r="I5087">
            <v>834.32999999999981</v>
          </cell>
          <cell r="J5087">
            <v>0</v>
          </cell>
          <cell r="K5087">
            <v>0</v>
          </cell>
          <cell r="M5087">
            <v>0</v>
          </cell>
          <cell r="P5087">
            <v>834</v>
          </cell>
          <cell r="V5087" t="str">
            <v>Available</v>
          </cell>
        </row>
        <row r="5088">
          <cell r="E5088">
            <v>10530114</v>
          </cell>
          <cell r="H5088">
            <v>10.7</v>
          </cell>
          <cell r="I5088">
            <v>795.86</v>
          </cell>
          <cell r="J5088">
            <v>0</v>
          </cell>
          <cell r="K5088">
            <v>0</v>
          </cell>
          <cell r="M5088">
            <v>0</v>
          </cell>
          <cell r="P5088">
            <v>796</v>
          </cell>
          <cell r="V5088" t="str">
            <v>Available</v>
          </cell>
        </row>
        <row r="5089">
          <cell r="E5089">
            <v>10530114</v>
          </cell>
          <cell r="H5089">
            <v>72.090000000000018</v>
          </cell>
          <cell r="I5089">
            <v>2850.91</v>
          </cell>
          <cell r="J5089">
            <v>0</v>
          </cell>
          <cell r="K5089">
            <v>0</v>
          </cell>
          <cell r="M5089">
            <v>0</v>
          </cell>
          <cell r="P5089">
            <v>2851</v>
          </cell>
          <cell r="V5089" t="str">
            <v>Available</v>
          </cell>
        </row>
        <row r="5090">
          <cell r="E5090">
            <v>10530114</v>
          </cell>
          <cell r="H5090">
            <v>41.879999999999995</v>
          </cell>
          <cell r="I5090">
            <v>1605.57</v>
          </cell>
          <cell r="J5090">
            <v>0</v>
          </cell>
          <cell r="K5090">
            <v>0</v>
          </cell>
          <cell r="M5090">
            <v>0</v>
          </cell>
          <cell r="P5090">
            <v>1606</v>
          </cell>
          <cell r="V5090" t="str">
            <v>Available</v>
          </cell>
        </row>
        <row r="5091">
          <cell r="E5091">
            <v>10530114</v>
          </cell>
          <cell r="H5091">
            <v>25.069999999999997</v>
          </cell>
          <cell r="I5091">
            <v>1001.65</v>
          </cell>
          <cell r="J5091">
            <v>0</v>
          </cell>
          <cell r="K5091">
            <v>0</v>
          </cell>
          <cell r="M5091">
            <v>0</v>
          </cell>
          <cell r="P5091">
            <v>1002</v>
          </cell>
          <cell r="V5091" t="str">
            <v>Available</v>
          </cell>
        </row>
        <row r="5092">
          <cell r="E5092">
            <v>10540003</v>
          </cell>
          <cell r="H5092">
            <v>116.8</v>
          </cell>
          <cell r="I5092">
            <v>4747.66</v>
          </cell>
          <cell r="J5092">
            <v>0</v>
          </cell>
          <cell r="K5092">
            <v>0</v>
          </cell>
          <cell r="M5092">
            <v>0</v>
          </cell>
          <cell r="P5092">
            <v>4748</v>
          </cell>
          <cell r="V5092" t="str">
            <v>Available</v>
          </cell>
        </row>
        <row r="5093">
          <cell r="E5093">
            <v>10540003</v>
          </cell>
          <cell r="H5093">
            <v>279</v>
          </cell>
          <cell r="I5093">
            <v>11374.46</v>
          </cell>
          <cell r="J5093">
            <v>0</v>
          </cell>
          <cell r="K5093">
            <v>0</v>
          </cell>
          <cell r="M5093">
            <v>0</v>
          </cell>
          <cell r="P5093">
            <v>11374</v>
          </cell>
          <cell r="V5093" t="str">
            <v>Not Available</v>
          </cell>
        </row>
        <row r="5094">
          <cell r="E5094">
            <v>10540003</v>
          </cell>
          <cell r="H5094">
            <v>235</v>
          </cell>
          <cell r="I5094">
            <v>9562.8900000000012</v>
          </cell>
          <cell r="J5094">
            <v>0</v>
          </cell>
          <cell r="K5094">
            <v>0</v>
          </cell>
          <cell r="M5094">
            <v>0</v>
          </cell>
          <cell r="P5094">
            <v>9563</v>
          </cell>
          <cell r="V5094" t="str">
            <v>Not Available</v>
          </cell>
        </row>
        <row r="5095">
          <cell r="E5095">
            <v>10540003</v>
          </cell>
          <cell r="H5095">
            <v>285</v>
          </cell>
          <cell r="I5095">
            <v>11543.98</v>
          </cell>
          <cell r="J5095">
            <v>0</v>
          </cell>
          <cell r="K5095">
            <v>0</v>
          </cell>
          <cell r="M5095">
            <v>0</v>
          </cell>
          <cell r="P5095">
            <v>11544</v>
          </cell>
          <cell r="V5095" t="str">
            <v>Not Available</v>
          </cell>
        </row>
        <row r="5096">
          <cell r="E5096">
            <v>10540003</v>
          </cell>
          <cell r="H5096">
            <v>285</v>
          </cell>
          <cell r="I5096">
            <v>11535.68</v>
          </cell>
          <cell r="J5096">
            <v>0</v>
          </cell>
          <cell r="K5096">
            <v>0</v>
          </cell>
          <cell r="M5096">
            <v>0</v>
          </cell>
          <cell r="P5096">
            <v>11536</v>
          </cell>
          <cell r="V5096" t="str">
            <v>Not Available</v>
          </cell>
        </row>
        <row r="5097">
          <cell r="E5097">
            <v>10540003</v>
          </cell>
          <cell r="H5097">
            <v>311</v>
          </cell>
          <cell r="I5097">
            <v>12645.310000000001</v>
          </cell>
          <cell r="J5097">
            <v>0</v>
          </cell>
          <cell r="K5097">
            <v>0</v>
          </cell>
          <cell r="M5097">
            <v>0</v>
          </cell>
          <cell r="P5097">
            <v>12645</v>
          </cell>
          <cell r="V5097" t="str">
            <v>Not Available</v>
          </cell>
        </row>
        <row r="5098">
          <cell r="E5098">
            <v>10540003</v>
          </cell>
          <cell r="H5098">
            <v>340</v>
          </cell>
          <cell r="I5098">
            <v>13879.189999999999</v>
          </cell>
          <cell r="J5098">
            <v>0</v>
          </cell>
          <cell r="K5098">
            <v>0</v>
          </cell>
          <cell r="M5098">
            <v>0</v>
          </cell>
          <cell r="P5098">
            <v>13879</v>
          </cell>
          <cell r="V5098" t="str">
            <v>Not Available</v>
          </cell>
        </row>
        <row r="5099">
          <cell r="E5099">
            <v>10540003</v>
          </cell>
          <cell r="H5099">
            <v>341</v>
          </cell>
          <cell r="I5099">
            <v>13851.98</v>
          </cell>
          <cell r="J5099">
            <v>0</v>
          </cell>
          <cell r="K5099">
            <v>0</v>
          </cell>
          <cell r="M5099">
            <v>0</v>
          </cell>
          <cell r="P5099">
            <v>13852</v>
          </cell>
          <cell r="V5099" t="str">
            <v>Not Available</v>
          </cell>
        </row>
        <row r="5100">
          <cell r="E5100">
            <v>10540003</v>
          </cell>
          <cell r="H5100">
            <v>292</v>
          </cell>
          <cell r="I5100">
            <v>11867</v>
          </cell>
          <cell r="J5100">
            <v>0</v>
          </cell>
          <cell r="K5100">
            <v>0</v>
          </cell>
          <cell r="M5100">
            <v>0</v>
          </cell>
          <cell r="P5100">
            <v>11867</v>
          </cell>
          <cell r="V5100" t="str">
            <v>Not Available</v>
          </cell>
        </row>
        <row r="5101">
          <cell r="E5101">
            <v>10540003</v>
          </cell>
          <cell r="H5101">
            <v>289</v>
          </cell>
          <cell r="I5101">
            <v>11732.169999999998</v>
          </cell>
          <cell r="J5101">
            <v>0</v>
          </cell>
          <cell r="K5101">
            <v>0</v>
          </cell>
          <cell r="M5101">
            <v>0</v>
          </cell>
          <cell r="P5101">
            <v>11732</v>
          </cell>
          <cell r="V5101" t="str">
            <v>Not Available</v>
          </cell>
        </row>
        <row r="5102">
          <cell r="E5102">
            <v>10540003</v>
          </cell>
          <cell r="H5102">
            <v>182</v>
          </cell>
          <cell r="I5102">
            <v>7486.43</v>
          </cell>
          <cell r="J5102">
            <v>0</v>
          </cell>
          <cell r="K5102">
            <v>0</v>
          </cell>
          <cell r="M5102">
            <v>0</v>
          </cell>
          <cell r="P5102">
            <v>7486</v>
          </cell>
          <cell r="V5102" t="str">
            <v>Not Available</v>
          </cell>
        </row>
        <row r="5103">
          <cell r="E5103">
            <v>10540003</v>
          </cell>
          <cell r="H5103">
            <v>70</v>
          </cell>
          <cell r="I5103">
            <v>2916.4</v>
          </cell>
          <cell r="J5103">
            <v>0</v>
          </cell>
          <cell r="K5103">
            <v>0</v>
          </cell>
          <cell r="M5103">
            <v>0</v>
          </cell>
          <cell r="P5103">
            <v>2916</v>
          </cell>
          <cell r="V5103" t="str">
            <v>Not Available</v>
          </cell>
        </row>
        <row r="5104">
          <cell r="E5104">
            <v>10540003</v>
          </cell>
          <cell r="H5104">
            <v>20</v>
          </cell>
          <cell r="I5104">
            <v>839.6</v>
          </cell>
          <cell r="J5104">
            <v>0</v>
          </cell>
          <cell r="K5104">
            <v>0</v>
          </cell>
          <cell r="M5104">
            <v>0</v>
          </cell>
          <cell r="P5104">
            <v>840</v>
          </cell>
          <cell r="V5104" t="str">
            <v>Not Available</v>
          </cell>
        </row>
        <row r="5105">
          <cell r="E5105">
            <v>10540003</v>
          </cell>
          <cell r="H5105">
            <v>15</v>
          </cell>
          <cell r="I5105">
            <v>629.70000000000005</v>
          </cell>
          <cell r="J5105">
            <v>0</v>
          </cell>
          <cell r="K5105">
            <v>0</v>
          </cell>
          <cell r="M5105">
            <v>0</v>
          </cell>
          <cell r="P5105">
            <v>630</v>
          </cell>
          <cell r="V5105" t="str">
            <v>Not Available</v>
          </cell>
        </row>
        <row r="5106">
          <cell r="E5106">
            <v>10540005</v>
          </cell>
          <cell r="H5106">
            <v>115</v>
          </cell>
          <cell r="I5106">
            <v>5163.5</v>
          </cell>
          <cell r="J5106">
            <v>0</v>
          </cell>
          <cell r="K5106">
            <v>0</v>
          </cell>
          <cell r="M5106">
            <v>0</v>
          </cell>
          <cell r="P5106">
            <v>72</v>
          </cell>
          <cell r="V5106" t="str">
            <v>Available</v>
          </cell>
        </row>
        <row r="5107">
          <cell r="E5107">
            <v>10540005</v>
          </cell>
          <cell r="H5107">
            <v>10.540000000000001</v>
          </cell>
          <cell r="I5107">
            <v>350.87000000000006</v>
          </cell>
          <cell r="J5107">
            <v>0</v>
          </cell>
          <cell r="K5107">
            <v>0</v>
          </cell>
          <cell r="M5107">
            <v>0</v>
          </cell>
          <cell r="P5107">
            <v>351</v>
          </cell>
          <cell r="V5107" t="str">
            <v>Available</v>
          </cell>
        </row>
        <row r="5108">
          <cell r="E5108">
            <v>10540005</v>
          </cell>
          <cell r="H5108">
            <v>39.710000000000008</v>
          </cell>
          <cell r="I5108">
            <v>1809.94</v>
          </cell>
          <cell r="J5108">
            <v>0</v>
          </cell>
          <cell r="K5108">
            <v>0</v>
          </cell>
          <cell r="M5108">
            <v>0</v>
          </cell>
          <cell r="P5108">
            <v>1810</v>
          </cell>
          <cell r="V5108" t="str">
            <v>Available</v>
          </cell>
        </row>
        <row r="5109">
          <cell r="E5109">
            <v>10540005</v>
          </cell>
          <cell r="H5109">
            <v>8.9199999999999982</v>
          </cell>
          <cell r="I5109">
            <v>384.48</v>
          </cell>
          <cell r="J5109">
            <v>0</v>
          </cell>
          <cell r="K5109">
            <v>0</v>
          </cell>
          <cell r="M5109">
            <v>0</v>
          </cell>
          <cell r="P5109">
            <v>384</v>
          </cell>
          <cell r="V5109" t="str">
            <v>Available</v>
          </cell>
        </row>
        <row r="5110">
          <cell r="E5110">
            <v>10540005</v>
          </cell>
          <cell r="H5110">
            <v>20.87</v>
          </cell>
          <cell r="I5110">
            <v>698.09</v>
          </cell>
          <cell r="J5110">
            <v>0</v>
          </cell>
          <cell r="K5110">
            <v>0</v>
          </cell>
          <cell r="M5110">
            <v>0</v>
          </cell>
          <cell r="P5110">
            <v>698</v>
          </cell>
          <cell r="V5110" t="str">
            <v>Available</v>
          </cell>
        </row>
        <row r="5111">
          <cell r="E5111">
            <v>10540005</v>
          </cell>
          <cell r="H5111">
            <v>27.43</v>
          </cell>
          <cell r="I5111">
            <v>1076.94</v>
          </cell>
          <cell r="J5111">
            <v>0</v>
          </cell>
          <cell r="K5111">
            <v>0</v>
          </cell>
          <cell r="M5111">
            <v>0</v>
          </cell>
          <cell r="P5111">
            <v>1077</v>
          </cell>
          <cell r="V5111" t="str">
            <v>Available</v>
          </cell>
        </row>
        <row r="5112">
          <cell r="E5112">
            <v>10540005</v>
          </cell>
          <cell r="H5112">
            <v>55.89</v>
          </cell>
          <cell r="I5112">
            <v>2499.46</v>
          </cell>
          <cell r="J5112">
            <v>0</v>
          </cell>
          <cell r="K5112">
            <v>0</v>
          </cell>
          <cell r="M5112">
            <v>0</v>
          </cell>
          <cell r="P5112">
            <v>2499</v>
          </cell>
          <cell r="V5112" t="str">
            <v>Available</v>
          </cell>
        </row>
        <row r="5113">
          <cell r="E5113">
            <v>10540005</v>
          </cell>
          <cell r="H5113">
            <v>19.440000000000001</v>
          </cell>
          <cell r="I5113">
            <v>829.62000000000012</v>
          </cell>
          <cell r="J5113">
            <v>0</v>
          </cell>
          <cell r="K5113">
            <v>0</v>
          </cell>
          <cell r="M5113">
            <v>0</v>
          </cell>
          <cell r="P5113">
            <v>830</v>
          </cell>
          <cell r="V5113" t="str">
            <v>Available</v>
          </cell>
        </row>
        <row r="5114">
          <cell r="E5114">
            <v>10540005</v>
          </cell>
          <cell r="H5114">
            <v>4.0600000000000005</v>
          </cell>
          <cell r="I5114">
            <v>165.78</v>
          </cell>
          <cell r="J5114">
            <v>0</v>
          </cell>
          <cell r="K5114">
            <v>0</v>
          </cell>
          <cell r="M5114">
            <v>0</v>
          </cell>
          <cell r="P5114">
            <v>166</v>
          </cell>
          <cell r="V5114" t="str">
            <v>Available</v>
          </cell>
        </row>
        <row r="5115">
          <cell r="E5115">
            <v>10540005</v>
          </cell>
          <cell r="H5115">
            <v>8.74</v>
          </cell>
          <cell r="I5115">
            <v>396.33</v>
          </cell>
          <cell r="J5115">
            <v>0</v>
          </cell>
          <cell r="K5115">
            <v>0</v>
          </cell>
          <cell r="M5115">
            <v>0</v>
          </cell>
          <cell r="P5115">
            <v>396</v>
          </cell>
          <cell r="V5115" t="str">
            <v>Available</v>
          </cell>
        </row>
        <row r="5116">
          <cell r="E5116">
            <v>10540005</v>
          </cell>
          <cell r="H5116">
            <v>15.4</v>
          </cell>
          <cell r="I5116">
            <v>789.80999999999983</v>
          </cell>
          <cell r="J5116">
            <v>0</v>
          </cell>
          <cell r="K5116">
            <v>0</v>
          </cell>
          <cell r="M5116">
            <v>0</v>
          </cell>
          <cell r="P5116">
            <v>790</v>
          </cell>
          <cell r="V5116" t="str">
            <v>Available</v>
          </cell>
        </row>
        <row r="5117">
          <cell r="E5117">
            <v>10540005</v>
          </cell>
          <cell r="H5117">
            <v>6.35</v>
          </cell>
          <cell r="I5117">
            <v>214.14</v>
          </cell>
          <cell r="J5117">
            <v>0</v>
          </cell>
          <cell r="K5117">
            <v>0</v>
          </cell>
          <cell r="M5117">
            <v>0</v>
          </cell>
          <cell r="P5117">
            <v>214</v>
          </cell>
          <cell r="V5117" t="str">
            <v>Available</v>
          </cell>
        </row>
        <row r="5118">
          <cell r="E5118">
            <v>10540005</v>
          </cell>
          <cell r="H5118">
            <v>39.400000000000006</v>
          </cell>
          <cell r="I5118">
            <v>1782.44</v>
          </cell>
          <cell r="J5118">
            <v>0</v>
          </cell>
          <cell r="K5118">
            <v>0</v>
          </cell>
          <cell r="M5118">
            <v>0</v>
          </cell>
          <cell r="P5118">
            <v>1782</v>
          </cell>
          <cell r="V5118" t="str">
            <v>Available</v>
          </cell>
        </row>
        <row r="5119">
          <cell r="E5119">
            <v>10540005</v>
          </cell>
          <cell r="H5119">
            <v>51.01</v>
          </cell>
          <cell r="I5119">
            <v>2195.8599999999997</v>
          </cell>
          <cell r="J5119">
            <v>0</v>
          </cell>
          <cell r="K5119">
            <v>0</v>
          </cell>
          <cell r="M5119">
            <v>0</v>
          </cell>
          <cell r="P5119">
            <v>2196</v>
          </cell>
          <cell r="V5119" t="str">
            <v>Available</v>
          </cell>
        </row>
        <row r="5120">
          <cell r="E5120">
            <v>10540005</v>
          </cell>
          <cell r="H5120">
            <v>10.73</v>
          </cell>
          <cell r="I5120">
            <v>470.31</v>
          </cell>
          <cell r="J5120">
            <v>0</v>
          </cell>
          <cell r="K5120">
            <v>0</v>
          </cell>
          <cell r="M5120">
            <v>0</v>
          </cell>
          <cell r="P5120">
            <v>470</v>
          </cell>
          <cell r="V5120" t="str">
            <v>Available</v>
          </cell>
        </row>
        <row r="5121">
          <cell r="E5121">
            <v>10540005</v>
          </cell>
          <cell r="H5121">
            <v>33.159999999999997</v>
          </cell>
          <cell r="I5121">
            <v>1700.3200000000002</v>
          </cell>
          <cell r="J5121">
            <v>0</v>
          </cell>
          <cell r="K5121">
            <v>0</v>
          </cell>
          <cell r="M5121">
            <v>0</v>
          </cell>
          <cell r="P5121">
            <v>1700</v>
          </cell>
          <cell r="V5121" t="str">
            <v>Available</v>
          </cell>
        </row>
        <row r="5122">
          <cell r="E5122">
            <v>10540005</v>
          </cell>
          <cell r="H5122">
            <v>5.49</v>
          </cell>
          <cell r="I5122">
            <v>270.99</v>
          </cell>
          <cell r="J5122">
            <v>0</v>
          </cell>
          <cell r="K5122">
            <v>0</v>
          </cell>
          <cell r="M5122">
            <v>0</v>
          </cell>
          <cell r="P5122">
            <v>271</v>
          </cell>
          <cell r="V5122" t="str">
            <v>Available</v>
          </cell>
        </row>
        <row r="5123">
          <cell r="E5123">
            <v>10540005</v>
          </cell>
          <cell r="H5123">
            <v>44.18</v>
          </cell>
          <cell r="I5123">
            <v>2067.31</v>
          </cell>
          <cell r="J5123">
            <v>0</v>
          </cell>
          <cell r="K5123">
            <v>0</v>
          </cell>
          <cell r="M5123">
            <v>0</v>
          </cell>
          <cell r="P5123">
            <v>2067</v>
          </cell>
          <cell r="V5123" t="str">
            <v>Available</v>
          </cell>
        </row>
        <row r="5124">
          <cell r="E5124">
            <v>10540007</v>
          </cell>
          <cell r="H5124">
            <v>14.950000000000001</v>
          </cell>
          <cell r="I5124">
            <v>832.18999999999994</v>
          </cell>
          <cell r="J5124">
            <v>0</v>
          </cell>
          <cell r="K5124">
            <v>832.18999999999994</v>
          </cell>
          <cell r="M5124">
            <v>0</v>
          </cell>
          <cell r="P5124">
            <v>0</v>
          </cell>
          <cell r="V5124" t="str">
            <v>Not Available</v>
          </cell>
        </row>
        <row r="5125">
          <cell r="E5125">
            <v>10540007</v>
          </cell>
          <cell r="H5125">
            <v>62.739999999999995</v>
          </cell>
          <cell r="I5125">
            <v>2752.4800000000005</v>
          </cell>
          <cell r="J5125">
            <v>0</v>
          </cell>
          <cell r="K5125">
            <v>0</v>
          </cell>
          <cell r="M5125">
            <v>0</v>
          </cell>
          <cell r="P5125">
            <v>2219</v>
          </cell>
          <cell r="V5125" t="str">
            <v>Available</v>
          </cell>
        </row>
        <row r="5126">
          <cell r="E5126">
            <v>10540007</v>
          </cell>
          <cell r="H5126">
            <v>362.19</v>
          </cell>
          <cell r="I5126">
            <v>16465.55</v>
          </cell>
          <cell r="J5126">
            <v>0</v>
          </cell>
          <cell r="K5126">
            <v>0</v>
          </cell>
          <cell r="M5126">
            <v>0</v>
          </cell>
          <cell r="P5126">
            <v>16466</v>
          </cell>
          <cell r="V5126" t="str">
            <v>Available</v>
          </cell>
        </row>
        <row r="5127">
          <cell r="E5127">
            <v>10540008</v>
          </cell>
          <cell r="H5127">
            <v>20.810000000000002</v>
          </cell>
          <cell r="I5127">
            <v>1017.84</v>
          </cell>
          <cell r="J5127">
            <v>0</v>
          </cell>
          <cell r="K5127">
            <v>0</v>
          </cell>
          <cell r="M5127">
            <v>1018</v>
          </cell>
          <cell r="P5127">
            <v>0</v>
          </cell>
          <cell r="V5127" t="str">
            <v>Available</v>
          </cell>
        </row>
        <row r="5128">
          <cell r="E5128">
            <v>10540008</v>
          </cell>
          <cell r="H5128">
            <v>3.6399999999999997</v>
          </cell>
          <cell r="I5128">
            <v>151.63</v>
          </cell>
          <cell r="J5128">
            <v>0</v>
          </cell>
          <cell r="K5128">
            <v>0</v>
          </cell>
          <cell r="M5128">
            <v>0</v>
          </cell>
          <cell r="P5128">
            <v>152</v>
          </cell>
          <cell r="V5128" t="str">
            <v>Available</v>
          </cell>
        </row>
        <row r="5129">
          <cell r="E5129">
            <v>10540008</v>
          </cell>
          <cell r="H5129">
            <v>9.0599999999999987</v>
          </cell>
          <cell r="I5129">
            <v>338.56</v>
          </cell>
          <cell r="J5129">
            <v>0</v>
          </cell>
          <cell r="K5129">
            <v>0</v>
          </cell>
          <cell r="M5129">
            <v>0</v>
          </cell>
          <cell r="P5129">
            <v>339</v>
          </cell>
          <cell r="V5129" t="str">
            <v>Available</v>
          </cell>
        </row>
        <row r="5130">
          <cell r="E5130">
            <v>10540008</v>
          </cell>
          <cell r="H5130">
            <v>5.92</v>
          </cell>
          <cell r="I5130">
            <v>229.65000000000003</v>
          </cell>
          <cell r="J5130">
            <v>0</v>
          </cell>
          <cell r="K5130">
            <v>0</v>
          </cell>
          <cell r="M5130">
            <v>0</v>
          </cell>
          <cell r="P5130">
            <v>230</v>
          </cell>
          <cell r="V5130" t="str">
            <v>Available</v>
          </cell>
        </row>
        <row r="5131">
          <cell r="E5131">
            <v>10540008</v>
          </cell>
          <cell r="H5131">
            <v>32.479999999999997</v>
          </cell>
          <cell r="I5131">
            <v>1537.4099999999999</v>
          </cell>
          <cell r="J5131">
            <v>0</v>
          </cell>
          <cell r="K5131">
            <v>0</v>
          </cell>
          <cell r="M5131">
            <v>271</v>
          </cell>
          <cell r="P5131">
            <v>1266</v>
          </cell>
          <cell r="V5131" t="str">
            <v>Available</v>
          </cell>
        </row>
        <row r="5132">
          <cell r="E5132">
            <v>10540008</v>
          </cell>
          <cell r="H5132">
            <v>13.699999999999998</v>
          </cell>
          <cell r="I5132">
            <v>686.49</v>
          </cell>
          <cell r="J5132">
            <v>0</v>
          </cell>
          <cell r="K5132">
            <v>0</v>
          </cell>
          <cell r="M5132">
            <v>0</v>
          </cell>
          <cell r="P5132">
            <v>686</v>
          </cell>
          <cell r="V5132" t="str">
            <v>Available</v>
          </cell>
        </row>
        <row r="5133">
          <cell r="E5133">
            <v>10540008</v>
          </cell>
          <cell r="H5133">
            <v>12.28</v>
          </cell>
          <cell r="I5133">
            <v>1050.32</v>
          </cell>
          <cell r="J5133">
            <v>0</v>
          </cell>
          <cell r="K5133">
            <v>0</v>
          </cell>
          <cell r="M5133">
            <v>0</v>
          </cell>
          <cell r="P5133">
            <v>550</v>
          </cell>
          <cell r="V5133" t="str">
            <v>Available</v>
          </cell>
        </row>
        <row r="5134">
          <cell r="E5134">
            <v>10540008</v>
          </cell>
          <cell r="H5134">
            <v>21.360000000000003</v>
          </cell>
          <cell r="I5134">
            <v>802.14</v>
          </cell>
          <cell r="J5134">
            <v>0</v>
          </cell>
          <cell r="K5134">
            <v>0</v>
          </cell>
          <cell r="M5134">
            <v>0</v>
          </cell>
          <cell r="P5134">
            <v>802</v>
          </cell>
          <cell r="V5134" t="str">
            <v>Available</v>
          </cell>
        </row>
        <row r="5135">
          <cell r="E5135">
            <v>10540009</v>
          </cell>
          <cell r="H5135">
            <v>79.920000000000016</v>
          </cell>
          <cell r="I5135">
            <v>3783.3599999999997</v>
          </cell>
          <cell r="J5135">
            <v>0</v>
          </cell>
          <cell r="K5135">
            <v>0</v>
          </cell>
          <cell r="M5135">
            <v>0</v>
          </cell>
          <cell r="P5135">
            <v>1769</v>
          </cell>
          <cell r="V5135" t="str">
            <v>Available</v>
          </cell>
        </row>
        <row r="5136">
          <cell r="E5136">
            <v>10540009</v>
          </cell>
          <cell r="H5136">
            <v>97.139999999999986</v>
          </cell>
          <cell r="I5136">
            <v>4724.29</v>
          </cell>
          <cell r="J5136">
            <v>0</v>
          </cell>
          <cell r="K5136">
            <v>0</v>
          </cell>
          <cell r="M5136">
            <v>0</v>
          </cell>
          <cell r="P5136">
            <v>4724</v>
          </cell>
          <cell r="V5136" t="str">
            <v>Available</v>
          </cell>
        </row>
        <row r="5137">
          <cell r="E5137">
            <v>10540009</v>
          </cell>
          <cell r="H5137">
            <v>31.08</v>
          </cell>
          <cell r="I5137">
            <v>1596.39</v>
          </cell>
          <cell r="J5137">
            <v>0</v>
          </cell>
          <cell r="K5137">
            <v>0</v>
          </cell>
          <cell r="M5137">
            <v>0</v>
          </cell>
          <cell r="P5137">
            <v>1596</v>
          </cell>
          <cell r="V5137" t="str">
            <v>Available</v>
          </cell>
        </row>
        <row r="5138">
          <cell r="E5138">
            <v>10540009</v>
          </cell>
          <cell r="H5138">
            <v>3.8500000000000005</v>
          </cell>
          <cell r="I5138">
            <v>207.36</v>
          </cell>
          <cell r="J5138">
            <v>0</v>
          </cell>
          <cell r="K5138">
            <v>0</v>
          </cell>
          <cell r="M5138">
            <v>0</v>
          </cell>
          <cell r="P5138">
            <v>207</v>
          </cell>
          <cell r="V5138" t="str">
            <v>Available</v>
          </cell>
        </row>
        <row r="5139">
          <cell r="E5139">
            <v>10540009</v>
          </cell>
          <cell r="H5139">
            <v>24.33</v>
          </cell>
          <cell r="I5139">
            <v>1177.2400000000002</v>
          </cell>
          <cell r="J5139">
            <v>0</v>
          </cell>
          <cell r="K5139">
            <v>0</v>
          </cell>
          <cell r="M5139">
            <v>0</v>
          </cell>
          <cell r="P5139">
            <v>1177</v>
          </cell>
          <cell r="V5139" t="str">
            <v>Available</v>
          </cell>
        </row>
        <row r="5140">
          <cell r="E5140">
            <v>10540009</v>
          </cell>
          <cell r="H5140">
            <v>23.39</v>
          </cell>
          <cell r="I5140">
            <v>962.90999999999985</v>
          </cell>
          <cell r="J5140">
            <v>0</v>
          </cell>
          <cell r="K5140">
            <v>0</v>
          </cell>
          <cell r="M5140">
            <v>0</v>
          </cell>
          <cell r="P5140">
            <v>963</v>
          </cell>
          <cell r="V5140" t="str">
            <v>Available</v>
          </cell>
        </row>
        <row r="5141">
          <cell r="E5141">
            <v>10540009</v>
          </cell>
          <cell r="H5141">
            <v>8.75</v>
          </cell>
          <cell r="I5141">
            <v>419.05999999999995</v>
          </cell>
          <cell r="J5141">
            <v>0</v>
          </cell>
          <cell r="K5141">
            <v>0</v>
          </cell>
          <cell r="M5141">
            <v>0</v>
          </cell>
          <cell r="P5141">
            <v>419</v>
          </cell>
          <cell r="V5141" t="str">
            <v>Available</v>
          </cell>
        </row>
        <row r="5142">
          <cell r="E5142">
            <v>10540009</v>
          </cell>
          <cell r="H5142">
            <v>147.16000000000003</v>
          </cell>
          <cell r="I5142">
            <v>6790.0899999999983</v>
          </cell>
          <cell r="J5142">
            <v>0</v>
          </cell>
          <cell r="K5142">
            <v>0</v>
          </cell>
          <cell r="M5142">
            <v>0</v>
          </cell>
          <cell r="P5142">
            <v>6790</v>
          </cell>
          <cell r="V5142" t="str">
            <v>Available</v>
          </cell>
        </row>
        <row r="5143">
          <cell r="E5143">
            <v>10540009</v>
          </cell>
          <cell r="H5143">
            <v>17.520000000000003</v>
          </cell>
          <cell r="I5143">
            <v>639.8599999999999</v>
          </cell>
          <cell r="J5143">
            <v>0</v>
          </cell>
          <cell r="K5143">
            <v>0</v>
          </cell>
          <cell r="M5143">
            <v>0</v>
          </cell>
          <cell r="P5143">
            <v>640</v>
          </cell>
          <cell r="V5143" t="str">
            <v>Available</v>
          </cell>
        </row>
        <row r="5144">
          <cell r="E5144">
            <v>10540009</v>
          </cell>
          <cell r="H5144">
            <v>25.970000000000002</v>
          </cell>
          <cell r="I5144">
            <v>1325.7799999999997</v>
          </cell>
          <cell r="J5144">
            <v>0</v>
          </cell>
          <cell r="K5144">
            <v>0</v>
          </cell>
          <cell r="M5144">
            <v>0</v>
          </cell>
          <cell r="P5144">
            <v>1326</v>
          </cell>
          <cell r="V5144" t="str">
            <v>Available</v>
          </cell>
        </row>
        <row r="5145">
          <cell r="E5145">
            <v>10540009</v>
          </cell>
          <cell r="H5145">
            <v>36.590000000000003</v>
          </cell>
          <cell r="I5145">
            <v>2172.3000000000002</v>
          </cell>
          <cell r="J5145">
            <v>0</v>
          </cell>
          <cell r="K5145">
            <v>0</v>
          </cell>
          <cell r="M5145">
            <v>0</v>
          </cell>
          <cell r="P5145">
            <v>2172</v>
          </cell>
          <cell r="V5145" t="str">
            <v>Available</v>
          </cell>
        </row>
        <row r="5146">
          <cell r="E5146">
            <v>10540009</v>
          </cell>
          <cell r="H5146">
            <v>8.8699999999999992</v>
          </cell>
          <cell r="I5146">
            <v>421.31</v>
          </cell>
          <cell r="J5146">
            <v>0</v>
          </cell>
          <cell r="K5146">
            <v>0</v>
          </cell>
          <cell r="M5146">
            <v>0</v>
          </cell>
          <cell r="P5146">
            <v>421</v>
          </cell>
          <cell r="V5146" t="str">
            <v>Available</v>
          </cell>
        </row>
        <row r="5147">
          <cell r="E5147">
            <v>10540009</v>
          </cell>
          <cell r="H5147">
            <v>2.3200000000000003</v>
          </cell>
          <cell r="I5147">
            <v>142.52000000000001</v>
          </cell>
          <cell r="J5147">
            <v>0</v>
          </cell>
          <cell r="K5147">
            <v>0</v>
          </cell>
          <cell r="M5147">
            <v>0</v>
          </cell>
          <cell r="P5147">
            <v>143</v>
          </cell>
          <cell r="V5147" t="str">
            <v>Available</v>
          </cell>
        </row>
        <row r="5148">
          <cell r="E5148">
            <v>10540009</v>
          </cell>
          <cell r="H5148">
            <v>46.919999999999995</v>
          </cell>
          <cell r="I5148">
            <v>1835.3800000000003</v>
          </cell>
          <cell r="J5148">
            <v>0</v>
          </cell>
          <cell r="K5148">
            <v>0</v>
          </cell>
          <cell r="M5148">
            <v>0</v>
          </cell>
          <cell r="P5148">
            <v>1835</v>
          </cell>
          <cell r="V5148" t="str">
            <v>Available</v>
          </cell>
        </row>
        <row r="5149">
          <cell r="E5149">
            <v>10540009</v>
          </cell>
          <cell r="H5149">
            <v>26.42</v>
          </cell>
          <cell r="I5149">
            <v>1181.1600000000001</v>
          </cell>
          <cell r="J5149">
            <v>0</v>
          </cell>
          <cell r="K5149">
            <v>0</v>
          </cell>
          <cell r="M5149">
            <v>0</v>
          </cell>
          <cell r="P5149">
            <v>1181</v>
          </cell>
          <cell r="V5149" t="str">
            <v>Available</v>
          </cell>
        </row>
        <row r="5150">
          <cell r="E5150">
            <v>10540009</v>
          </cell>
          <cell r="H5150">
            <v>5.6899999999999995</v>
          </cell>
          <cell r="I5150">
            <v>320.97000000000003</v>
          </cell>
          <cell r="J5150">
            <v>0</v>
          </cell>
          <cell r="K5150">
            <v>0</v>
          </cell>
          <cell r="M5150">
            <v>0</v>
          </cell>
          <cell r="P5150">
            <v>321</v>
          </cell>
          <cell r="V5150" t="str">
            <v>Available</v>
          </cell>
        </row>
        <row r="5151">
          <cell r="E5151">
            <v>10540009</v>
          </cell>
          <cell r="H5151">
            <v>145.71</v>
          </cell>
          <cell r="I5151">
            <v>5817.4600000000009</v>
          </cell>
          <cell r="J5151">
            <v>0</v>
          </cell>
          <cell r="K5151">
            <v>0</v>
          </cell>
          <cell r="M5151">
            <v>0</v>
          </cell>
          <cell r="P5151">
            <v>5817</v>
          </cell>
          <cell r="V5151" t="str">
            <v>Available</v>
          </cell>
        </row>
        <row r="5152">
          <cell r="E5152">
            <v>10540009</v>
          </cell>
          <cell r="H5152">
            <v>5.75</v>
          </cell>
          <cell r="I5152">
            <v>296.78000000000003</v>
          </cell>
          <cell r="J5152">
            <v>0</v>
          </cell>
          <cell r="K5152">
            <v>0</v>
          </cell>
          <cell r="M5152">
            <v>0</v>
          </cell>
          <cell r="P5152">
            <v>297</v>
          </cell>
          <cell r="V5152" t="str">
            <v>Available</v>
          </cell>
        </row>
        <row r="5153">
          <cell r="E5153">
            <v>10540009</v>
          </cell>
          <cell r="H5153">
            <v>56.48</v>
          </cell>
          <cell r="I5153">
            <v>2222.81</v>
          </cell>
          <cell r="J5153">
            <v>0</v>
          </cell>
          <cell r="K5153">
            <v>0</v>
          </cell>
          <cell r="M5153">
            <v>0</v>
          </cell>
          <cell r="P5153">
            <v>2223</v>
          </cell>
          <cell r="V5153" t="str">
            <v>Available</v>
          </cell>
        </row>
        <row r="5154">
          <cell r="E5154">
            <v>10540009</v>
          </cell>
          <cell r="H5154">
            <v>14.19</v>
          </cell>
          <cell r="I5154">
            <v>627.9</v>
          </cell>
          <cell r="J5154">
            <v>0</v>
          </cell>
          <cell r="K5154">
            <v>0</v>
          </cell>
          <cell r="M5154">
            <v>0</v>
          </cell>
          <cell r="P5154">
            <v>628</v>
          </cell>
          <cell r="V5154" t="str">
            <v>Available</v>
          </cell>
        </row>
        <row r="5155">
          <cell r="E5155">
            <v>10540009</v>
          </cell>
          <cell r="H5155">
            <v>7.8900000000000006</v>
          </cell>
          <cell r="I5155">
            <v>368.41</v>
          </cell>
          <cell r="J5155">
            <v>0</v>
          </cell>
          <cell r="K5155">
            <v>0</v>
          </cell>
          <cell r="M5155">
            <v>0</v>
          </cell>
          <cell r="P5155">
            <v>368</v>
          </cell>
          <cell r="V5155" t="str">
            <v>Available</v>
          </cell>
        </row>
        <row r="5156">
          <cell r="E5156">
            <v>10540009</v>
          </cell>
          <cell r="H5156">
            <v>14.65</v>
          </cell>
          <cell r="I5156">
            <v>703.84</v>
          </cell>
          <cell r="J5156">
            <v>0</v>
          </cell>
          <cell r="K5156">
            <v>0</v>
          </cell>
          <cell r="M5156">
            <v>0</v>
          </cell>
          <cell r="P5156">
            <v>704</v>
          </cell>
          <cell r="V5156" t="str">
            <v>Available</v>
          </cell>
        </row>
        <row r="5157">
          <cell r="E5157">
            <v>10540009</v>
          </cell>
          <cell r="H5157">
            <v>60.999999999999993</v>
          </cell>
          <cell r="I5157">
            <v>3810.6399999999994</v>
          </cell>
          <cell r="J5157">
            <v>0</v>
          </cell>
          <cell r="K5157">
            <v>0</v>
          </cell>
          <cell r="M5157">
            <v>0</v>
          </cell>
          <cell r="P5157">
            <v>3811</v>
          </cell>
          <cell r="V5157" t="str">
            <v>Available</v>
          </cell>
        </row>
        <row r="5158">
          <cell r="E5158">
            <v>10540009</v>
          </cell>
          <cell r="H5158">
            <v>28.730000000000004</v>
          </cell>
          <cell r="I5158">
            <v>1217.04</v>
          </cell>
          <cell r="J5158">
            <v>0</v>
          </cell>
          <cell r="K5158">
            <v>0</v>
          </cell>
          <cell r="M5158">
            <v>0</v>
          </cell>
          <cell r="P5158">
            <v>1217</v>
          </cell>
          <cell r="V5158" t="str">
            <v>Available</v>
          </cell>
        </row>
        <row r="5159">
          <cell r="E5159">
            <v>10540009</v>
          </cell>
          <cell r="H5159">
            <v>24.22</v>
          </cell>
          <cell r="I5159">
            <v>1580.8300000000002</v>
          </cell>
          <cell r="J5159">
            <v>0</v>
          </cell>
          <cell r="K5159">
            <v>0</v>
          </cell>
          <cell r="M5159">
            <v>0</v>
          </cell>
          <cell r="P5159">
            <v>1581</v>
          </cell>
          <cell r="V5159" t="str">
            <v>Available</v>
          </cell>
        </row>
        <row r="5160">
          <cell r="E5160">
            <v>10540009</v>
          </cell>
          <cell r="H5160">
            <v>12.83</v>
          </cell>
          <cell r="I5160">
            <v>802.55000000000007</v>
          </cell>
          <cell r="J5160">
            <v>0</v>
          </cell>
          <cell r="K5160">
            <v>0</v>
          </cell>
          <cell r="M5160">
            <v>0</v>
          </cell>
          <cell r="P5160">
            <v>803</v>
          </cell>
          <cell r="V5160" t="str">
            <v>Available</v>
          </cell>
        </row>
        <row r="5161">
          <cell r="E5161">
            <v>10540009</v>
          </cell>
          <cell r="H5161">
            <v>16.93</v>
          </cell>
          <cell r="I5161">
            <v>708.89</v>
          </cell>
          <cell r="J5161">
            <v>0</v>
          </cell>
          <cell r="K5161">
            <v>0</v>
          </cell>
          <cell r="M5161">
            <v>0</v>
          </cell>
          <cell r="P5161">
            <v>709</v>
          </cell>
          <cell r="V5161" t="str">
            <v>Available</v>
          </cell>
        </row>
        <row r="5162">
          <cell r="E5162">
            <v>10540009</v>
          </cell>
          <cell r="H5162">
            <v>15.6</v>
          </cell>
          <cell r="I5162">
            <v>735.18999999999994</v>
          </cell>
          <cell r="J5162">
            <v>0</v>
          </cell>
          <cell r="K5162">
            <v>0</v>
          </cell>
          <cell r="M5162">
            <v>0</v>
          </cell>
          <cell r="P5162">
            <v>735</v>
          </cell>
          <cell r="V5162" t="str">
            <v>Available</v>
          </cell>
        </row>
        <row r="5163">
          <cell r="E5163">
            <v>10540009</v>
          </cell>
          <cell r="H5163">
            <v>50.820000000000007</v>
          </cell>
          <cell r="I5163">
            <v>1938.6499999999999</v>
          </cell>
          <cell r="J5163">
            <v>0</v>
          </cell>
          <cell r="K5163">
            <v>0</v>
          </cell>
          <cell r="M5163">
            <v>0</v>
          </cell>
          <cell r="P5163">
            <v>1939</v>
          </cell>
          <cell r="V5163" t="str">
            <v>Available</v>
          </cell>
        </row>
        <row r="5164">
          <cell r="E5164">
            <v>10540009</v>
          </cell>
          <cell r="H5164">
            <v>41.319999999999993</v>
          </cell>
          <cell r="I5164">
            <v>1639.1799999999998</v>
          </cell>
          <cell r="J5164">
            <v>0</v>
          </cell>
          <cell r="K5164">
            <v>0</v>
          </cell>
          <cell r="M5164">
            <v>0</v>
          </cell>
          <cell r="P5164">
            <v>1639</v>
          </cell>
          <cell r="V5164" t="str">
            <v>Available</v>
          </cell>
        </row>
        <row r="5165">
          <cell r="E5165">
            <v>10540009</v>
          </cell>
          <cell r="H5165">
            <v>19.22</v>
          </cell>
          <cell r="I5165">
            <v>766.66000000000008</v>
          </cell>
          <cell r="J5165">
            <v>0</v>
          </cell>
          <cell r="K5165">
            <v>0</v>
          </cell>
          <cell r="M5165">
            <v>0</v>
          </cell>
          <cell r="P5165">
            <v>767</v>
          </cell>
          <cell r="V5165" t="str">
            <v>Available</v>
          </cell>
        </row>
        <row r="5166">
          <cell r="E5166">
            <v>10540016</v>
          </cell>
          <cell r="H5166">
            <v>1.2800000000000002</v>
          </cell>
          <cell r="I5166">
            <v>55.28</v>
          </cell>
          <cell r="J5166">
            <v>0</v>
          </cell>
          <cell r="K5166">
            <v>55.28</v>
          </cell>
          <cell r="M5166">
            <v>0</v>
          </cell>
          <cell r="P5166">
            <v>0</v>
          </cell>
          <cell r="V5166" t="str">
            <v>Not Available</v>
          </cell>
        </row>
        <row r="5167">
          <cell r="E5167">
            <v>10540016</v>
          </cell>
          <cell r="H5167">
            <v>75.740000000000009</v>
          </cell>
          <cell r="I5167">
            <v>3775.6099999999997</v>
          </cell>
          <cell r="J5167">
            <v>0</v>
          </cell>
          <cell r="K5167">
            <v>0</v>
          </cell>
          <cell r="M5167">
            <v>0</v>
          </cell>
          <cell r="P5167">
            <v>1443</v>
          </cell>
          <cell r="V5167" t="str">
            <v>Available</v>
          </cell>
        </row>
        <row r="5168">
          <cell r="E5168">
            <v>10540016</v>
          </cell>
          <cell r="H5168">
            <v>64.08</v>
          </cell>
          <cell r="I5168">
            <v>3923.1099999999997</v>
          </cell>
          <cell r="J5168">
            <v>0</v>
          </cell>
          <cell r="K5168">
            <v>0</v>
          </cell>
          <cell r="M5168">
            <v>0</v>
          </cell>
          <cell r="P5168">
            <v>3923</v>
          </cell>
          <cell r="V5168" t="str">
            <v>Available</v>
          </cell>
        </row>
        <row r="5169">
          <cell r="E5169">
            <v>10540016</v>
          </cell>
          <cell r="H5169">
            <v>104.23999999999998</v>
          </cell>
          <cell r="I5169">
            <v>5131.42</v>
          </cell>
          <cell r="J5169">
            <v>0</v>
          </cell>
          <cell r="K5169">
            <v>0</v>
          </cell>
          <cell r="M5169">
            <v>0</v>
          </cell>
          <cell r="P5169">
            <v>5131</v>
          </cell>
          <cell r="V5169" t="str">
            <v>Available</v>
          </cell>
        </row>
        <row r="5170">
          <cell r="E5170">
            <v>10540016</v>
          </cell>
          <cell r="H5170">
            <v>55.6</v>
          </cell>
          <cell r="I5170">
            <v>3132.7600000000007</v>
          </cell>
          <cell r="J5170">
            <v>0</v>
          </cell>
          <cell r="K5170">
            <v>0</v>
          </cell>
          <cell r="M5170">
            <v>0</v>
          </cell>
          <cell r="P5170">
            <v>3133</v>
          </cell>
          <cell r="V5170" t="str">
            <v>Available</v>
          </cell>
        </row>
        <row r="5171">
          <cell r="E5171">
            <v>10540016</v>
          </cell>
          <cell r="H5171">
            <v>28.14</v>
          </cell>
          <cell r="I5171">
            <v>1150.51</v>
          </cell>
          <cell r="J5171">
            <v>0</v>
          </cell>
          <cell r="K5171">
            <v>0</v>
          </cell>
          <cell r="M5171">
            <v>0</v>
          </cell>
          <cell r="P5171">
            <v>1151</v>
          </cell>
          <cell r="V5171" t="str">
            <v>Available</v>
          </cell>
        </row>
        <row r="5172">
          <cell r="E5172">
            <v>10540016</v>
          </cell>
          <cell r="H5172">
            <v>46.52</v>
          </cell>
          <cell r="I5172">
            <v>2359.5699999999997</v>
          </cell>
          <cell r="J5172">
            <v>0</v>
          </cell>
          <cell r="K5172">
            <v>0</v>
          </cell>
          <cell r="M5172">
            <v>0</v>
          </cell>
          <cell r="P5172">
            <v>2360</v>
          </cell>
          <cell r="V5172" t="str">
            <v>Available</v>
          </cell>
        </row>
        <row r="5173">
          <cell r="E5173">
            <v>10540016</v>
          </cell>
          <cell r="H5173">
            <v>52.699999999999996</v>
          </cell>
          <cell r="I5173">
            <v>2478.7999999999997</v>
          </cell>
          <cell r="J5173">
            <v>0</v>
          </cell>
          <cell r="K5173">
            <v>0</v>
          </cell>
          <cell r="M5173">
            <v>0</v>
          </cell>
          <cell r="P5173">
            <v>2479</v>
          </cell>
          <cell r="V5173" t="str">
            <v>Not Available</v>
          </cell>
        </row>
        <row r="5174">
          <cell r="E5174">
            <v>10540016</v>
          </cell>
          <cell r="H5174">
            <v>17.399999999999999</v>
          </cell>
          <cell r="I5174">
            <v>1123.42</v>
          </cell>
          <cell r="J5174">
            <v>0</v>
          </cell>
          <cell r="K5174">
            <v>0</v>
          </cell>
          <cell r="M5174">
            <v>0</v>
          </cell>
          <cell r="P5174">
            <v>1123</v>
          </cell>
          <cell r="V5174" t="str">
            <v>Not Available</v>
          </cell>
        </row>
        <row r="5175">
          <cell r="E5175">
            <v>10540016</v>
          </cell>
          <cell r="H5175">
            <v>66.680000000000007</v>
          </cell>
          <cell r="I5175">
            <v>3307.0800000000004</v>
          </cell>
          <cell r="J5175">
            <v>0</v>
          </cell>
          <cell r="K5175">
            <v>0</v>
          </cell>
          <cell r="M5175">
            <v>0</v>
          </cell>
          <cell r="P5175">
            <v>3307</v>
          </cell>
          <cell r="V5175" t="str">
            <v>Available</v>
          </cell>
        </row>
        <row r="5176">
          <cell r="E5176">
            <v>10540016</v>
          </cell>
          <cell r="H5176">
            <v>11.860000000000001</v>
          </cell>
          <cell r="I5176">
            <v>649.57999999999993</v>
          </cell>
          <cell r="J5176">
            <v>0</v>
          </cell>
          <cell r="K5176">
            <v>0</v>
          </cell>
          <cell r="M5176">
            <v>0</v>
          </cell>
          <cell r="P5176">
            <v>650</v>
          </cell>
          <cell r="V5176" t="str">
            <v>Available</v>
          </cell>
        </row>
        <row r="5177">
          <cell r="E5177">
            <v>10540016</v>
          </cell>
          <cell r="H5177">
            <v>20.419999999999998</v>
          </cell>
          <cell r="I5177">
            <v>1317.44</v>
          </cell>
          <cell r="J5177">
            <v>0</v>
          </cell>
          <cell r="K5177">
            <v>0</v>
          </cell>
          <cell r="M5177">
            <v>0</v>
          </cell>
          <cell r="P5177">
            <v>1317</v>
          </cell>
          <cell r="V5177" t="str">
            <v>Not Available</v>
          </cell>
        </row>
        <row r="5178">
          <cell r="E5178">
            <v>10540016</v>
          </cell>
          <cell r="H5178">
            <v>34.700000000000003</v>
          </cell>
          <cell r="I5178">
            <v>1651.6499999999999</v>
          </cell>
          <cell r="J5178">
            <v>0</v>
          </cell>
          <cell r="K5178">
            <v>0</v>
          </cell>
          <cell r="M5178">
            <v>0</v>
          </cell>
          <cell r="P5178">
            <v>1652</v>
          </cell>
          <cell r="V5178" t="str">
            <v>Not Available</v>
          </cell>
        </row>
        <row r="5179">
          <cell r="E5179">
            <v>10540016</v>
          </cell>
          <cell r="H5179">
            <v>3.8</v>
          </cell>
          <cell r="I5179">
            <v>204.06</v>
          </cell>
          <cell r="J5179">
            <v>0</v>
          </cell>
          <cell r="K5179">
            <v>0</v>
          </cell>
          <cell r="M5179">
            <v>0</v>
          </cell>
          <cell r="P5179">
            <v>204</v>
          </cell>
          <cell r="V5179" t="str">
            <v>Not Available</v>
          </cell>
        </row>
        <row r="5180">
          <cell r="E5180">
            <v>10540016</v>
          </cell>
          <cell r="H5180">
            <v>2.02</v>
          </cell>
          <cell r="I5180">
            <v>95.18</v>
          </cell>
          <cell r="J5180">
            <v>0</v>
          </cell>
          <cell r="K5180">
            <v>0</v>
          </cell>
          <cell r="M5180">
            <v>0</v>
          </cell>
          <cell r="P5180">
            <v>95</v>
          </cell>
          <cell r="V5180" t="str">
            <v>Not Available</v>
          </cell>
        </row>
        <row r="5181">
          <cell r="E5181">
            <v>10540016</v>
          </cell>
          <cell r="H5181">
            <v>3.52</v>
          </cell>
          <cell r="I5181">
            <v>158.22</v>
          </cell>
          <cell r="J5181">
            <v>0</v>
          </cell>
          <cell r="K5181">
            <v>0</v>
          </cell>
          <cell r="M5181">
            <v>0</v>
          </cell>
          <cell r="P5181">
            <v>158</v>
          </cell>
          <cell r="V5181" t="str">
            <v>Not Available</v>
          </cell>
        </row>
        <row r="5182">
          <cell r="E5182">
            <v>10540017</v>
          </cell>
          <cell r="H5182">
            <v>811.2</v>
          </cell>
          <cell r="I5182">
            <v>32699.47</v>
          </cell>
          <cell r="J5182">
            <v>0</v>
          </cell>
          <cell r="K5182">
            <v>0</v>
          </cell>
          <cell r="M5182">
            <v>0</v>
          </cell>
          <cell r="P5182">
            <v>32699</v>
          </cell>
          <cell r="V5182" t="str">
            <v>Available</v>
          </cell>
        </row>
        <row r="5183">
          <cell r="E5183">
            <v>10540018</v>
          </cell>
          <cell r="H5183">
            <v>192.78</v>
          </cell>
          <cell r="I5183">
            <v>8108.76</v>
          </cell>
          <cell r="J5183">
            <v>0</v>
          </cell>
          <cell r="K5183">
            <v>0</v>
          </cell>
          <cell r="M5183">
            <v>0</v>
          </cell>
          <cell r="P5183">
            <v>7527</v>
          </cell>
          <cell r="V5183" t="str">
            <v>Available</v>
          </cell>
        </row>
        <row r="5184">
          <cell r="E5184">
            <v>10540018</v>
          </cell>
          <cell r="H5184">
            <v>40.120000000000005</v>
          </cell>
          <cell r="I5184">
            <v>1495.6599999999996</v>
          </cell>
          <cell r="J5184">
            <v>0</v>
          </cell>
          <cell r="K5184">
            <v>0</v>
          </cell>
          <cell r="M5184">
            <v>0</v>
          </cell>
          <cell r="P5184">
            <v>1496</v>
          </cell>
          <cell r="V5184" t="str">
            <v>Available</v>
          </cell>
        </row>
        <row r="5185">
          <cell r="E5185">
            <v>10540018</v>
          </cell>
          <cell r="H5185">
            <v>15.81</v>
          </cell>
          <cell r="I5185">
            <v>877.14999999999986</v>
          </cell>
          <cell r="J5185">
            <v>0</v>
          </cell>
          <cell r="K5185">
            <v>0</v>
          </cell>
          <cell r="M5185">
            <v>0</v>
          </cell>
          <cell r="P5185">
            <v>877</v>
          </cell>
          <cell r="V5185" t="str">
            <v>Available</v>
          </cell>
        </row>
        <row r="5186">
          <cell r="E5186">
            <v>10540018</v>
          </cell>
          <cell r="H5186">
            <v>25.14</v>
          </cell>
          <cell r="I5186">
            <v>1224.1500000000001</v>
          </cell>
          <cell r="J5186">
            <v>0</v>
          </cell>
          <cell r="K5186">
            <v>0</v>
          </cell>
          <cell r="M5186">
            <v>0</v>
          </cell>
          <cell r="P5186">
            <v>1224</v>
          </cell>
          <cell r="V5186" t="str">
            <v>Available</v>
          </cell>
        </row>
        <row r="5187">
          <cell r="E5187">
            <v>10540018</v>
          </cell>
          <cell r="H5187">
            <v>9.17</v>
          </cell>
          <cell r="I5187">
            <v>598.51</v>
          </cell>
          <cell r="J5187">
            <v>0</v>
          </cell>
          <cell r="K5187">
            <v>0</v>
          </cell>
          <cell r="M5187">
            <v>0</v>
          </cell>
          <cell r="P5187">
            <v>599</v>
          </cell>
          <cell r="V5187" t="str">
            <v>Available</v>
          </cell>
        </row>
        <row r="5188">
          <cell r="E5188">
            <v>10540018</v>
          </cell>
          <cell r="H5188">
            <v>22.41</v>
          </cell>
          <cell r="I5188">
            <v>873.01</v>
          </cell>
          <cell r="J5188">
            <v>0</v>
          </cell>
          <cell r="K5188">
            <v>0</v>
          </cell>
          <cell r="M5188">
            <v>0</v>
          </cell>
          <cell r="P5188">
            <v>873</v>
          </cell>
          <cell r="V5188" t="str">
            <v>Available</v>
          </cell>
        </row>
        <row r="5189">
          <cell r="E5189">
            <v>10540018</v>
          </cell>
          <cell r="H5189">
            <v>2.1900000000000004</v>
          </cell>
          <cell r="I5189">
            <v>84.72999999999999</v>
          </cell>
          <cell r="J5189">
            <v>0</v>
          </cell>
          <cell r="K5189">
            <v>0</v>
          </cell>
          <cell r="M5189">
            <v>0</v>
          </cell>
          <cell r="P5189">
            <v>85</v>
          </cell>
          <cell r="V5189" t="str">
            <v>Available</v>
          </cell>
        </row>
        <row r="5190">
          <cell r="E5190">
            <v>10540018</v>
          </cell>
          <cell r="H5190">
            <v>22.549999999999997</v>
          </cell>
          <cell r="I5190">
            <v>926.56000000000006</v>
          </cell>
          <cell r="J5190">
            <v>0</v>
          </cell>
          <cell r="K5190">
            <v>0</v>
          </cell>
          <cell r="M5190">
            <v>0</v>
          </cell>
          <cell r="P5190">
            <v>927</v>
          </cell>
          <cell r="V5190" t="str">
            <v>Available</v>
          </cell>
        </row>
        <row r="5191">
          <cell r="E5191">
            <v>10540019</v>
          </cell>
          <cell r="H5191">
            <v>120.1</v>
          </cell>
          <cell r="I5191">
            <v>4841.2299999999996</v>
          </cell>
          <cell r="J5191">
            <v>0</v>
          </cell>
          <cell r="K5191">
            <v>0</v>
          </cell>
          <cell r="M5191">
            <v>0</v>
          </cell>
          <cell r="P5191">
            <v>4341</v>
          </cell>
          <cell r="V5191" t="str">
            <v>Available</v>
          </cell>
        </row>
        <row r="5192">
          <cell r="E5192">
            <v>10540020</v>
          </cell>
          <cell r="H5192">
            <v>16.77</v>
          </cell>
          <cell r="I5192">
            <v>669.78</v>
          </cell>
          <cell r="J5192">
            <v>0</v>
          </cell>
          <cell r="K5192">
            <v>0</v>
          </cell>
          <cell r="M5192">
            <v>0</v>
          </cell>
          <cell r="P5192">
            <v>0</v>
          </cell>
          <cell r="V5192" t="str">
            <v>Available</v>
          </cell>
        </row>
        <row r="5193">
          <cell r="E5193">
            <v>10540020</v>
          </cell>
          <cell r="H5193">
            <v>57.73</v>
          </cell>
          <cell r="I5193">
            <v>2246.98</v>
          </cell>
          <cell r="J5193">
            <v>0</v>
          </cell>
          <cell r="K5193">
            <v>0</v>
          </cell>
          <cell r="M5193">
            <v>0</v>
          </cell>
          <cell r="P5193">
            <v>2203</v>
          </cell>
          <cell r="V5193" t="str">
            <v>Available</v>
          </cell>
        </row>
        <row r="5194">
          <cell r="E5194">
            <v>10540020</v>
          </cell>
          <cell r="H5194">
            <v>4.7</v>
          </cell>
          <cell r="I5194">
            <v>219.78</v>
          </cell>
          <cell r="J5194">
            <v>0</v>
          </cell>
          <cell r="K5194">
            <v>0</v>
          </cell>
          <cell r="M5194">
            <v>0</v>
          </cell>
          <cell r="P5194">
            <v>220</v>
          </cell>
          <cell r="V5194" t="str">
            <v>Available</v>
          </cell>
        </row>
        <row r="5195">
          <cell r="E5195">
            <v>10540020</v>
          </cell>
          <cell r="H5195">
            <v>13.23</v>
          </cell>
          <cell r="I5195">
            <v>545.82000000000005</v>
          </cell>
          <cell r="J5195">
            <v>0</v>
          </cell>
          <cell r="K5195">
            <v>0</v>
          </cell>
          <cell r="M5195">
            <v>0</v>
          </cell>
          <cell r="P5195">
            <v>546</v>
          </cell>
          <cell r="V5195" t="str">
            <v>Available</v>
          </cell>
        </row>
        <row r="5196">
          <cell r="E5196">
            <v>10540020</v>
          </cell>
          <cell r="H5196">
            <v>28.830000000000002</v>
          </cell>
          <cell r="I5196">
            <v>1061.7099999999998</v>
          </cell>
          <cell r="J5196">
            <v>0</v>
          </cell>
          <cell r="K5196">
            <v>0</v>
          </cell>
          <cell r="M5196">
            <v>0</v>
          </cell>
          <cell r="P5196">
            <v>1062</v>
          </cell>
          <cell r="V5196" t="str">
            <v>Available</v>
          </cell>
        </row>
        <row r="5197">
          <cell r="E5197">
            <v>10540020</v>
          </cell>
          <cell r="H5197">
            <v>29.27</v>
          </cell>
          <cell r="I5197">
            <v>1282.32</v>
          </cell>
          <cell r="J5197">
            <v>0</v>
          </cell>
          <cell r="K5197">
            <v>0</v>
          </cell>
          <cell r="M5197">
            <v>0</v>
          </cell>
          <cell r="P5197">
            <v>1282</v>
          </cell>
          <cell r="V5197" t="str">
            <v>Available</v>
          </cell>
        </row>
        <row r="5198">
          <cell r="E5198">
            <v>10540020</v>
          </cell>
          <cell r="H5198">
            <v>5.24</v>
          </cell>
          <cell r="I5198">
            <v>230.88</v>
          </cell>
          <cell r="J5198">
            <v>0</v>
          </cell>
          <cell r="K5198">
            <v>0</v>
          </cell>
          <cell r="M5198">
            <v>0</v>
          </cell>
          <cell r="P5198">
            <v>231</v>
          </cell>
          <cell r="V5198" t="str">
            <v>Available</v>
          </cell>
        </row>
        <row r="5199">
          <cell r="E5199">
            <v>10540026</v>
          </cell>
          <cell r="H5199">
            <v>2.12</v>
          </cell>
          <cell r="I5199">
            <v>80.75</v>
          </cell>
          <cell r="J5199">
            <v>0</v>
          </cell>
          <cell r="K5199">
            <v>80.75</v>
          </cell>
          <cell r="M5199">
            <v>0</v>
          </cell>
          <cell r="P5199">
            <v>0</v>
          </cell>
          <cell r="V5199" t="str">
            <v>Not Available</v>
          </cell>
        </row>
        <row r="5200">
          <cell r="E5200">
            <v>10540026</v>
          </cell>
          <cell r="H5200">
            <v>180</v>
          </cell>
          <cell r="I5200">
            <v>7255.2400000000007</v>
          </cell>
          <cell r="J5200">
            <v>0</v>
          </cell>
          <cell r="K5200">
            <v>0</v>
          </cell>
          <cell r="M5200">
            <v>0</v>
          </cell>
          <cell r="P5200">
            <v>6707</v>
          </cell>
          <cell r="V5200" t="str">
            <v>Available</v>
          </cell>
        </row>
        <row r="5201">
          <cell r="E5201">
            <v>10540026</v>
          </cell>
          <cell r="H5201">
            <v>46.78</v>
          </cell>
          <cell r="I5201">
            <v>2204.1099999999997</v>
          </cell>
          <cell r="J5201">
            <v>0</v>
          </cell>
          <cell r="K5201">
            <v>0</v>
          </cell>
          <cell r="M5201">
            <v>0</v>
          </cell>
          <cell r="P5201">
            <v>2204</v>
          </cell>
          <cell r="V5201" t="str">
            <v>Not Available</v>
          </cell>
        </row>
        <row r="5202">
          <cell r="E5202">
            <v>10540026</v>
          </cell>
          <cell r="H5202">
            <v>13.819999999999999</v>
          </cell>
          <cell r="I5202">
            <v>548.38999999999987</v>
          </cell>
          <cell r="J5202">
            <v>0</v>
          </cell>
          <cell r="K5202">
            <v>0</v>
          </cell>
          <cell r="M5202">
            <v>0</v>
          </cell>
          <cell r="P5202">
            <v>548</v>
          </cell>
          <cell r="V5202" t="str">
            <v>Not Available</v>
          </cell>
        </row>
        <row r="5203">
          <cell r="E5203">
            <v>10540026</v>
          </cell>
          <cell r="H5203">
            <v>31.32</v>
          </cell>
          <cell r="I5203">
            <v>1307.1099999999999</v>
          </cell>
          <cell r="J5203">
            <v>0</v>
          </cell>
          <cell r="K5203">
            <v>0</v>
          </cell>
          <cell r="M5203">
            <v>0</v>
          </cell>
          <cell r="P5203">
            <v>1307</v>
          </cell>
          <cell r="V5203" t="str">
            <v>Not Available</v>
          </cell>
        </row>
        <row r="5204">
          <cell r="E5204">
            <v>10540026</v>
          </cell>
          <cell r="H5204">
            <v>16.68</v>
          </cell>
          <cell r="I5204">
            <v>678.83999999999992</v>
          </cell>
          <cell r="J5204">
            <v>0</v>
          </cell>
          <cell r="K5204">
            <v>0</v>
          </cell>
          <cell r="M5204">
            <v>0</v>
          </cell>
          <cell r="P5204">
            <v>679</v>
          </cell>
          <cell r="V5204" t="str">
            <v>Not Available</v>
          </cell>
        </row>
        <row r="5205">
          <cell r="E5205">
            <v>10540026</v>
          </cell>
          <cell r="H5205">
            <v>12.56</v>
          </cell>
          <cell r="I5205">
            <v>496.59999999999997</v>
          </cell>
          <cell r="J5205">
            <v>0</v>
          </cell>
          <cell r="K5205">
            <v>0</v>
          </cell>
          <cell r="M5205">
            <v>0</v>
          </cell>
          <cell r="P5205">
            <v>497</v>
          </cell>
          <cell r="V5205" t="str">
            <v>Not Available</v>
          </cell>
        </row>
        <row r="5206">
          <cell r="E5206">
            <v>10540026</v>
          </cell>
          <cell r="H5206">
            <v>26.22</v>
          </cell>
          <cell r="I5206">
            <v>1413.71</v>
          </cell>
          <cell r="J5206">
            <v>0</v>
          </cell>
          <cell r="K5206">
            <v>0</v>
          </cell>
          <cell r="M5206">
            <v>0</v>
          </cell>
          <cell r="P5206">
            <v>1414</v>
          </cell>
          <cell r="V5206" t="str">
            <v>Not Available</v>
          </cell>
        </row>
        <row r="5207">
          <cell r="E5207">
            <v>10540026</v>
          </cell>
          <cell r="H5207">
            <v>13.34</v>
          </cell>
          <cell r="I5207">
            <v>501.18000000000006</v>
          </cell>
          <cell r="J5207">
            <v>0</v>
          </cell>
          <cell r="K5207">
            <v>0</v>
          </cell>
          <cell r="M5207">
            <v>0</v>
          </cell>
          <cell r="P5207">
            <v>501</v>
          </cell>
          <cell r="V5207" t="str">
            <v>Not Available</v>
          </cell>
        </row>
        <row r="5208">
          <cell r="E5208">
            <v>10540026</v>
          </cell>
          <cell r="H5208">
            <v>13.98</v>
          </cell>
          <cell r="I5208">
            <v>584.07000000000005</v>
          </cell>
          <cell r="J5208">
            <v>0</v>
          </cell>
          <cell r="K5208">
            <v>0</v>
          </cell>
          <cell r="M5208">
            <v>0</v>
          </cell>
          <cell r="P5208">
            <v>584</v>
          </cell>
          <cell r="V5208" t="str">
            <v>Not Available</v>
          </cell>
        </row>
        <row r="5209">
          <cell r="E5209">
            <v>10540026</v>
          </cell>
          <cell r="H5209">
            <v>7.9</v>
          </cell>
          <cell r="I5209">
            <v>309.75</v>
          </cell>
          <cell r="J5209">
            <v>0</v>
          </cell>
          <cell r="K5209">
            <v>0</v>
          </cell>
          <cell r="M5209">
            <v>0</v>
          </cell>
          <cell r="P5209">
            <v>310</v>
          </cell>
          <cell r="V5209" t="str">
            <v>Not Available</v>
          </cell>
        </row>
        <row r="5210">
          <cell r="E5210">
            <v>10540026</v>
          </cell>
          <cell r="H5210">
            <v>4.18</v>
          </cell>
          <cell r="I5210">
            <v>164.38</v>
          </cell>
          <cell r="J5210">
            <v>0</v>
          </cell>
          <cell r="K5210">
            <v>0</v>
          </cell>
          <cell r="M5210">
            <v>0</v>
          </cell>
          <cell r="P5210">
            <v>164</v>
          </cell>
          <cell r="V5210" t="str">
            <v>Not Available</v>
          </cell>
        </row>
        <row r="5211">
          <cell r="E5211">
            <v>10540026</v>
          </cell>
          <cell r="H5211">
            <v>1.92</v>
          </cell>
          <cell r="I5211">
            <v>87.01</v>
          </cell>
          <cell r="J5211">
            <v>0</v>
          </cell>
          <cell r="K5211">
            <v>0</v>
          </cell>
          <cell r="M5211">
            <v>0</v>
          </cell>
          <cell r="P5211">
            <v>87</v>
          </cell>
          <cell r="V5211" t="str">
            <v>Not Available</v>
          </cell>
        </row>
        <row r="5212">
          <cell r="E5212">
            <v>10540026</v>
          </cell>
          <cell r="H5212">
            <v>2.7</v>
          </cell>
          <cell r="I5212">
            <v>109.22</v>
          </cell>
          <cell r="J5212">
            <v>0</v>
          </cell>
          <cell r="K5212">
            <v>0</v>
          </cell>
          <cell r="M5212">
            <v>0</v>
          </cell>
          <cell r="P5212">
            <v>109</v>
          </cell>
          <cell r="V5212" t="str">
            <v>Not Available</v>
          </cell>
        </row>
        <row r="5213">
          <cell r="E5213">
            <v>10540032</v>
          </cell>
          <cell r="H5213">
            <v>159.30000000000001</v>
          </cell>
          <cell r="I5213">
            <v>6421.38</v>
          </cell>
          <cell r="J5213">
            <v>0</v>
          </cell>
          <cell r="K5213">
            <v>0</v>
          </cell>
          <cell r="M5213">
            <v>0</v>
          </cell>
          <cell r="P5213">
            <v>5921</v>
          </cell>
          <cell r="V5213" t="str">
            <v>Available</v>
          </cell>
        </row>
        <row r="5214">
          <cell r="E5214">
            <v>10540042</v>
          </cell>
          <cell r="H5214">
            <v>320.05999999999995</v>
          </cell>
          <cell r="I5214">
            <v>16659.599999999999</v>
          </cell>
          <cell r="J5214">
            <v>0</v>
          </cell>
          <cell r="K5214">
            <v>0</v>
          </cell>
          <cell r="M5214">
            <v>0</v>
          </cell>
          <cell r="P5214">
            <v>15707</v>
          </cell>
          <cell r="V5214" t="str">
            <v>Available</v>
          </cell>
        </row>
        <row r="5215">
          <cell r="E5215">
            <v>10540042</v>
          </cell>
          <cell r="H5215">
            <v>20</v>
          </cell>
          <cell r="I5215">
            <v>1046.4000000000001</v>
          </cell>
          <cell r="J5215">
            <v>0</v>
          </cell>
          <cell r="K5215">
            <v>0</v>
          </cell>
          <cell r="M5215">
            <v>0</v>
          </cell>
          <cell r="P5215">
            <v>1046</v>
          </cell>
          <cell r="V5215" t="str">
            <v>Not Available</v>
          </cell>
        </row>
        <row r="5216">
          <cell r="E5216">
            <v>10540042</v>
          </cell>
          <cell r="H5216">
            <v>20</v>
          </cell>
          <cell r="I5216">
            <v>1046.4000000000001</v>
          </cell>
          <cell r="J5216">
            <v>0</v>
          </cell>
          <cell r="K5216">
            <v>0</v>
          </cell>
          <cell r="M5216">
            <v>0</v>
          </cell>
          <cell r="P5216">
            <v>1046</v>
          </cell>
          <cell r="V5216" t="str">
            <v>Not Available</v>
          </cell>
        </row>
        <row r="5217">
          <cell r="E5217">
            <v>10540042</v>
          </cell>
          <cell r="H5217">
            <v>284</v>
          </cell>
          <cell r="I5217">
            <v>14617.48</v>
          </cell>
          <cell r="J5217">
            <v>0</v>
          </cell>
          <cell r="K5217">
            <v>0</v>
          </cell>
          <cell r="M5217">
            <v>0</v>
          </cell>
          <cell r="P5217">
            <v>14617</v>
          </cell>
          <cell r="V5217" t="str">
            <v>Not Available</v>
          </cell>
        </row>
        <row r="5218">
          <cell r="E5218">
            <v>10540042</v>
          </cell>
          <cell r="H5218">
            <v>114</v>
          </cell>
          <cell r="I5218">
            <v>5964.48</v>
          </cell>
          <cell r="J5218">
            <v>0</v>
          </cell>
          <cell r="K5218">
            <v>0</v>
          </cell>
          <cell r="M5218">
            <v>0</v>
          </cell>
          <cell r="P5218">
            <v>5964</v>
          </cell>
          <cell r="V5218" t="str">
            <v>Not Available</v>
          </cell>
        </row>
        <row r="5219">
          <cell r="E5219">
            <v>10540042</v>
          </cell>
          <cell r="H5219">
            <v>210</v>
          </cell>
          <cell r="I5219">
            <v>10987.2</v>
          </cell>
          <cell r="J5219">
            <v>0</v>
          </cell>
          <cell r="K5219">
            <v>0</v>
          </cell>
          <cell r="M5219">
            <v>0</v>
          </cell>
          <cell r="P5219">
            <v>10987</v>
          </cell>
          <cell r="V5219" t="str">
            <v>Not Available</v>
          </cell>
        </row>
        <row r="5220">
          <cell r="E5220">
            <v>10540042</v>
          </cell>
          <cell r="H5220">
            <v>300</v>
          </cell>
          <cell r="I5220">
            <v>15696</v>
          </cell>
          <cell r="J5220">
            <v>0</v>
          </cell>
          <cell r="K5220">
            <v>0</v>
          </cell>
          <cell r="M5220">
            <v>0</v>
          </cell>
          <cell r="P5220">
            <v>15696</v>
          </cell>
          <cell r="V5220" t="str">
            <v>Not Available</v>
          </cell>
        </row>
        <row r="5221">
          <cell r="E5221">
            <v>10540042</v>
          </cell>
          <cell r="H5221">
            <v>280</v>
          </cell>
          <cell r="I5221">
            <v>14649.6</v>
          </cell>
          <cell r="J5221">
            <v>0</v>
          </cell>
          <cell r="K5221">
            <v>0</v>
          </cell>
          <cell r="M5221">
            <v>0</v>
          </cell>
          <cell r="P5221">
            <v>14650</v>
          </cell>
          <cell r="V5221" t="str">
            <v>Not Available</v>
          </cell>
        </row>
        <row r="5222">
          <cell r="E5222">
            <v>10540042</v>
          </cell>
          <cell r="H5222">
            <v>520</v>
          </cell>
          <cell r="I5222">
            <v>27206.400000000001</v>
          </cell>
          <cell r="J5222">
            <v>0</v>
          </cell>
          <cell r="K5222">
            <v>0</v>
          </cell>
          <cell r="M5222">
            <v>0</v>
          </cell>
          <cell r="P5222">
            <v>27206</v>
          </cell>
          <cell r="V5222" t="str">
            <v>Not Available</v>
          </cell>
        </row>
        <row r="5223">
          <cell r="E5223">
            <v>10540042</v>
          </cell>
          <cell r="H5223">
            <v>200</v>
          </cell>
          <cell r="I5223">
            <v>10464</v>
          </cell>
          <cell r="J5223">
            <v>0</v>
          </cell>
          <cell r="K5223">
            <v>0</v>
          </cell>
          <cell r="M5223">
            <v>0</v>
          </cell>
          <cell r="P5223">
            <v>10464</v>
          </cell>
          <cell r="V5223" t="str">
            <v>Not Available</v>
          </cell>
        </row>
        <row r="5224">
          <cell r="E5224">
            <v>10540043</v>
          </cell>
          <cell r="H5224">
            <v>136.83999999999997</v>
          </cell>
          <cell r="I5224">
            <v>6809.1100000000006</v>
          </cell>
          <cell r="J5224">
            <v>0</v>
          </cell>
          <cell r="K5224">
            <v>0</v>
          </cell>
          <cell r="M5224">
            <v>6111</v>
          </cell>
          <cell r="P5224">
            <v>0</v>
          </cell>
          <cell r="V5224" t="str">
            <v>Available</v>
          </cell>
        </row>
        <row r="5225">
          <cell r="E5225">
            <v>10540043</v>
          </cell>
          <cell r="H5225">
            <v>34.86</v>
          </cell>
          <cell r="I5225">
            <v>1549.08</v>
          </cell>
          <cell r="J5225">
            <v>0</v>
          </cell>
          <cell r="K5225">
            <v>0</v>
          </cell>
          <cell r="M5225">
            <v>0</v>
          </cell>
          <cell r="P5225">
            <v>1549</v>
          </cell>
          <cell r="V5225" t="str">
            <v>Available</v>
          </cell>
        </row>
        <row r="5226">
          <cell r="E5226">
            <v>10540043</v>
          </cell>
          <cell r="H5226">
            <v>48.98</v>
          </cell>
          <cell r="I5226">
            <v>2058.77</v>
          </cell>
          <cell r="J5226">
            <v>0</v>
          </cell>
          <cell r="K5226">
            <v>0</v>
          </cell>
          <cell r="M5226">
            <v>0</v>
          </cell>
          <cell r="P5226">
            <v>2059</v>
          </cell>
          <cell r="V5226" t="str">
            <v>Available</v>
          </cell>
        </row>
        <row r="5227">
          <cell r="E5227">
            <v>10540043</v>
          </cell>
          <cell r="H5227">
            <v>9.0799999999999983</v>
          </cell>
          <cell r="I5227">
            <v>417.26000000000005</v>
          </cell>
          <cell r="J5227">
            <v>0</v>
          </cell>
          <cell r="K5227">
            <v>0</v>
          </cell>
          <cell r="M5227">
            <v>0</v>
          </cell>
          <cell r="P5227">
            <v>417</v>
          </cell>
          <cell r="V5227" t="str">
            <v>Available</v>
          </cell>
        </row>
        <row r="5228">
          <cell r="E5228">
            <v>10540043</v>
          </cell>
          <cell r="H5228">
            <v>74.27</v>
          </cell>
          <cell r="I5228">
            <v>3609.5200000000004</v>
          </cell>
          <cell r="J5228">
            <v>0</v>
          </cell>
          <cell r="K5228">
            <v>0</v>
          </cell>
          <cell r="M5228">
            <v>0</v>
          </cell>
          <cell r="P5228">
            <v>3610</v>
          </cell>
          <cell r="V5228" t="str">
            <v>Available</v>
          </cell>
        </row>
        <row r="5229">
          <cell r="E5229">
            <v>10540043</v>
          </cell>
          <cell r="H5229">
            <v>99.73</v>
          </cell>
          <cell r="I5229">
            <v>5192.5199999999986</v>
          </cell>
          <cell r="J5229">
            <v>0</v>
          </cell>
          <cell r="K5229">
            <v>0</v>
          </cell>
          <cell r="M5229">
            <v>0</v>
          </cell>
          <cell r="P5229">
            <v>5193</v>
          </cell>
          <cell r="V5229" t="str">
            <v>Available</v>
          </cell>
        </row>
        <row r="5230">
          <cell r="E5230">
            <v>10540044</v>
          </cell>
          <cell r="H5230">
            <v>240</v>
          </cell>
          <cell r="I5230">
            <v>10375.200000000001</v>
          </cell>
          <cell r="J5230">
            <v>0</v>
          </cell>
          <cell r="K5230">
            <v>0</v>
          </cell>
          <cell r="M5230">
            <v>0</v>
          </cell>
          <cell r="P5230">
            <v>7683</v>
          </cell>
          <cell r="V5230" t="str">
            <v>Available</v>
          </cell>
        </row>
        <row r="5231">
          <cell r="E5231">
            <v>10540046</v>
          </cell>
          <cell r="H5231">
            <v>272.82</v>
          </cell>
          <cell r="I5231">
            <v>14762.139999999996</v>
          </cell>
          <cell r="J5231">
            <v>0</v>
          </cell>
          <cell r="K5231">
            <v>0</v>
          </cell>
          <cell r="M5231">
            <v>0</v>
          </cell>
          <cell r="P5231">
            <v>8762</v>
          </cell>
          <cell r="V5231" t="str">
            <v>Available</v>
          </cell>
        </row>
        <row r="5232">
          <cell r="E5232">
            <v>10540046</v>
          </cell>
          <cell r="H5232">
            <v>439.97999999999996</v>
          </cell>
          <cell r="I5232">
            <v>18025.91</v>
          </cell>
          <cell r="J5232">
            <v>0</v>
          </cell>
          <cell r="K5232">
            <v>0</v>
          </cell>
          <cell r="M5232">
            <v>0</v>
          </cell>
          <cell r="P5232">
            <v>18026</v>
          </cell>
          <cell r="V5232" t="str">
            <v>Available</v>
          </cell>
        </row>
        <row r="5233">
          <cell r="E5233">
            <v>10540047</v>
          </cell>
          <cell r="H5233">
            <v>127</v>
          </cell>
          <cell r="I5233">
            <v>5303.72</v>
          </cell>
          <cell r="J5233">
            <v>0</v>
          </cell>
          <cell r="K5233">
            <v>0</v>
          </cell>
          <cell r="M5233">
            <v>0</v>
          </cell>
          <cell r="P5233">
            <v>3382</v>
          </cell>
          <cell r="V5233" t="str">
            <v>Available</v>
          </cell>
        </row>
        <row r="5234">
          <cell r="E5234">
            <v>10540050</v>
          </cell>
          <cell r="H5234">
            <v>88</v>
          </cell>
          <cell r="I5234">
            <v>3791.92</v>
          </cell>
          <cell r="J5234">
            <v>0</v>
          </cell>
          <cell r="K5234">
            <v>0</v>
          </cell>
          <cell r="M5234">
            <v>3064</v>
          </cell>
          <cell r="P5234">
            <v>116</v>
          </cell>
          <cell r="V5234" t="str">
            <v>Available</v>
          </cell>
        </row>
        <row r="5235">
          <cell r="E5235">
            <v>10540050</v>
          </cell>
          <cell r="H5235">
            <v>257.49</v>
          </cell>
          <cell r="I5235">
            <v>8300.6600000000017</v>
          </cell>
          <cell r="J5235">
            <v>0</v>
          </cell>
          <cell r="K5235">
            <v>0</v>
          </cell>
          <cell r="M5235">
            <v>0</v>
          </cell>
          <cell r="P5235">
            <v>8301</v>
          </cell>
          <cell r="V5235" t="str">
            <v>Not Available</v>
          </cell>
        </row>
        <row r="5236">
          <cell r="E5236">
            <v>10540050</v>
          </cell>
          <cell r="H5236">
            <v>67.300000000000011</v>
          </cell>
          <cell r="I5236">
            <v>2013.65</v>
          </cell>
          <cell r="J5236">
            <v>0</v>
          </cell>
          <cell r="K5236">
            <v>0</v>
          </cell>
          <cell r="M5236">
            <v>0</v>
          </cell>
          <cell r="P5236">
            <v>2014</v>
          </cell>
          <cell r="V5236" t="str">
            <v>Not Available</v>
          </cell>
        </row>
        <row r="5237">
          <cell r="E5237">
            <v>10540053</v>
          </cell>
          <cell r="H5237">
            <v>15</v>
          </cell>
          <cell r="I5237">
            <v>660.9</v>
          </cell>
          <cell r="J5237">
            <v>0</v>
          </cell>
          <cell r="K5237">
            <v>0</v>
          </cell>
          <cell r="M5237">
            <v>0</v>
          </cell>
          <cell r="P5237">
            <v>508</v>
          </cell>
          <cell r="V5237" t="str">
            <v>Available</v>
          </cell>
        </row>
        <row r="5238">
          <cell r="E5238">
            <v>10540054</v>
          </cell>
          <cell r="H5238">
            <v>122.69</v>
          </cell>
          <cell r="I5238">
            <v>5907.27</v>
          </cell>
          <cell r="J5238">
            <v>0</v>
          </cell>
          <cell r="K5238">
            <v>0</v>
          </cell>
          <cell r="M5238">
            <v>0</v>
          </cell>
          <cell r="P5238">
            <v>5611</v>
          </cell>
          <cell r="V5238" t="str">
            <v>Available</v>
          </cell>
        </row>
        <row r="5239">
          <cell r="E5239">
            <v>10540054</v>
          </cell>
          <cell r="H5239">
            <v>3.2300000000000004</v>
          </cell>
          <cell r="I5239">
            <v>241.35999999999999</v>
          </cell>
          <cell r="J5239">
            <v>0</v>
          </cell>
          <cell r="K5239">
            <v>0</v>
          </cell>
          <cell r="M5239">
            <v>0</v>
          </cell>
          <cell r="P5239">
            <v>241</v>
          </cell>
          <cell r="V5239" t="str">
            <v>Available</v>
          </cell>
        </row>
        <row r="5240">
          <cell r="E5240">
            <v>10540054</v>
          </cell>
          <cell r="H5240">
            <v>2.1100000000000003</v>
          </cell>
          <cell r="I5240">
            <v>68.509999999999991</v>
          </cell>
          <cell r="J5240">
            <v>0</v>
          </cell>
          <cell r="K5240">
            <v>0</v>
          </cell>
          <cell r="M5240">
            <v>0</v>
          </cell>
          <cell r="P5240">
            <v>69</v>
          </cell>
          <cell r="V5240" t="str">
            <v>Available</v>
          </cell>
        </row>
        <row r="5241">
          <cell r="E5241">
            <v>10540054</v>
          </cell>
          <cell r="H5241">
            <v>4.5299999999999994</v>
          </cell>
          <cell r="I5241">
            <v>414.65999999999997</v>
          </cell>
          <cell r="J5241">
            <v>0</v>
          </cell>
          <cell r="K5241">
            <v>0</v>
          </cell>
          <cell r="M5241">
            <v>0</v>
          </cell>
          <cell r="P5241">
            <v>415</v>
          </cell>
          <cell r="V5241" t="str">
            <v>Available</v>
          </cell>
        </row>
        <row r="5242">
          <cell r="E5242">
            <v>10540054</v>
          </cell>
          <cell r="H5242">
            <v>2.17</v>
          </cell>
          <cell r="I5242">
            <v>104.96</v>
          </cell>
          <cell r="J5242">
            <v>0</v>
          </cell>
          <cell r="K5242">
            <v>0</v>
          </cell>
          <cell r="M5242">
            <v>0</v>
          </cell>
          <cell r="P5242">
            <v>105</v>
          </cell>
          <cell r="V5242" t="str">
            <v>Available</v>
          </cell>
        </row>
        <row r="5243">
          <cell r="E5243">
            <v>10540055</v>
          </cell>
          <cell r="H5243">
            <v>487.1</v>
          </cell>
          <cell r="I5243">
            <v>20076.43</v>
          </cell>
          <cell r="J5243">
            <v>0</v>
          </cell>
          <cell r="K5243">
            <v>0</v>
          </cell>
          <cell r="M5243">
            <v>0</v>
          </cell>
          <cell r="P5243">
            <v>7623</v>
          </cell>
          <cell r="V5243" t="str">
            <v>Available</v>
          </cell>
        </row>
        <row r="5244">
          <cell r="E5244">
            <v>10540055</v>
          </cell>
          <cell r="H5244">
            <v>2.52</v>
          </cell>
          <cell r="I5244">
            <v>100.52</v>
          </cell>
          <cell r="J5244">
            <v>0</v>
          </cell>
          <cell r="K5244">
            <v>0</v>
          </cell>
          <cell r="M5244">
            <v>0</v>
          </cell>
          <cell r="P5244">
            <v>101</v>
          </cell>
          <cell r="V5244" t="str">
            <v>Not Available</v>
          </cell>
        </row>
        <row r="5245">
          <cell r="E5245">
            <v>10540055</v>
          </cell>
          <cell r="H5245">
            <v>2.0299999999999998</v>
          </cell>
          <cell r="I5245">
            <v>87.76</v>
          </cell>
          <cell r="J5245">
            <v>0</v>
          </cell>
          <cell r="K5245">
            <v>0</v>
          </cell>
          <cell r="M5245">
            <v>0</v>
          </cell>
          <cell r="P5245">
            <v>88</v>
          </cell>
          <cell r="V5245" t="str">
            <v>Not Available</v>
          </cell>
        </row>
        <row r="5246">
          <cell r="E5246">
            <v>10540055</v>
          </cell>
          <cell r="H5246">
            <v>79.149999999999991</v>
          </cell>
          <cell r="I5246">
            <v>3440.9500000000003</v>
          </cell>
          <cell r="J5246">
            <v>0</v>
          </cell>
          <cell r="K5246">
            <v>0</v>
          </cell>
          <cell r="M5246">
            <v>0</v>
          </cell>
          <cell r="P5246">
            <v>3441</v>
          </cell>
          <cell r="V5246" t="str">
            <v>Available</v>
          </cell>
        </row>
        <row r="5247">
          <cell r="E5247">
            <v>10540055</v>
          </cell>
          <cell r="H5247">
            <v>28.669999999999998</v>
          </cell>
          <cell r="I5247">
            <v>1310.21</v>
          </cell>
          <cell r="J5247">
            <v>0</v>
          </cell>
          <cell r="K5247">
            <v>0</v>
          </cell>
          <cell r="M5247">
            <v>0</v>
          </cell>
          <cell r="P5247">
            <v>1310</v>
          </cell>
          <cell r="V5247" t="str">
            <v>Not Available</v>
          </cell>
        </row>
        <row r="5248">
          <cell r="E5248">
            <v>10540055</v>
          </cell>
          <cell r="H5248">
            <v>12.309999999999999</v>
          </cell>
          <cell r="I5248">
            <v>645.05000000000007</v>
          </cell>
          <cell r="J5248">
            <v>0</v>
          </cell>
          <cell r="K5248">
            <v>0</v>
          </cell>
          <cell r="M5248">
            <v>0</v>
          </cell>
          <cell r="P5248">
            <v>645</v>
          </cell>
          <cell r="V5248" t="str">
            <v>Not Available</v>
          </cell>
        </row>
        <row r="5249">
          <cell r="E5249">
            <v>10540055</v>
          </cell>
          <cell r="H5249">
            <v>8.9500000000000011</v>
          </cell>
          <cell r="I5249">
            <v>351.92</v>
          </cell>
          <cell r="J5249">
            <v>0</v>
          </cell>
          <cell r="K5249">
            <v>0</v>
          </cell>
          <cell r="M5249">
            <v>0</v>
          </cell>
          <cell r="P5249">
            <v>352</v>
          </cell>
          <cell r="V5249" t="str">
            <v>Available</v>
          </cell>
        </row>
        <row r="5250">
          <cell r="E5250">
            <v>10540057</v>
          </cell>
          <cell r="H5250">
            <v>90</v>
          </cell>
          <cell r="I5250">
            <v>4191.3</v>
          </cell>
          <cell r="J5250">
            <v>0</v>
          </cell>
          <cell r="K5250">
            <v>0</v>
          </cell>
          <cell r="M5250">
            <v>0</v>
          </cell>
          <cell r="P5250">
            <v>4023</v>
          </cell>
          <cell r="V5250" t="str">
            <v>Available</v>
          </cell>
        </row>
        <row r="5251">
          <cell r="E5251">
            <v>10540063</v>
          </cell>
          <cell r="H5251">
            <v>313.26999999999992</v>
          </cell>
          <cell r="I5251">
            <v>13625.35</v>
          </cell>
          <cell r="J5251">
            <v>0</v>
          </cell>
          <cell r="K5251">
            <v>0</v>
          </cell>
          <cell r="M5251">
            <v>0</v>
          </cell>
          <cell r="P5251">
            <v>7528</v>
          </cell>
          <cell r="V5251" t="str">
            <v>Available</v>
          </cell>
        </row>
        <row r="5252">
          <cell r="E5252">
            <v>10550005</v>
          </cell>
          <cell r="H5252">
            <v>6.2</v>
          </cell>
          <cell r="I5252">
            <v>258.39999999999998</v>
          </cell>
          <cell r="J5252">
            <v>0</v>
          </cell>
          <cell r="K5252">
            <v>258.39999999999998</v>
          </cell>
          <cell r="M5252">
            <v>0</v>
          </cell>
          <cell r="P5252">
            <v>0</v>
          </cell>
          <cell r="V5252" t="str">
            <v>Not Available</v>
          </cell>
        </row>
        <row r="5253">
          <cell r="E5253">
            <v>10550005</v>
          </cell>
          <cell r="H5253">
            <v>33.699999999999996</v>
          </cell>
          <cell r="I5253">
            <v>1453.3700000000001</v>
          </cell>
          <cell r="J5253">
            <v>0</v>
          </cell>
          <cell r="K5253">
            <v>0</v>
          </cell>
          <cell r="M5253">
            <v>0</v>
          </cell>
          <cell r="P5253">
            <v>1411</v>
          </cell>
          <cell r="V5253" t="str">
            <v>Available</v>
          </cell>
        </row>
        <row r="5254">
          <cell r="E5254">
            <v>10550005</v>
          </cell>
          <cell r="H5254">
            <v>6</v>
          </cell>
          <cell r="I5254">
            <v>251.88</v>
          </cell>
          <cell r="J5254">
            <v>0</v>
          </cell>
          <cell r="K5254">
            <v>0</v>
          </cell>
          <cell r="M5254">
            <v>0</v>
          </cell>
          <cell r="P5254">
            <v>252</v>
          </cell>
          <cell r="V5254" t="str">
            <v>Available</v>
          </cell>
        </row>
        <row r="5255">
          <cell r="E5255">
            <v>10550005</v>
          </cell>
          <cell r="H5255">
            <v>63.29999999999999</v>
          </cell>
          <cell r="I5255">
            <v>2745.4500000000007</v>
          </cell>
          <cell r="J5255">
            <v>0</v>
          </cell>
          <cell r="K5255">
            <v>0</v>
          </cell>
          <cell r="M5255">
            <v>0</v>
          </cell>
          <cell r="P5255">
            <v>2745</v>
          </cell>
          <cell r="V5255" t="str">
            <v>Available</v>
          </cell>
        </row>
        <row r="5256">
          <cell r="E5256">
            <v>10550010</v>
          </cell>
          <cell r="H5256">
            <v>2.65</v>
          </cell>
          <cell r="I5256">
            <v>118.13000000000001</v>
          </cell>
          <cell r="J5256">
            <v>0</v>
          </cell>
          <cell r="K5256">
            <v>118.13000000000001</v>
          </cell>
          <cell r="M5256">
            <v>0</v>
          </cell>
          <cell r="P5256">
            <v>0</v>
          </cell>
          <cell r="V5256" t="str">
            <v>Not Available</v>
          </cell>
        </row>
        <row r="5257">
          <cell r="E5257">
            <v>10550010</v>
          </cell>
          <cell r="H5257">
            <v>45.86</v>
          </cell>
          <cell r="I5257">
            <v>2451.7699999999995</v>
          </cell>
          <cell r="J5257">
            <v>0</v>
          </cell>
          <cell r="K5257">
            <v>0</v>
          </cell>
          <cell r="M5257">
            <v>0</v>
          </cell>
          <cell r="P5257">
            <v>2197</v>
          </cell>
          <cell r="V5257" t="str">
            <v>Available</v>
          </cell>
        </row>
        <row r="5258">
          <cell r="E5258">
            <v>10550010</v>
          </cell>
          <cell r="H5258">
            <v>25.259999999999998</v>
          </cell>
          <cell r="I5258">
            <v>977.52</v>
          </cell>
          <cell r="J5258">
            <v>0</v>
          </cell>
          <cell r="K5258">
            <v>0</v>
          </cell>
          <cell r="M5258">
            <v>0</v>
          </cell>
          <cell r="P5258">
            <v>978</v>
          </cell>
          <cell r="V5258" t="str">
            <v>Available</v>
          </cell>
        </row>
        <row r="5259">
          <cell r="E5259">
            <v>10550010</v>
          </cell>
          <cell r="H5259">
            <v>28.87</v>
          </cell>
          <cell r="I5259">
            <v>1585.36</v>
          </cell>
          <cell r="J5259">
            <v>0</v>
          </cell>
          <cell r="K5259">
            <v>0</v>
          </cell>
          <cell r="M5259">
            <v>0</v>
          </cell>
          <cell r="P5259">
            <v>1585</v>
          </cell>
          <cell r="V5259" t="str">
            <v>Available</v>
          </cell>
        </row>
        <row r="5260">
          <cell r="E5260">
            <v>10550010</v>
          </cell>
          <cell r="H5260">
            <v>23.76</v>
          </cell>
          <cell r="I5260">
            <v>1172.31</v>
          </cell>
          <cell r="J5260">
            <v>0</v>
          </cell>
          <cell r="K5260">
            <v>0</v>
          </cell>
          <cell r="M5260">
            <v>0</v>
          </cell>
          <cell r="P5260">
            <v>1172</v>
          </cell>
          <cell r="V5260" t="str">
            <v>Available</v>
          </cell>
        </row>
        <row r="5261">
          <cell r="E5261">
            <v>10550010</v>
          </cell>
          <cell r="H5261">
            <v>112.16999999999999</v>
          </cell>
          <cell r="I5261">
            <v>4636.6399999999994</v>
          </cell>
          <cell r="J5261">
            <v>0</v>
          </cell>
          <cell r="K5261">
            <v>0</v>
          </cell>
          <cell r="M5261">
            <v>0</v>
          </cell>
          <cell r="P5261">
            <v>4637</v>
          </cell>
          <cell r="V5261" t="str">
            <v>Available</v>
          </cell>
        </row>
        <row r="5262">
          <cell r="E5262">
            <v>10550010</v>
          </cell>
          <cell r="H5262">
            <v>83.18</v>
          </cell>
          <cell r="I5262">
            <v>3841.6400000000003</v>
          </cell>
          <cell r="J5262">
            <v>0</v>
          </cell>
          <cell r="K5262">
            <v>0</v>
          </cell>
          <cell r="M5262">
            <v>0</v>
          </cell>
          <cell r="P5262">
            <v>3842</v>
          </cell>
          <cell r="V5262" t="str">
            <v>Available</v>
          </cell>
        </row>
        <row r="5263">
          <cell r="E5263">
            <v>10550011</v>
          </cell>
          <cell r="H5263">
            <v>1.8800000000000003</v>
          </cell>
          <cell r="I5263">
            <v>78.12</v>
          </cell>
          <cell r="J5263">
            <v>0</v>
          </cell>
          <cell r="K5263">
            <v>78.12</v>
          </cell>
          <cell r="M5263">
            <v>0</v>
          </cell>
          <cell r="P5263">
            <v>0</v>
          </cell>
          <cell r="V5263" t="str">
            <v>Not Available</v>
          </cell>
        </row>
        <row r="5264">
          <cell r="E5264">
            <v>10550011</v>
          </cell>
          <cell r="H5264">
            <v>8.86</v>
          </cell>
          <cell r="I5264">
            <v>370.37</v>
          </cell>
          <cell r="J5264">
            <v>0</v>
          </cell>
          <cell r="K5264">
            <v>0</v>
          </cell>
          <cell r="M5264">
            <v>0</v>
          </cell>
          <cell r="P5264">
            <v>62</v>
          </cell>
          <cell r="V5264" t="str">
            <v>Available</v>
          </cell>
        </row>
        <row r="5265">
          <cell r="E5265">
            <v>10550011</v>
          </cell>
          <cell r="H5265">
            <v>15.11</v>
          </cell>
          <cell r="I5265">
            <v>633.06000000000006</v>
          </cell>
          <cell r="J5265">
            <v>0</v>
          </cell>
          <cell r="K5265">
            <v>0</v>
          </cell>
          <cell r="M5265">
            <v>0</v>
          </cell>
          <cell r="P5265">
            <v>633</v>
          </cell>
          <cell r="V5265" t="str">
            <v>Available</v>
          </cell>
        </row>
        <row r="5266">
          <cell r="E5266">
            <v>10550011</v>
          </cell>
          <cell r="H5266">
            <v>198.25</v>
          </cell>
          <cell r="I5266">
            <v>8253.4600000000009</v>
          </cell>
          <cell r="J5266">
            <v>0</v>
          </cell>
          <cell r="K5266">
            <v>0</v>
          </cell>
          <cell r="M5266">
            <v>0</v>
          </cell>
          <cell r="P5266">
            <v>8253</v>
          </cell>
          <cell r="V5266" t="str">
            <v>Available</v>
          </cell>
        </row>
        <row r="5267">
          <cell r="E5267">
            <v>10550011</v>
          </cell>
          <cell r="H5267">
            <v>44.58</v>
          </cell>
          <cell r="I5267">
            <v>1819.56</v>
          </cell>
          <cell r="J5267">
            <v>0</v>
          </cell>
          <cell r="K5267">
            <v>0</v>
          </cell>
          <cell r="M5267">
            <v>0</v>
          </cell>
          <cell r="P5267">
            <v>1820</v>
          </cell>
          <cell r="V5267" t="str">
            <v>Available</v>
          </cell>
        </row>
        <row r="5268">
          <cell r="E5268">
            <v>10550012</v>
          </cell>
          <cell r="H5268">
            <v>1.2</v>
          </cell>
          <cell r="I5268">
            <v>47.84</v>
          </cell>
          <cell r="J5268">
            <v>0</v>
          </cell>
          <cell r="K5268">
            <v>47.84</v>
          </cell>
          <cell r="M5268">
            <v>0</v>
          </cell>
          <cell r="P5268">
            <v>0</v>
          </cell>
          <cell r="V5268" t="str">
            <v>Not Available</v>
          </cell>
        </row>
        <row r="5269">
          <cell r="E5269">
            <v>10550012</v>
          </cell>
          <cell r="H5269">
            <v>143.40000000000003</v>
          </cell>
          <cell r="I5269">
            <v>6010.77</v>
          </cell>
          <cell r="J5269">
            <v>0</v>
          </cell>
          <cell r="K5269">
            <v>0</v>
          </cell>
          <cell r="M5269">
            <v>0</v>
          </cell>
          <cell r="P5269">
            <v>5641</v>
          </cell>
          <cell r="V5269" t="str">
            <v>Available</v>
          </cell>
        </row>
        <row r="5270">
          <cell r="E5270">
            <v>10550012</v>
          </cell>
          <cell r="H5270">
            <v>10.700000000000001</v>
          </cell>
          <cell r="I5270">
            <v>424.39</v>
          </cell>
          <cell r="J5270">
            <v>0</v>
          </cell>
          <cell r="K5270">
            <v>0</v>
          </cell>
          <cell r="M5270">
            <v>0</v>
          </cell>
          <cell r="P5270">
            <v>424</v>
          </cell>
          <cell r="V5270" t="str">
            <v>Available</v>
          </cell>
        </row>
        <row r="5271">
          <cell r="E5271">
            <v>10550012</v>
          </cell>
          <cell r="H5271">
            <v>1.2000000000000002</v>
          </cell>
          <cell r="I5271">
            <v>46.56</v>
          </cell>
          <cell r="J5271">
            <v>0</v>
          </cell>
          <cell r="K5271">
            <v>0</v>
          </cell>
          <cell r="M5271">
            <v>0</v>
          </cell>
          <cell r="P5271">
            <v>47</v>
          </cell>
          <cell r="V5271" t="str">
            <v>Available</v>
          </cell>
        </row>
        <row r="5272">
          <cell r="E5272">
            <v>10550012</v>
          </cell>
          <cell r="H5272">
            <v>6</v>
          </cell>
          <cell r="I5272">
            <v>218.7</v>
          </cell>
          <cell r="J5272">
            <v>0</v>
          </cell>
          <cell r="K5272">
            <v>0</v>
          </cell>
          <cell r="M5272">
            <v>0</v>
          </cell>
          <cell r="P5272">
            <v>219</v>
          </cell>
          <cell r="V5272" t="str">
            <v>Available</v>
          </cell>
        </row>
        <row r="5273">
          <cell r="E5273">
            <v>10560004</v>
          </cell>
          <cell r="H5273">
            <v>1540.26</v>
          </cell>
          <cell r="I5273">
            <v>56174.33</v>
          </cell>
          <cell r="J5273">
            <v>0</v>
          </cell>
          <cell r="K5273">
            <v>0</v>
          </cell>
          <cell r="M5273">
            <v>0</v>
          </cell>
          <cell r="P5273">
            <v>34999</v>
          </cell>
          <cell r="V5273" t="str">
            <v>Available</v>
          </cell>
        </row>
        <row r="5274">
          <cell r="E5274">
            <v>10560005</v>
          </cell>
          <cell r="H5274">
            <v>22.330000000000002</v>
          </cell>
          <cell r="I5274">
            <v>938.15</v>
          </cell>
          <cell r="J5274">
            <v>0</v>
          </cell>
          <cell r="K5274">
            <v>0</v>
          </cell>
          <cell r="M5274">
            <v>0</v>
          </cell>
          <cell r="P5274">
            <v>938</v>
          </cell>
          <cell r="V5274" t="str">
            <v>Available</v>
          </cell>
        </row>
        <row r="5275">
          <cell r="E5275">
            <v>10560005</v>
          </cell>
          <cell r="H5275">
            <v>794.5</v>
          </cell>
          <cell r="I5275">
            <v>33515.78</v>
          </cell>
          <cell r="J5275">
            <v>0</v>
          </cell>
          <cell r="K5275">
            <v>0</v>
          </cell>
          <cell r="M5275">
            <v>0</v>
          </cell>
          <cell r="P5275">
            <v>33516</v>
          </cell>
          <cell r="V5275" t="str">
            <v>Not Available</v>
          </cell>
        </row>
        <row r="5276">
          <cell r="E5276">
            <v>10560005</v>
          </cell>
          <cell r="H5276">
            <v>526</v>
          </cell>
          <cell r="I5276">
            <v>22184.749999999996</v>
          </cell>
          <cell r="J5276">
            <v>0</v>
          </cell>
          <cell r="K5276">
            <v>0</v>
          </cell>
          <cell r="M5276">
            <v>0</v>
          </cell>
          <cell r="P5276">
            <v>22185</v>
          </cell>
          <cell r="V5276" t="str">
            <v>Not Available</v>
          </cell>
        </row>
        <row r="5277">
          <cell r="E5277">
            <v>10560007</v>
          </cell>
          <cell r="H5277">
            <v>226.38000000000002</v>
          </cell>
          <cell r="I5277">
            <v>9398.39</v>
          </cell>
          <cell r="J5277">
            <v>0</v>
          </cell>
          <cell r="K5277">
            <v>0</v>
          </cell>
          <cell r="M5277">
            <v>0</v>
          </cell>
          <cell r="P5277">
            <v>0</v>
          </cell>
          <cell r="V5277" t="str">
            <v>Available</v>
          </cell>
        </row>
        <row r="5278">
          <cell r="E5278">
            <v>10560011</v>
          </cell>
          <cell r="H5278">
            <v>90.37</v>
          </cell>
          <cell r="I5278">
            <v>3612.88</v>
          </cell>
          <cell r="J5278">
            <v>0</v>
          </cell>
          <cell r="K5278">
            <v>0</v>
          </cell>
          <cell r="M5278">
            <v>0</v>
          </cell>
          <cell r="P5278">
            <v>3359</v>
          </cell>
          <cell r="V5278" t="str">
            <v>Available</v>
          </cell>
        </row>
        <row r="5279">
          <cell r="E5279">
            <v>10560011</v>
          </cell>
          <cell r="H5279">
            <v>34.4</v>
          </cell>
          <cell r="I5279">
            <v>2503.86</v>
          </cell>
          <cell r="J5279">
            <v>0</v>
          </cell>
          <cell r="K5279">
            <v>0</v>
          </cell>
          <cell r="M5279">
            <v>0</v>
          </cell>
          <cell r="P5279">
            <v>2504</v>
          </cell>
          <cell r="V5279" t="str">
            <v>Available</v>
          </cell>
        </row>
        <row r="5280">
          <cell r="E5280">
            <v>10560011</v>
          </cell>
          <cell r="H5280">
            <v>68.77</v>
          </cell>
          <cell r="I5280">
            <v>2662.07</v>
          </cell>
          <cell r="J5280">
            <v>0</v>
          </cell>
          <cell r="K5280">
            <v>0</v>
          </cell>
          <cell r="M5280">
            <v>0</v>
          </cell>
          <cell r="P5280">
            <v>2662</v>
          </cell>
          <cell r="V5280" t="str">
            <v>Available</v>
          </cell>
        </row>
        <row r="5281">
          <cell r="E5281">
            <v>10560011</v>
          </cell>
          <cell r="H5281">
            <v>1430.1100000000001</v>
          </cell>
          <cell r="I5281">
            <v>57666.99</v>
          </cell>
          <cell r="J5281">
            <v>0</v>
          </cell>
          <cell r="K5281">
            <v>0</v>
          </cell>
          <cell r="M5281">
            <v>0</v>
          </cell>
          <cell r="P5281">
            <v>57667</v>
          </cell>
          <cell r="V5281" t="str">
            <v>Available</v>
          </cell>
        </row>
        <row r="5282">
          <cell r="E5282">
            <v>10560011</v>
          </cell>
          <cell r="H5282">
            <v>46.46</v>
          </cell>
          <cell r="I5282">
            <v>2008.92</v>
          </cell>
          <cell r="J5282">
            <v>0</v>
          </cell>
          <cell r="K5282">
            <v>0</v>
          </cell>
          <cell r="M5282">
            <v>0</v>
          </cell>
          <cell r="P5282">
            <v>2009</v>
          </cell>
          <cell r="V5282" t="str">
            <v>Available</v>
          </cell>
        </row>
        <row r="5283">
          <cell r="E5283">
            <v>10560011</v>
          </cell>
          <cell r="H5283">
            <v>41.089999999999996</v>
          </cell>
          <cell r="I5283">
            <v>1531.9199999999998</v>
          </cell>
          <cell r="J5283">
            <v>0</v>
          </cell>
          <cell r="K5283">
            <v>0</v>
          </cell>
          <cell r="M5283">
            <v>0</v>
          </cell>
          <cell r="P5283">
            <v>1532</v>
          </cell>
          <cell r="V5283" t="str">
            <v>Available</v>
          </cell>
        </row>
        <row r="5284">
          <cell r="E5284">
            <v>10560011</v>
          </cell>
          <cell r="H5284">
            <v>75.3</v>
          </cell>
          <cell r="I5284">
            <v>5449.0899999999992</v>
          </cell>
          <cell r="J5284">
            <v>0</v>
          </cell>
          <cell r="K5284">
            <v>0</v>
          </cell>
          <cell r="M5284">
            <v>0</v>
          </cell>
          <cell r="P5284">
            <v>5449</v>
          </cell>
          <cell r="V5284" t="str">
            <v>Available</v>
          </cell>
        </row>
        <row r="5285">
          <cell r="E5285">
            <v>10560011</v>
          </cell>
          <cell r="H5285">
            <v>68.22</v>
          </cell>
          <cell r="I5285">
            <v>2525.3500000000004</v>
          </cell>
          <cell r="J5285">
            <v>0</v>
          </cell>
          <cell r="K5285">
            <v>0</v>
          </cell>
          <cell r="M5285">
            <v>0</v>
          </cell>
          <cell r="P5285">
            <v>2525</v>
          </cell>
          <cell r="V5285" t="str">
            <v>Available</v>
          </cell>
        </row>
        <row r="5286">
          <cell r="E5286">
            <v>10560011</v>
          </cell>
          <cell r="H5286">
            <v>13.41</v>
          </cell>
          <cell r="I5286">
            <v>551.24</v>
          </cell>
          <cell r="J5286">
            <v>0</v>
          </cell>
          <cell r="K5286">
            <v>0</v>
          </cell>
          <cell r="M5286">
            <v>0</v>
          </cell>
          <cell r="P5286">
            <v>551</v>
          </cell>
          <cell r="V5286" t="str">
            <v>Available</v>
          </cell>
        </row>
        <row r="5287">
          <cell r="E5287">
            <v>10560011</v>
          </cell>
          <cell r="H5287">
            <v>63.180000000000007</v>
          </cell>
          <cell r="I5287">
            <v>3446.9400000000005</v>
          </cell>
          <cell r="J5287">
            <v>0</v>
          </cell>
          <cell r="K5287">
            <v>0</v>
          </cell>
          <cell r="M5287">
            <v>0</v>
          </cell>
          <cell r="P5287">
            <v>3447</v>
          </cell>
          <cell r="V5287" t="str">
            <v>Available</v>
          </cell>
        </row>
        <row r="5288">
          <cell r="E5288">
            <v>10560011</v>
          </cell>
          <cell r="H5288">
            <v>50.57</v>
          </cell>
          <cell r="I5288">
            <v>1820.5900000000001</v>
          </cell>
          <cell r="J5288">
            <v>0</v>
          </cell>
          <cell r="K5288">
            <v>0</v>
          </cell>
          <cell r="M5288">
            <v>0</v>
          </cell>
          <cell r="P5288">
            <v>1821</v>
          </cell>
          <cell r="V5288" t="str">
            <v>Available</v>
          </cell>
        </row>
        <row r="5289">
          <cell r="E5289">
            <v>10560012</v>
          </cell>
          <cell r="H5289">
            <v>760</v>
          </cell>
          <cell r="I5289">
            <v>32170.719999999987</v>
          </cell>
          <cell r="J5289">
            <v>0</v>
          </cell>
          <cell r="K5289">
            <v>0</v>
          </cell>
          <cell r="M5289">
            <v>0</v>
          </cell>
          <cell r="P5289">
            <v>32171</v>
          </cell>
          <cell r="V5289" t="str">
            <v>Available</v>
          </cell>
        </row>
        <row r="5290">
          <cell r="E5290">
            <v>10560012</v>
          </cell>
          <cell r="H5290">
            <v>72.72</v>
          </cell>
          <cell r="I5290">
            <v>3740.4700000000003</v>
          </cell>
          <cell r="J5290">
            <v>0</v>
          </cell>
          <cell r="K5290">
            <v>0</v>
          </cell>
          <cell r="M5290">
            <v>0</v>
          </cell>
          <cell r="P5290">
            <v>3740</v>
          </cell>
          <cell r="V5290" t="str">
            <v>Available</v>
          </cell>
        </row>
        <row r="5291">
          <cell r="E5291">
            <v>10560012</v>
          </cell>
          <cell r="H5291">
            <v>22.060000000000002</v>
          </cell>
          <cell r="I5291">
            <v>802.58999999999992</v>
          </cell>
          <cell r="J5291">
            <v>0</v>
          </cell>
          <cell r="K5291">
            <v>0</v>
          </cell>
          <cell r="M5291">
            <v>0</v>
          </cell>
          <cell r="P5291">
            <v>803</v>
          </cell>
          <cell r="V5291" t="str">
            <v>Available</v>
          </cell>
        </row>
        <row r="5292">
          <cell r="E5292">
            <v>10560012</v>
          </cell>
          <cell r="H5292">
            <v>222.43</v>
          </cell>
          <cell r="I5292">
            <v>8386.0099999999984</v>
          </cell>
          <cell r="J5292">
            <v>0</v>
          </cell>
          <cell r="K5292">
            <v>0</v>
          </cell>
          <cell r="M5292">
            <v>0</v>
          </cell>
          <cell r="P5292">
            <v>8386</v>
          </cell>
          <cell r="V5292" t="str">
            <v>Available</v>
          </cell>
        </row>
        <row r="5293">
          <cell r="E5293">
            <v>10560016</v>
          </cell>
          <cell r="H5293">
            <v>1026.2</v>
          </cell>
          <cell r="I5293">
            <v>38904.720000000001</v>
          </cell>
          <cell r="J5293">
            <v>0</v>
          </cell>
          <cell r="K5293">
            <v>0</v>
          </cell>
          <cell r="M5293">
            <v>0</v>
          </cell>
          <cell r="P5293">
            <v>33420</v>
          </cell>
          <cell r="V5293" t="str">
            <v>Available</v>
          </cell>
        </row>
        <row r="5294">
          <cell r="E5294">
            <v>10560017</v>
          </cell>
          <cell r="H5294">
            <v>139.39999999999998</v>
          </cell>
          <cell r="I5294">
            <v>5233.72</v>
          </cell>
          <cell r="J5294">
            <v>0</v>
          </cell>
          <cell r="K5294">
            <v>0</v>
          </cell>
          <cell r="M5294">
            <v>5234</v>
          </cell>
          <cell r="P5294">
            <v>0</v>
          </cell>
          <cell r="V5294" t="str">
            <v>Available</v>
          </cell>
        </row>
        <row r="5295">
          <cell r="E5295">
            <v>10560017</v>
          </cell>
          <cell r="H5295">
            <v>37.61</v>
          </cell>
          <cell r="I5295">
            <v>1441.66</v>
          </cell>
          <cell r="J5295">
            <v>0</v>
          </cell>
          <cell r="K5295">
            <v>0</v>
          </cell>
          <cell r="M5295">
            <v>0</v>
          </cell>
          <cell r="P5295">
            <v>1442</v>
          </cell>
          <cell r="V5295" t="str">
            <v>Available</v>
          </cell>
        </row>
        <row r="5296">
          <cell r="E5296">
            <v>10560017</v>
          </cell>
          <cell r="H5296">
            <v>53.2</v>
          </cell>
          <cell r="I5296">
            <v>2046.47</v>
          </cell>
          <cell r="J5296">
            <v>0</v>
          </cell>
          <cell r="K5296">
            <v>0</v>
          </cell>
          <cell r="M5296">
            <v>0</v>
          </cell>
          <cell r="P5296">
            <v>2046</v>
          </cell>
          <cell r="V5296" t="str">
            <v>Available</v>
          </cell>
        </row>
        <row r="5297">
          <cell r="E5297">
            <v>10560017</v>
          </cell>
          <cell r="H5297">
            <v>32.799999999999997</v>
          </cell>
          <cell r="I5297">
            <v>1334.74</v>
          </cell>
          <cell r="J5297">
            <v>0</v>
          </cell>
          <cell r="K5297">
            <v>0</v>
          </cell>
          <cell r="M5297">
            <v>0</v>
          </cell>
          <cell r="P5297">
            <v>1335</v>
          </cell>
          <cell r="V5297" t="str">
            <v>Available</v>
          </cell>
        </row>
        <row r="5298">
          <cell r="E5298">
            <v>10560017</v>
          </cell>
          <cell r="H5298">
            <v>46.85</v>
          </cell>
          <cell r="I5298">
            <v>1785.84</v>
          </cell>
          <cell r="J5298">
            <v>0</v>
          </cell>
          <cell r="K5298">
            <v>0</v>
          </cell>
          <cell r="M5298">
            <v>0</v>
          </cell>
          <cell r="P5298">
            <v>1786</v>
          </cell>
          <cell r="V5298" t="str">
            <v>Available</v>
          </cell>
        </row>
        <row r="5299">
          <cell r="E5299">
            <v>10560017</v>
          </cell>
          <cell r="H5299">
            <v>44.61</v>
          </cell>
          <cell r="I5299">
            <v>1743.8400000000001</v>
          </cell>
          <cell r="J5299">
            <v>0</v>
          </cell>
          <cell r="K5299">
            <v>0</v>
          </cell>
          <cell r="M5299">
            <v>0</v>
          </cell>
          <cell r="P5299">
            <v>1744</v>
          </cell>
          <cell r="V5299" t="str">
            <v>Available</v>
          </cell>
        </row>
        <row r="5300">
          <cell r="E5300">
            <v>10560017</v>
          </cell>
          <cell r="H5300">
            <v>77.479999999999976</v>
          </cell>
          <cell r="I5300">
            <v>2884.2</v>
          </cell>
          <cell r="J5300">
            <v>0</v>
          </cell>
          <cell r="K5300">
            <v>0</v>
          </cell>
          <cell r="M5300">
            <v>0</v>
          </cell>
          <cell r="P5300">
            <v>2884</v>
          </cell>
          <cell r="V5300" t="str">
            <v>Available</v>
          </cell>
        </row>
        <row r="5301">
          <cell r="E5301">
            <v>10560017</v>
          </cell>
          <cell r="H5301">
            <v>44.199999999999996</v>
          </cell>
          <cell r="I5301">
            <v>1931.07</v>
          </cell>
          <cell r="J5301">
            <v>0</v>
          </cell>
          <cell r="K5301">
            <v>0</v>
          </cell>
          <cell r="M5301">
            <v>0</v>
          </cell>
          <cell r="P5301">
            <v>1931</v>
          </cell>
          <cell r="V5301" t="str">
            <v>Available</v>
          </cell>
        </row>
        <row r="5302">
          <cell r="E5302">
            <v>10560017</v>
          </cell>
          <cell r="H5302">
            <v>34.019999999999996</v>
          </cell>
          <cell r="I5302">
            <v>1261.69</v>
          </cell>
          <cell r="J5302">
            <v>0</v>
          </cell>
          <cell r="K5302">
            <v>0</v>
          </cell>
          <cell r="M5302">
            <v>0</v>
          </cell>
          <cell r="P5302">
            <v>1262</v>
          </cell>
          <cell r="V5302" t="str">
            <v>Available</v>
          </cell>
        </row>
        <row r="5303">
          <cell r="E5303">
            <v>10560017</v>
          </cell>
          <cell r="H5303">
            <v>76.28</v>
          </cell>
          <cell r="I5303">
            <v>3676.5299999999997</v>
          </cell>
          <cell r="J5303">
            <v>0</v>
          </cell>
          <cell r="K5303">
            <v>0</v>
          </cell>
          <cell r="M5303">
            <v>0</v>
          </cell>
          <cell r="P5303">
            <v>3677</v>
          </cell>
          <cell r="V5303" t="str">
            <v>Available</v>
          </cell>
        </row>
        <row r="5304">
          <cell r="E5304">
            <v>10560017</v>
          </cell>
          <cell r="H5304">
            <v>20.170000000000002</v>
          </cell>
          <cell r="I5304">
            <v>845.06000000000006</v>
          </cell>
          <cell r="J5304">
            <v>0</v>
          </cell>
          <cell r="K5304">
            <v>0</v>
          </cell>
          <cell r="M5304">
            <v>0</v>
          </cell>
          <cell r="P5304">
            <v>845</v>
          </cell>
          <cell r="V5304" t="str">
            <v>Available</v>
          </cell>
        </row>
        <row r="5305">
          <cell r="E5305">
            <v>10560017</v>
          </cell>
          <cell r="H5305">
            <v>2.7800000000000002</v>
          </cell>
          <cell r="I5305">
            <v>122.46000000000001</v>
          </cell>
          <cell r="J5305">
            <v>0</v>
          </cell>
          <cell r="K5305">
            <v>0</v>
          </cell>
          <cell r="M5305">
            <v>0</v>
          </cell>
          <cell r="P5305">
            <v>122</v>
          </cell>
          <cell r="V5305" t="str">
            <v>Available</v>
          </cell>
        </row>
        <row r="5306">
          <cell r="E5306">
            <v>10560017</v>
          </cell>
          <cell r="H5306">
            <v>29.99</v>
          </cell>
          <cell r="I5306">
            <v>1125.29</v>
          </cell>
          <cell r="J5306">
            <v>0</v>
          </cell>
          <cell r="K5306">
            <v>0</v>
          </cell>
          <cell r="M5306">
            <v>0</v>
          </cell>
          <cell r="P5306">
            <v>1125</v>
          </cell>
          <cell r="V5306" t="str">
            <v>Available</v>
          </cell>
        </row>
        <row r="5307">
          <cell r="E5307">
            <v>10560022</v>
          </cell>
          <cell r="H5307">
            <v>2158.38</v>
          </cell>
          <cell r="I5307">
            <v>92850.06</v>
          </cell>
          <cell r="J5307">
            <v>0</v>
          </cell>
          <cell r="K5307">
            <v>0</v>
          </cell>
          <cell r="M5307">
            <v>0</v>
          </cell>
          <cell r="P5307">
            <v>92850</v>
          </cell>
          <cell r="V5307" t="str">
            <v>Available</v>
          </cell>
        </row>
        <row r="5308">
          <cell r="E5308">
            <v>10560026</v>
          </cell>
          <cell r="H5308">
            <v>210.21</v>
          </cell>
          <cell r="I5308">
            <v>8629.4500000000007</v>
          </cell>
          <cell r="J5308">
            <v>0</v>
          </cell>
          <cell r="K5308">
            <v>0</v>
          </cell>
          <cell r="M5308">
            <v>0</v>
          </cell>
          <cell r="P5308">
            <v>8629</v>
          </cell>
          <cell r="V5308" t="str">
            <v>Available</v>
          </cell>
        </row>
        <row r="5309">
          <cell r="E5309">
            <v>10560026</v>
          </cell>
          <cell r="H5309">
            <v>25.87</v>
          </cell>
          <cell r="I5309">
            <v>991.3399999999998</v>
          </cell>
          <cell r="J5309">
            <v>0</v>
          </cell>
          <cell r="K5309">
            <v>0</v>
          </cell>
          <cell r="M5309">
            <v>0</v>
          </cell>
          <cell r="P5309">
            <v>991</v>
          </cell>
          <cell r="V5309" t="str">
            <v>Available</v>
          </cell>
        </row>
        <row r="5310">
          <cell r="E5310">
            <v>10560026</v>
          </cell>
          <cell r="H5310">
            <v>10.250000000000002</v>
          </cell>
          <cell r="I5310">
            <v>422.24</v>
          </cell>
          <cell r="J5310">
            <v>0</v>
          </cell>
          <cell r="K5310">
            <v>0</v>
          </cell>
          <cell r="M5310">
            <v>0</v>
          </cell>
          <cell r="P5310">
            <v>422</v>
          </cell>
          <cell r="V5310" t="str">
            <v>Available</v>
          </cell>
        </row>
        <row r="5311">
          <cell r="E5311">
            <v>10560026</v>
          </cell>
          <cell r="H5311">
            <v>55.709999999999994</v>
          </cell>
          <cell r="I5311">
            <v>3291.5200000000009</v>
          </cell>
          <cell r="J5311">
            <v>0</v>
          </cell>
          <cell r="K5311">
            <v>0</v>
          </cell>
          <cell r="M5311">
            <v>0</v>
          </cell>
          <cell r="P5311">
            <v>3292</v>
          </cell>
          <cell r="V5311" t="str">
            <v>Available</v>
          </cell>
        </row>
        <row r="5312">
          <cell r="E5312">
            <v>10560026</v>
          </cell>
          <cell r="H5312">
            <v>36.29</v>
          </cell>
          <cell r="I5312">
            <v>1446.1799999999998</v>
          </cell>
          <cell r="J5312">
            <v>0</v>
          </cell>
          <cell r="K5312">
            <v>0</v>
          </cell>
          <cell r="M5312">
            <v>0</v>
          </cell>
          <cell r="P5312">
            <v>1446</v>
          </cell>
          <cell r="V5312" t="str">
            <v>Available</v>
          </cell>
        </row>
        <row r="5313">
          <cell r="E5313">
            <v>10560026</v>
          </cell>
          <cell r="H5313">
            <v>37.679999999999993</v>
          </cell>
          <cell r="I5313">
            <v>1500.35</v>
          </cell>
          <cell r="J5313">
            <v>0</v>
          </cell>
          <cell r="K5313">
            <v>0</v>
          </cell>
          <cell r="M5313">
            <v>0</v>
          </cell>
          <cell r="P5313">
            <v>1500</v>
          </cell>
          <cell r="V5313" t="str">
            <v>Available</v>
          </cell>
        </row>
        <row r="5314">
          <cell r="E5314">
            <v>10560026</v>
          </cell>
          <cell r="H5314">
            <v>61.099999999999994</v>
          </cell>
          <cell r="I5314">
            <v>2441.6799999999998</v>
          </cell>
          <cell r="J5314">
            <v>0</v>
          </cell>
          <cell r="K5314">
            <v>0</v>
          </cell>
          <cell r="M5314">
            <v>0</v>
          </cell>
          <cell r="P5314">
            <v>2442</v>
          </cell>
          <cell r="V5314" t="str">
            <v>Available</v>
          </cell>
        </row>
        <row r="5315">
          <cell r="E5315">
            <v>10560026</v>
          </cell>
          <cell r="H5315">
            <v>61.519999999999996</v>
          </cell>
          <cell r="I5315">
            <v>2247.81</v>
          </cell>
          <cell r="J5315">
            <v>0</v>
          </cell>
          <cell r="K5315">
            <v>0</v>
          </cell>
          <cell r="M5315">
            <v>0</v>
          </cell>
          <cell r="P5315">
            <v>2248</v>
          </cell>
          <cell r="V5315" t="str">
            <v>Available</v>
          </cell>
        </row>
        <row r="5316">
          <cell r="E5316">
            <v>10560026</v>
          </cell>
          <cell r="H5316">
            <v>139.81</v>
          </cell>
          <cell r="I5316">
            <v>5381.54</v>
          </cell>
          <cell r="J5316">
            <v>0</v>
          </cell>
          <cell r="K5316">
            <v>0</v>
          </cell>
          <cell r="M5316">
            <v>0</v>
          </cell>
          <cell r="P5316">
            <v>5382</v>
          </cell>
          <cell r="V5316" t="str">
            <v>Available</v>
          </cell>
        </row>
        <row r="5317">
          <cell r="E5317">
            <v>10560026</v>
          </cell>
          <cell r="H5317">
            <v>27.11</v>
          </cell>
          <cell r="I5317">
            <v>990.0100000000001</v>
          </cell>
          <cell r="J5317">
            <v>0</v>
          </cell>
          <cell r="K5317">
            <v>0</v>
          </cell>
          <cell r="M5317">
            <v>0</v>
          </cell>
          <cell r="P5317">
            <v>990</v>
          </cell>
          <cell r="V5317" t="str">
            <v>Available</v>
          </cell>
        </row>
        <row r="5318">
          <cell r="E5318">
            <v>10560026</v>
          </cell>
          <cell r="H5318">
            <v>64.02000000000001</v>
          </cell>
          <cell r="I5318">
            <v>2337.77</v>
          </cell>
          <cell r="J5318">
            <v>0</v>
          </cell>
          <cell r="K5318">
            <v>0</v>
          </cell>
          <cell r="M5318">
            <v>0</v>
          </cell>
          <cell r="P5318">
            <v>2338</v>
          </cell>
          <cell r="V5318" t="str">
            <v>Available</v>
          </cell>
        </row>
        <row r="5319">
          <cell r="E5319">
            <v>10560026</v>
          </cell>
          <cell r="H5319">
            <v>80.170000000000016</v>
          </cell>
          <cell r="I5319">
            <v>3265.35</v>
          </cell>
          <cell r="J5319">
            <v>0</v>
          </cell>
          <cell r="K5319">
            <v>0</v>
          </cell>
          <cell r="M5319">
            <v>0</v>
          </cell>
          <cell r="P5319">
            <v>3265</v>
          </cell>
          <cell r="V5319" t="str">
            <v>Available</v>
          </cell>
        </row>
        <row r="5320">
          <cell r="E5320">
            <v>10560026</v>
          </cell>
          <cell r="H5320">
            <v>46.749999999999993</v>
          </cell>
          <cell r="I5320">
            <v>1747.8600000000001</v>
          </cell>
          <cell r="J5320">
            <v>0</v>
          </cell>
          <cell r="K5320">
            <v>0</v>
          </cell>
          <cell r="M5320">
            <v>0</v>
          </cell>
          <cell r="P5320">
            <v>1748</v>
          </cell>
          <cell r="V5320" t="str">
            <v>Available</v>
          </cell>
        </row>
        <row r="5321">
          <cell r="E5321">
            <v>10560026</v>
          </cell>
          <cell r="H5321">
            <v>25.3</v>
          </cell>
          <cell r="I5321">
            <v>919.72</v>
          </cell>
          <cell r="J5321">
            <v>0</v>
          </cell>
          <cell r="K5321">
            <v>0</v>
          </cell>
          <cell r="M5321">
            <v>0</v>
          </cell>
          <cell r="P5321">
            <v>920</v>
          </cell>
          <cell r="V5321" t="str">
            <v>Available</v>
          </cell>
        </row>
        <row r="5322">
          <cell r="E5322">
            <v>10560026</v>
          </cell>
          <cell r="H5322">
            <v>32</v>
          </cell>
          <cell r="I5322">
            <v>1251.28</v>
          </cell>
          <cell r="J5322">
            <v>0</v>
          </cell>
          <cell r="K5322">
            <v>0</v>
          </cell>
          <cell r="M5322">
            <v>0</v>
          </cell>
          <cell r="P5322">
            <v>1251</v>
          </cell>
          <cell r="V5322" t="str">
            <v>Available</v>
          </cell>
        </row>
        <row r="5323">
          <cell r="E5323">
            <v>10560026</v>
          </cell>
          <cell r="H5323">
            <v>159.66999999999999</v>
          </cell>
          <cell r="I5323">
            <v>6443.3</v>
          </cell>
          <cell r="J5323">
            <v>0</v>
          </cell>
          <cell r="K5323">
            <v>0</v>
          </cell>
          <cell r="M5323">
            <v>0</v>
          </cell>
          <cell r="P5323">
            <v>6443</v>
          </cell>
          <cell r="V5323" t="str">
            <v>Available</v>
          </cell>
        </row>
        <row r="5324">
          <cell r="E5324">
            <v>10560026</v>
          </cell>
          <cell r="H5324">
            <v>31.569999999999997</v>
          </cell>
          <cell r="I5324">
            <v>1273.6300000000001</v>
          </cell>
          <cell r="J5324">
            <v>0</v>
          </cell>
          <cell r="K5324">
            <v>0</v>
          </cell>
          <cell r="M5324">
            <v>0</v>
          </cell>
          <cell r="P5324">
            <v>1274</v>
          </cell>
          <cell r="V5324" t="str">
            <v>Available</v>
          </cell>
        </row>
        <row r="5325">
          <cell r="E5325">
            <v>10560026</v>
          </cell>
          <cell r="H5325">
            <v>16.100000000000001</v>
          </cell>
          <cell r="I5325">
            <v>696.89</v>
          </cell>
          <cell r="J5325">
            <v>0</v>
          </cell>
          <cell r="K5325">
            <v>0</v>
          </cell>
          <cell r="M5325">
            <v>0</v>
          </cell>
          <cell r="P5325">
            <v>697</v>
          </cell>
          <cell r="V5325" t="str">
            <v>Available</v>
          </cell>
        </row>
        <row r="5326">
          <cell r="E5326">
            <v>10560028</v>
          </cell>
          <cell r="H5326">
            <v>216.16000000000003</v>
          </cell>
          <cell r="I5326">
            <v>10466.129999999999</v>
          </cell>
          <cell r="J5326">
            <v>0</v>
          </cell>
          <cell r="K5326">
            <v>0</v>
          </cell>
          <cell r="M5326">
            <v>1101</v>
          </cell>
          <cell r="P5326">
            <v>8753</v>
          </cell>
          <cell r="V5326" t="str">
            <v>Available</v>
          </cell>
        </row>
        <row r="5327">
          <cell r="E5327">
            <v>10560031</v>
          </cell>
          <cell r="H5327">
            <v>484.88000000000011</v>
          </cell>
          <cell r="I5327">
            <v>19345.27</v>
          </cell>
          <cell r="J5327">
            <v>0</v>
          </cell>
          <cell r="K5327">
            <v>0</v>
          </cell>
          <cell r="M5327">
            <v>0</v>
          </cell>
          <cell r="P5327">
            <v>19345</v>
          </cell>
          <cell r="V5327" t="str">
            <v>Available</v>
          </cell>
        </row>
        <row r="5328">
          <cell r="E5328">
            <v>10560033</v>
          </cell>
          <cell r="H5328">
            <v>269.44</v>
          </cell>
          <cell r="I5328">
            <v>10712.93</v>
          </cell>
          <cell r="J5328">
            <v>0</v>
          </cell>
          <cell r="K5328">
            <v>0</v>
          </cell>
          <cell r="M5328">
            <v>0</v>
          </cell>
          <cell r="P5328">
            <v>0</v>
          </cell>
          <cell r="V5328" t="str">
            <v>Available</v>
          </cell>
        </row>
        <row r="5329">
          <cell r="E5329">
            <v>10560035</v>
          </cell>
          <cell r="H5329">
            <v>355.83</v>
          </cell>
          <cell r="I5329">
            <v>12555.02</v>
          </cell>
          <cell r="J5329">
            <v>0</v>
          </cell>
          <cell r="K5329">
            <v>0</v>
          </cell>
          <cell r="M5329">
            <v>0</v>
          </cell>
          <cell r="P5329">
            <v>12555</v>
          </cell>
          <cell r="V5329" t="str">
            <v>Available</v>
          </cell>
        </row>
        <row r="5330">
          <cell r="E5330">
            <v>10560035</v>
          </cell>
          <cell r="H5330">
            <v>105.06</v>
          </cell>
          <cell r="I5330">
            <v>4616.57</v>
          </cell>
          <cell r="J5330">
            <v>0</v>
          </cell>
          <cell r="K5330">
            <v>0</v>
          </cell>
          <cell r="M5330">
            <v>0</v>
          </cell>
          <cell r="P5330">
            <v>4617</v>
          </cell>
          <cell r="V5330" t="str">
            <v>Available</v>
          </cell>
        </row>
        <row r="5331">
          <cell r="E5331">
            <v>10560036</v>
          </cell>
          <cell r="H5331">
            <v>598.6</v>
          </cell>
          <cell r="I5331">
            <v>27599.519999999993</v>
          </cell>
          <cell r="J5331">
            <v>0</v>
          </cell>
          <cell r="K5331">
            <v>0</v>
          </cell>
          <cell r="M5331">
            <v>0</v>
          </cell>
          <cell r="P5331">
            <v>27600</v>
          </cell>
          <cell r="V5331" t="str">
            <v>Available</v>
          </cell>
        </row>
        <row r="5332">
          <cell r="E5332">
            <v>10560037</v>
          </cell>
          <cell r="H5332">
            <v>33.200000000000003</v>
          </cell>
          <cell r="I5332">
            <v>1327.93</v>
          </cell>
          <cell r="J5332">
            <v>0</v>
          </cell>
          <cell r="K5332">
            <v>0</v>
          </cell>
          <cell r="M5332">
            <v>0</v>
          </cell>
          <cell r="P5332">
            <v>0</v>
          </cell>
          <cell r="V5332" t="str">
            <v>Available</v>
          </cell>
        </row>
        <row r="5333">
          <cell r="E5333">
            <v>10560037</v>
          </cell>
          <cell r="H5333">
            <v>8.0399999999999991</v>
          </cell>
          <cell r="I5333">
            <v>308.37</v>
          </cell>
          <cell r="J5333">
            <v>0</v>
          </cell>
          <cell r="K5333">
            <v>0</v>
          </cell>
          <cell r="M5333">
            <v>0</v>
          </cell>
          <cell r="P5333">
            <v>0</v>
          </cell>
          <cell r="V5333" t="str">
            <v>Not Available</v>
          </cell>
        </row>
        <row r="5334">
          <cell r="E5334">
            <v>10560037</v>
          </cell>
          <cell r="H5334">
            <v>0.9</v>
          </cell>
          <cell r="I5334">
            <v>38.299999999999997</v>
          </cell>
          <cell r="J5334">
            <v>0</v>
          </cell>
          <cell r="K5334">
            <v>0</v>
          </cell>
          <cell r="M5334">
            <v>0</v>
          </cell>
          <cell r="P5334">
            <v>0</v>
          </cell>
          <cell r="V5334" t="str">
            <v>Not Available</v>
          </cell>
        </row>
        <row r="5335">
          <cell r="E5335">
            <v>10560042</v>
          </cell>
          <cell r="H5335">
            <v>57.92</v>
          </cell>
          <cell r="I5335">
            <v>2406.87</v>
          </cell>
          <cell r="J5335">
            <v>0</v>
          </cell>
          <cell r="K5335">
            <v>0</v>
          </cell>
          <cell r="M5335">
            <v>0</v>
          </cell>
          <cell r="P5335">
            <v>1135</v>
          </cell>
          <cell r="V5335" t="str">
            <v>Available</v>
          </cell>
        </row>
        <row r="5336">
          <cell r="E5336">
            <v>10560042</v>
          </cell>
          <cell r="H5336">
            <v>95.070000000000007</v>
          </cell>
          <cell r="I5336">
            <v>4773.5199999999995</v>
          </cell>
          <cell r="J5336">
            <v>0</v>
          </cell>
          <cell r="K5336">
            <v>0</v>
          </cell>
          <cell r="M5336">
            <v>0</v>
          </cell>
          <cell r="P5336">
            <v>4774</v>
          </cell>
          <cell r="V5336" t="str">
            <v>Available</v>
          </cell>
        </row>
        <row r="5337">
          <cell r="E5337">
            <v>10560042</v>
          </cell>
          <cell r="H5337">
            <v>133.06000000000003</v>
          </cell>
          <cell r="I5337">
            <v>6919.83</v>
          </cell>
          <cell r="J5337">
            <v>0</v>
          </cell>
          <cell r="K5337">
            <v>0</v>
          </cell>
          <cell r="M5337">
            <v>0</v>
          </cell>
          <cell r="P5337">
            <v>6920</v>
          </cell>
          <cell r="V5337" t="str">
            <v>Available</v>
          </cell>
        </row>
        <row r="5338">
          <cell r="E5338">
            <v>10560042</v>
          </cell>
          <cell r="H5338">
            <v>1.76</v>
          </cell>
          <cell r="I5338">
            <v>87.31</v>
          </cell>
          <cell r="J5338">
            <v>0</v>
          </cell>
          <cell r="K5338">
            <v>0</v>
          </cell>
          <cell r="M5338">
            <v>0</v>
          </cell>
          <cell r="P5338">
            <v>87</v>
          </cell>
          <cell r="V5338" t="str">
            <v>Available</v>
          </cell>
        </row>
        <row r="5339">
          <cell r="E5339">
            <v>10560042</v>
          </cell>
          <cell r="H5339">
            <v>844.1</v>
          </cell>
          <cell r="I5339">
            <v>36311.879999999997</v>
          </cell>
          <cell r="J5339">
            <v>0</v>
          </cell>
          <cell r="K5339">
            <v>0</v>
          </cell>
          <cell r="M5339">
            <v>0</v>
          </cell>
          <cell r="P5339">
            <v>36312</v>
          </cell>
          <cell r="V5339" t="str">
            <v>Available</v>
          </cell>
        </row>
        <row r="5340">
          <cell r="E5340">
            <v>10560042</v>
          </cell>
          <cell r="H5340">
            <v>31.769999999999996</v>
          </cell>
          <cell r="I5340">
            <v>1442.3500000000001</v>
          </cell>
          <cell r="J5340">
            <v>0</v>
          </cell>
          <cell r="K5340">
            <v>0</v>
          </cell>
          <cell r="M5340">
            <v>0</v>
          </cell>
          <cell r="P5340">
            <v>1442</v>
          </cell>
          <cell r="V5340" t="str">
            <v>Available</v>
          </cell>
        </row>
        <row r="5341">
          <cell r="E5341">
            <v>10570001</v>
          </cell>
          <cell r="H5341">
            <v>0.8</v>
          </cell>
          <cell r="I5341">
            <v>34.03</v>
          </cell>
          <cell r="J5341">
            <v>0</v>
          </cell>
          <cell r="K5341">
            <v>34.03</v>
          </cell>
          <cell r="M5341">
            <v>0</v>
          </cell>
          <cell r="P5341">
            <v>0</v>
          </cell>
          <cell r="V5341" t="str">
            <v>Not Available</v>
          </cell>
        </row>
        <row r="5342">
          <cell r="E5342">
            <v>10570001</v>
          </cell>
          <cell r="H5342">
            <v>46.699999999999996</v>
          </cell>
          <cell r="I5342">
            <v>1945.0200000000002</v>
          </cell>
          <cell r="J5342">
            <v>0</v>
          </cell>
          <cell r="K5342">
            <v>0</v>
          </cell>
          <cell r="M5342">
            <v>0</v>
          </cell>
          <cell r="P5342">
            <v>1445</v>
          </cell>
          <cell r="V5342" t="str">
            <v>Available</v>
          </cell>
        </row>
        <row r="5343">
          <cell r="E5343">
            <v>10570003</v>
          </cell>
          <cell r="H5343">
            <v>2.6</v>
          </cell>
          <cell r="I5343">
            <v>86.48</v>
          </cell>
          <cell r="J5343">
            <v>0</v>
          </cell>
          <cell r="K5343">
            <v>86.48</v>
          </cell>
          <cell r="M5343">
            <v>0</v>
          </cell>
          <cell r="P5343">
            <v>0</v>
          </cell>
          <cell r="V5343" t="str">
            <v>Not Available</v>
          </cell>
        </row>
        <row r="5344">
          <cell r="E5344">
            <v>10570003</v>
          </cell>
          <cell r="H5344">
            <v>34.200000000000003</v>
          </cell>
          <cell r="I5344">
            <v>1491.6299999999999</v>
          </cell>
          <cell r="J5344">
            <v>0</v>
          </cell>
          <cell r="K5344">
            <v>0</v>
          </cell>
          <cell r="M5344">
            <v>0</v>
          </cell>
          <cell r="P5344">
            <v>992</v>
          </cell>
          <cell r="V5344" t="str">
            <v>Available</v>
          </cell>
        </row>
        <row r="5345">
          <cell r="E5345">
            <v>10570003</v>
          </cell>
          <cell r="H5345">
            <v>26.5</v>
          </cell>
          <cell r="I5345">
            <v>1012.1999999999999</v>
          </cell>
          <cell r="J5345">
            <v>0</v>
          </cell>
          <cell r="K5345">
            <v>0</v>
          </cell>
          <cell r="M5345">
            <v>0</v>
          </cell>
          <cell r="P5345">
            <v>1012</v>
          </cell>
          <cell r="V5345" t="str">
            <v>Not Available</v>
          </cell>
        </row>
        <row r="5346">
          <cell r="E5346">
            <v>10570003</v>
          </cell>
          <cell r="H5346">
            <v>4</v>
          </cell>
          <cell r="I5346">
            <v>133.04</v>
          </cell>
          <cell r="J5346">
            <v>0</v>
          </cell>
          <cell r="K5346">
            <v>0</v>
          </cell>
          <cell r="M5346">
            <v>0</v>
          </cell>
          <cell r="P5346">
            <v>133</v>
          </cell>
          <cell r="V5346" t="str">
            <v>Not Available</v>
          </cell>
        </row>
        <row r="5347">
          <cell r="E5347">
            <v>10570003</v>
          </cell>
          <cell r="H5347">
            <v>4</v>
          </cell>
          <cell r="I5347">
            <v>133.04</v>
          </cell>
          <cell r="J5347">
            <v>0</v>
          </cell>
          <cell r="K5347">
            <v>0</v>
          </cell>
          <cell r="M5347">
            <v>0</v>
          </cell>
          <cell r="P5347">
            <v>133</v>
          </cell>
          <cell r="V5347" t="str">
            <v>Not Available</v>
          </cell>
        </row>
        <row r="5348">
          <cell r="E5348">
            <v>10570003</v>
          </cell>
          <cell r="H5348">
            <v>4</v>
          </cell>
          <cell r="I5348">
            <v>133.04</v>
          </cell>
          <cell r="J5348">
            <v>0</v>
          </cell>
          <cell r="K5348">
            <v>0</v>
          </cell>
          <cell r="M5348">
            <v>0</v>
          </cell>
          <cell r="P5348">
            <v>133</v>
          </cell>
          <cell r="V5348" t="str">
            <v>Not Available</v>
          </cell>
        </row>
        <row r="5349">
          <cell r="E5349">
            <v>10570003</v>
          </cell>
          <cell r="H5349">
            <v>36.9</v>
          </cell>
          <cell r="I5349">
            <v>1319.3500000000001</v>
          </cell>
          <cell r="J5349">
            <v>0</v>
          </cell>
          <cell r="K5349">
            <v>0</v>
          </cell>
          <cell r="M5349">
            <v>0</v>
          </cell>
          <cell r="P5349">
            <v>1319</v>
          </cell>
          <cell r="V5349" t="str">
            <v>Not Available</v>
          </cell>
        </row>
        <row r="5350">
          <cell r="E5350">
            <v>10570003</v>
          </cell>
          <cell r="H5350">
            <v>16.600000000000001</v>
          </cell>
          <cell r="I5350">
            <v>603.39</v>
          </cell>
          <cell r="J5350">
            <v>0</v>
          </cell>
          <cell r="K5350">
            <v>0</v>
          </cell>
          <cell r="M5350">
            <v>0</v>
          </cell>
          <cell r="P5350">
            <v>603</v>
          </cell>
          <cell r="V5350" t="str">
            <v>Not Available</v>
          </cell>
        </row>
        <row r="5351">
          <cell r="E5351">
            <v>10570003</v>
          </cell>
          <cell r="H5351">
            <v>4</v>
          </cell>
          <cell r="I5351">
            <v>133.04</v>
          </cell>
          <cell r="J5351">
            <v>0</v>
          </cell>
          <cell r="K5351">
            <v>0</v>
          </cell>
          <cell r="M5351">
            <v>0</v>
          </cell>
          <cell r="P5351">
            <v>133</v>
          </cell>
          <cell r="V5351" t="str">
            <v>Not Available</v>
          </cell>
        </row>
        <row r="5352">
          <cell r="E5352">
            <v>10570003</v>
          </cell>
          <cell r="H5352">
            <v>75.699999999999989</v>
          </cell>
          <cell r="I5352">
            <v>3410.9399999999996</v>
          </cell>
          <cell r="J5352">
            <v>0</v>
          </cell>
          <cell r="K5352">
            <v>0</v>
          </cell>
          <cell r="M5352">
            <v>0</v>
          </cell>
          <cell r="P5352">
            <v>3411</v>
          </cell>
          <cell r="V5352" t="str">
            <v>Not Available</v>
          </cell>
        </row>
        <row r="5353">
          <cell r="E5353">
            <v>10570003</v>
          </cell>
          <cell r="H5353">
            <v>21.9</v>
          </cell>
          <cell r="I5353">
            <v>830.87</v>
          </cell>
          <cell r="J5353">
            <v>0</v>
          </cell>
          <cell r="K5353">
            <v>0</v>
          </cell>
          <cell r="M5353">
            <v>0</v>
          </cell>
          <cell r="P5353">
            <v>831</v>
          </cell>
          <cell r="V5353" t="str">
            <v>Not Available</v>
          </cell>
        </row>
        <row r="5354">
          <cell r="E5354">
            <v>10570003</v>
          </cell>
          <cell r="H5354">
            <v>21.700000000000003</v>
          </cell>
          <cell r="I5354">
            <v>792.43999999999994</v>
          </cell>
          <cell r="J5354">
            <v>0</v>
          </cell>
          <cell r="K5354">
            <v>0</v>
          </cell>
          <cell r="M5354">
            <v>0</v>
          </cell>
          <cell r="P5354">
            <v>792</v>
          </cell>
          <cell r="V5354" t="str">
            <v>Not Available</v>
          </cell>
        </row>
        <row r="5355">
          <cell r="E5355">
            <v>10570003</v>
          </cell>
          <cell r="H5355">
            <v>11.6</v>
          </cell>
          <cell r="I5355">
            <v>415.80999999999995</v>
          </cell>
          <cell r="J5355">
            <v>0</v>
          </cell>
          <cell r="K5355">
            <v>0</v>
          </cell>
          <cell r="M5355">
            <v>0</v>
          </cell>
          <cell r="P5355">
            <v>416</v>
          </cell>
          <cell r="V5355" t="str">
            <v>Not Available</v>
          </cell>
        </row>
        <row r="5356">
          <cell r="E5356">
            <v>10570003</v>
          </cell>
          <cell r="H5356">
            <v>7</v>
          </cell>
          <cell r="I5356">
            <v>255.45</v>
          </cell>
          <cell r="J5356">
            <v>0</v>
          </cell>
          <cell r="K5356">
            <v>0</v>
          </cell>
          <cell r="M5356">
            <v>0</v>
          </cell>
          <cell r="P5356">
            <v>255</v>
          </cell>
          <cell r="V5356" t="str">
            <v>Not Available</v>
          </cell>
        </row>
        <row r="5357">
          <cell r="E5357">
            <v>10570008</v>
          </cell>
          <cell r="H5357">
            <v>14.8</v>
          </cell>
          <cell r="I5357">
            <v>591.64</v>
          </cell>
          <cell r="J5357">
            <v>0</v>
          </cell>
          <cell r="K5357">
            <v>591.64</v>
          </cell>
          <cell r="M5357">
            <v>0</v>
          </cell>
          <cell r="P5357">
            <v>0</v>
          </cell>
          <cell r="V5357" t="str">
            <v>Not Available</v>
          </cell>
        </row>
        <row r="5358">
          <cell r="E5358">
            <v>10570008</v>
          </cell>
          <cell r="H5358">
            <v>42.300000000000004</v>
          </cell>
          <cell r="I5358">
            <v>1760.1</v>
          </cell>
          <cell r="J5358">
            <v>0</v>
          </cell>
          <cell r="K5358">
            <v>0</v>
          </cell>
          <cell r="M5358">
            <v>0</v>
          </cell>
          <cell r="P5358">
            <v>1690</v>
          </cell>
          <cell r="V5358" t="str">
            <v>Available</v>
          </cell>
        </row>
        <row r="5359">
          <cell r="E5359">
            <v>10570008</v>
          </cell>
          <cell r="H5359">
            <v>65.800000000000011</v>
          </cell>
          <cell r="I5359">
            <v>2536.04</v>
          </cell>
          <cell r="J5359">
            <v>0</v>
          </cell>
          <cell r="K5359">
            <v>0</v>
          </cell>
          <cell r="M5359">
            <v>0</v>
          </cell>
          <cell r="P5359">
            <v>2536</v>
          </cell>
          <cell r="V5359" t="str">
            <v>Not Available</v>
          </cell>
        </row>
        <row r="5360">
          <cell r="E5360">
            <v>10570008</v>
          </cell>
          <cell r="H5360">
            <v>51.70000000000001</v>
          </cell>
          <cell r="I5360">
            <v>2005.6100000000001</v>
          </cell>
          <cell r="J5360">
            <v>0</v>
          </cell>
          <cell r="K5360">
            <v>0</v>
          </cell>
          <cell r="M5360">
            <v>0</v>
          </cell>
          <cell r="P5360">
            <v>2006</v>
          </cell>
          <cell r="V5360" t="str">
            <v>Not Available</v>
          </cell>
        </row>
        <row r="5361">
          <cell r="E5361">
            <v>10570008</v>
          </cell>
          <cell r="H5361">
            <v>55.999999999999993</v>
          </cell>
          <cell r="I5361">
            <v>2206.33</v>
          </cell>
          <cell r="J5361">
            <v>0</v>
          </cell>
          <cell r="K5361">
            <v>0</v>
          </cell>
          <cell r="M5361">
            <v>0</v>
          </cell>
          <cell r="P5361">
            <v>2206</v>
          </cell>
          <cell r="V5361" t="str">
            <v>Not Available</v>
          </cell>
        </row>
        <row r="5362">
          <cell r="E5362">
            <v>10570008</v>
          </cell>
          <cell r="H5362">
            <v>52.6</v>
          </cell>
          <cell r="I5362">
            <v>2096.0800000000004</v>
          </cell>
          <cell r="J5362">
            <v>0</v>
          </cell>
          <cell r="K5362">
            <v>0</v>
          </cell>
          <cell r="M5362">
            <v>0</v>
          </cell>
          <cell r="P5362">
            <v>2096</v>
          </cell>
          <cell r="V5362" t="str">
            <v>Not Available</v>
          </cell>
        </row>
        <row r="5363">
          <cell r="E5363">
            <v>10570008</v>
          </cell>
          <cell r="H5363">
            <v>69.199999999999989</v>
          </cell>
          <cell r="I5363">
            <v>2718.67</v>
          </cell>
          <cell r="J5363">
            <v>0</v>
          </cell>
          <cell r="K5363">
            <v>0</v>
          </cell>
          <cell r="M5363">
            <v>0</v>
          </cell>
          <cell r="P5363">
            <v>2719</v>
          </cell>
          <cell r="V5363" t="str">
            <v>Not Available</v>
          </cell>
        </row>
        <row r="5364">
          <cell r="E5364">
            <v>10570008</v>
          </cell>
          <cell r="H5364">
            <v>51.999999999999993</v>
          </cell>
          <cell r="I5364">
            <v>2042.7099999999998</v>
          </cell>
          <cell r="J5364">
            <v>0</v>
          </cell>
          <cell r="K5364">
            <v>0</v>
          </cell>
          <cell r="M5364">
            <v>0</v>
          </cell>
          <cell r="P5364">
            <v>2043</v>
          </cell>
          <cell r="V5364" t="str">
            <v>Not Available</v>
          </cell>
        </row>
        <row r="5365">
          <cell r="E5365">
            <v>10570008</v>
          </cell>
          <cell r="H5365">
            <v>64.099999999999994</v>
          </cell>
          <cell r="I5365">
            <v>2532.5899999999997</v>
          </cell>
          <cell r="J5365">
            <v>0</v>
          </cell>
          <cell r="K5365">
            <v>0</v>
          </cell>
          <cell r="M5365">
            <v>0</v>
          </cell>
          <cell r="P5365">
            <v>2533</v>
          </cell>
          <cell r="V5365" t="str">
            <v>Not Available</v>
          </cell>
        </row>
        <row r="5366">
          <cell r="E5366">
            <v>10570008</v>
          </cell>
          <cell r="H5366">
            <v>36.000000000000007</v>
          </cell>
          <cell r="I5366">
            <v>1428.9499999999998</v>
          </cell>
          <cell r="J5366">
            <v>0</v>
          </cell>
          <cell r="K5366">
            <v>0</v>
          </cell>
          <cell r="M5366">
            <v>0</v>
          </cell>
          <cell r="P5366">
            <v>1429</v>
          </cell>
          <cell r="V5366" t="str">
            <v>Not Available</v>
          </cell>
        </row>
        <row r="5367">
          <cell r="E5367">
            <v>10570008</v>
          </cell>
          <cell r="H5367">
            <v>43.800000000000004</v>
          </cell>
          <cell r="I5367">
            <v>1603.37</v>
          </cell>
          <cell r="J5367">
            <v>0</v>
          </cell>
          <cell r="K5367">
            <v>0</v>
          </cell>
          <cell r="M5367">
            <v>0</v>
          </cell>
          <cell r="P5367">
            <v>1603</v>
          </cell>
          <cell r="V5367" t="str">
            <v>Not Available</v>
          </cell>
        </row>
        <row r="5368">
          <cell r="E5368">
            <v>10570008</v>
          </cell>
          <cell r="H5368">
            <v>61.499999999999993</v>
          </cell>
          <cell r="I5368">
            <v>2365.9299999999998</v>
          </cell>
          <cell r="J5368">
            <v>0</v>
          </cell>
          <cell r="K5368">
            <v>0</v>
          </cell>
          <cell r="M5368">
            <v>0</v>
          </cell>
          <cell r="P5368">
            <v>2366</v>
          </cell>
          <cell r="V5368" t="str">
            <v>Not Available</v>
          </cell>
        </row>
        <row r="5369">
          <cell r="E5369">
            <v>10570008</v>
          </cell>
          <cell r="H5369">
            <v>47</v>
          </cell>
          <cell r="I5369">
            <v>1893.8199999999997</v>
          </cell>
          <cell r="J5369">
            <v>0</v>
          </cell>
          <cell r="K5369">
            <v>0</v>
          </cell>
          <cell r="M5369">
            <v>0</v>
          </cell>
          <cell r="P5369">
            <v>1894</v>
          </cell>
          <cell r="V5369" t="str">
            <v>Not Available</v>
          </cell>
        </row>
        <row r="5370">
          <cell r="E5370">
            <v>10570008</v>
          </cell>
          <cell r="H5370">
            <v>72.100000000000009</v>
          </cell>
          <cell r="I5370">
            <v>2838.24</v>
          </cell>
          <cell r="J5370">
            <v>0</v>
          </cell>
          <cell r="K5370">
            <v>0</v>
          </cell>
          <cell r="M5370">
            <v>0</v>
          </cell>
          <cell r="P5370">
            <v>2838</v>
          </cell>
          <cell r="V5370" t="str">
            <v>Not Available</v>
          </cell>
        </row>
        <row r="5371">
          <cell r="E5371">
            <v>10570008</v>
          </cell>
          <cell r="H5371">
            <v>41.7</v>
          </cell>
          <cell r="I5371">
            <v>1609.5600000000002</v>
          </cell>
          <cell r="J5371">
            <v>0</v>
          </cell>
          <cell r="K5371">
            <v>0</v>
          </cell>
          <cell r="M5371">
            <v>0</v>
          </cell>
          <cell r="P5371">
            <v>1610</v>
          </cell>
          <cell r="V5371" t="str">
            <v>Not Available</v>
          </cell>
        </row>
        <row r="5372">
          <cell r="E5372">
            <v>10570008</v>
          </cell>
          <cell r="H5372">
            <v>41.300000000000004</v>
          </cell>
          <cell r="I5372">
            <v>1625.06</v>
          </cell>
          <cell r="J5372">
            <v>0</v>
          </cell>
          <cell r="K5372">
            <v>0</v>
          </cell>
          <cell r="M5372">
            <v>0</v>
          </cell>
          <cell r="P5372">
            <v>1625</v>
          </cell>
          <cell r="V5372" t="str">
            <v>Not Available</v>
          </cell>
        </row>
        <row r="5373">
          <cell r="E5373">
            <v>10570008</v>
          </cell>
          <cell r="H5373">
            <v>48.000000000000007</v>
          </cell>
          <cell r="I5373">
            <v>1919.1</v>
          </cell>
          <cell r="J5373">
            <v>0</v>
          </cell>
          <cell r="K5373">
            <v>0</v>
          </cell>
          <cell r="M5373">
            <v>0</v>
          </cell>
          <cell r="P5373">
            <v>1919</v>
          </cell>
          <cell r="V5373" t="str">
            <v>Not Available</v>
          </cell>
        </row>
        <row r="5374">
          <cell r="E5374">
            <v>10570008</v>
          </cell>
          <cell r="H5374">
            <v>22.999999999999996</v>
          </cell>
          <cell r="I5374">
            <v>882.84999999999991</v>
          </cell>
          <cell r="J5374">
            <v>0</v>
          </cell>
          <cell r="K5374">
            <v>0</v>
          </cell>
          <cell r="M5374">
            <v>0</v>
          </cell>
          <cell r="P5374">
            <v>883</v>
          </cell>
          <cell r="V5374" t="str">
            <v>Not Available</v>
          </cell>
        </row>
        <row r="5375">
          <cell r="E5375">
            <v>10570008</v>
          </cell>
          <cell r="H5375">
            <v>27.8</v>
          </cell>
          <cell r="I5375">
            <v>1222.92</v>
          </cell>
          <cell r="J5375">
            <v>0</v>
          </cell>
          <cell r="K5375">
            <v>0</v>
          </cell>
          <cell r="M5375">
            <v>0</v>
          </cell>
          <cell r="P5375">
            <v>1223</v>
          </cell>
          <cell r="V5375" t="str">
            <v>Not Available</v>
          </cell>
        </row>
        <row r="5376">
          <cell r="E5376">
            <v>10570008</v>
          </cell>
          <cell r="H5376">
            <v>43.3</v>
          </cell>
          <cell r="I5376">
            <v>1663.48</v>
          </cell>
          <cell r="J5376">
            <v>0</v>
          </cell>
          <cell r="K5376">
            <v>0</v>
          </cell>
          <cell r="M5376">
            <v>0</v>
          </cell>
          <cell r="P5376">
            <v>1663</v>
          </cell>
          <cell r="V5376" t="str">
            <v>Not Available</v>
          </cell>
        </row>
        <row r="5377">
          <cell r="E5377">
            <v>10570009</v>
          </cell>
          <cell r="H5377">
            <v>9.4</v>
          </cell>
          <cell r="I5377">
            <v>377.65</v>
          </cell>
          <cell r="J5377">
            <v>0</v>
          </cell>
          <cell r="K5377">
            <v>377.65</v>
          </cell>
          <cell r="M5377">
            <v>0</v>
          </cell>
          <cell r="P5377">
            <v>0</v>
          </cell>
          <cell r="V5377" t="str">
            <v>Not Available</v>
          </cell>
        </row>
        <row r="5378">
          <cell r="E5378">
            <v>10570009</v>
          </cell>
          <cell r="H5378">
            <v>307.8</v>
          </cell>
          <cell r="I5378">
            <v>12481.05</v>
          </cell>
          <cell r="J5378">
            <v>0</v>
          </cell>
          <cell r="K5378">
            <v>0</v>
          </cell>
          <cell r="M5378">
            <v>0</v>
          </cell>
          <cell r="P5378">
            <v>12481</v>
          </cell>
          <cell r="V5378" t="str">
            <v>Available</v>
          </cell>
        </row>
        <row r="5379">
          <cell r="E5379">
            <v>10570009</v>
          </cell>
          <cell r="H5379">
            <v>209.8</v>
          </cell>
          <cell r="I5379">
            <v>8385.8300000000017</v>
          </cell>
          <cell r="J5379">
            <v>0</v>
          </cell>
          <cell r="K5379">
            <v>0</v>
          </cell>
          <cell r="M5379">
            <v>0</v>
          </cell>
          <cell r="P5379">
            <v>8386</v>
          </cell>
          <cell r="V5379" t="str">
            <v>Not Available</v>
          </cell>
        </row>
        <row r="5380">
          <cell r="E5380">
            <v>10570009</v>
          </cell>
          <cell r="H5380">
            <v>209.8</v>
          </cell>
          <cell r="I5380">
            <v>8385.83</v>
          </cell>
          <cell r="J5380">
            <v>0</v>
          </cell>
          <cell r="K5380">
            <v>0</v>
          </cell>
          <cell r="M5380">
            <v>0</v>
          </cell>
          <cell r="P5380">
            <v>8386</v>
          </cell>
          <cell r="V5380" t="str">
            <v>Not Available</v>
          </cell>
        </row>
        <row r="5381">
          <cell r="E5381">
            <v>10570009</v>
          </cell>
          <cell r="H5381">
            <v>209.8</v>
          </cell>
          <cell r="I5381">
            <v>8385.8300000000017</v>
          </cell>
          <cell r="J5381">
            <v>0</v>
          </cell>
          <cell r="K5381">
            <v>0</v>
          </cell>
          <cell r="M5381">
            <v>0</v>
          </cell>
          <cell r="P5381">
            <v>8386</v>
          </cell>
          <cell r="V5381" t="str">
            <v>Not Available</v>
          </cell>
        </row>
        <row r="5382">
          <cell r="E5382">
            <v>10570009</v>
          </cell>
          <cell r="H5382">
            <v>169.8</v>
          </cell>
          <cell r="I5382">
            <v>6801.0300000000007</v>
          </cell>
          <cell r="J5382">
            <v>0</v>
          </cell>
          <cell r="K5382">
            <v>0</v>
          </cell>
          <cell r="M5382">
            <v>0</v>
          </cell>
          <cell r="P5382">
            <v>6801</v>
          </cell>
          <cell r="V5382" t="str">
            <v>Not Available</v>
          </cell>
        </row>
        <row r="5383">
          <cell r="E5383">
            <v>10570009</v>
          </cell>
          <cell r="H5383">
            <v>169.8</v>
          </cell>
          <cell r="I5383">
            <v>6801.0300000000007</v>
          </cell>
          <cell r="J5383">
            <v>0</v>
          </cell>
          <cell r="K5383">
            <v>0</v>
          </cell>
          <cell r="M5383">
            <v>0</v>
          </cell>
          <cell r="P5383">
            <v>6801</v>
          </cell>
          <cell r="V5383" t="str">
            <v>Not Available</v>
          </cell>
        </row>
        <row r="5384">
          <cell r="E5384">
            <v>10570017</v>
          </cell>
          <cell r="H5384">
            <v>99</v>
          </cell>
          <cell r="I5384">
            <v>4886.8499999999995</v>
          </cell>
          <cell r="J5384">
            <v>0</v>
          </cell>
          <cell r="K5384">
            <v>0</v>
          </cell>
          <cell r="M5384">
            <v>0</v>
          </cell>
          <cell r="P5384">
            <v>4387</v>
          </cell>
          <cell r="V5384" t="str">
            <v>Available</v>
          </cell>
        </row>
        <row r="5385">
          <cell r="E5385">
            <v>10570017</v>
          </cell>
          <cell r="H5385">
            <v>19.100000000000001</v>
          </cell>
          <cell r="I5385">
            <v>842.97</v>
          </cell>
          <cell r="J5385">
            <v>0</v>
          </cell>
          <cell r="K5385">
            <v>0</v>
          </cell>
          <cell r="M5385">
            <v>0</v>
          </cell>
          <cell r="P5385">
            <v>843</v>
          </cell>
          <cell r="V5385" t="str">
            <v>Not Available</v>
          </cell>
        </row>
        <row r="5386">
          <cell r="E5386">
            <v>10570017</v>
          </cell>
          <cell r="H5386">
            <v>14.299999999999999</v>
          </cell>
          <cell r="I5386">
            <v>640.91999999999996</v>
          </cell>
          <cell r="J5386">
            <v>0</v>
          </cell>
          <cell r="K5386">
            <v>0</v>
          </cell>
          <cell r="M5386">
            <v>0</v>
          </cell>
          <cell r="P5386">
            <v>641</v>
          </cell>
          <cell r="V5386" t="str">
            <v>Not Available</v>
          </cell>
        </row>
        <row r="5387">
          <cell r="E5387">
            <v>10570017</v>
          </cell>
          <cell r="H5387">
            <v>9.8000000000000007</v>
          </cell>
          <cell r="I5387">
            <v>515.52</v>
          </cell>
          <cell r="J5387">
            <v>0</v>
          </cell>
          <cell r="K5387">
            <v>0</v>
          </cell>
          <cell r="M5387">
            <v>0</v>
          </cell>
          <cell r="P5387">
            <v>516</v>
          </cell>
          <cell r="V5387" t="str">
            <v>Not Available</v>
          </cell>
        </row>
        <row r="5388">
          <cell r="E5388">
            <v>10570017</v>
          </cell>
          <cell r="H5388">
            <v>15.000000000000002</v>
          </cell>
          <cell r="I5388">
            <v>690.13999999999987</v>
          </cell>
          <cell r="J5388">
            <v>0</v>
          </cell>
          <cell r="K5388">
            <v>0</v>
          </cell>
          <cell r="M5388">
            <v>0</v>
          </cell>
          <cell r="P5388">
            <v>690</v>
          </cell>
          <cell r="V5388" t="str">
            <v>Not Available</v>
          </cell>
        </row>
        <row r="5389">
          <cell r="E5389">
            <v>10570017</v>
          </cell>
          <cell r="H5389">
            <v>15</v>
          </cell>
          <cell r="I5389">
            <v>713.97</v>
          </cell>
          <cell r="J5389">
            <v>0</v>
          </cell>
          <cell r="K5389">
            <v>0</v>
          </cell>
          <cell r="M5389">
            <v>0</v>
          </cell>
          <cell r="P5389">
            <v>714</v>
          </cell>
          <cell r="V5389" t="str">
            <v>Not Available</v>
          </cell>
        </row>
        <row r="5390">
          <cell r="E5390">
            <v>10570017</v>
          </cell>
          <cell r="H5390">
            <v>21.7</v>
          </cell>
          <cell r="I5390">
            <v>973.08</v>
          </cell>
          <cell r="J5390">
            <v>0</v>
          </cell>
          <cell r="K5390">
            <v>0</v>
          </cell>
          <cell r="M5390">
            <v>0</v>
          </cell>
          <cell r="P5390">
            <v>973</v>
          </cell>
          <cell r="V5390" t="str">
            <v>Not Available</v>
          </cell>
        </row>
        <row r="5391">
          <cell r="E5391">
            <v>10570017</v>
          </cell>
          <cell r="H5391">
            <v>9.6999999999999993</v>
          </cell>
          <cell r="I5391">
            <v>480.71000000000004</v>
          </cell>
          <cell r="J5391">
            <v>0</v>
          </cell>
          <cell r="K5391">
            <v>0</v>
          </cell>
          <cell r="M5391">
            <v>0</v>
          </cell>
          <cell r="P5391">
            <v>481</v>
          </cell>
          <cell r="V5391" t="str">
            <v>Not Available</v>
          </cell>
        </row>
        <row r="5392">
          <cell r="E5392">
            <v>10570017</v>
          </cell>
          <cell r="H5392">
            <v>11.100000000000001</v>
          </cell>
          <cell r="I5392">
            <v>439.24</v>
          </cell>
          <cell r="J5392">
            <v>0</v>
          </cell>
          <cell r="K5392">
            <v>0</v>
          </cell>
          <cell r="M5392">
            <v>0</v>
          </cell>
          <cell r="P5392">
            <v>439</v>
          </cell>
          <cell r="V5392" t="str">
            <v>Not Available</v>
          </cell>
        </row>
        <row r="5393">
          <cell r="E5393">
            <v>10570017</v>
          </cell>
          <cell r="H5393">
            <v>17.299999999999997</v>
          </cell>
          <cell r="I5393">
            <v>747.15</v>
          </cell>
          <cell r="J5393">
            <v>0</v>
          </cell>
          <cell r="K5393">
            <v>0</v>
          </cell>
          <cell r="M5393">
            <v>0</v>
          </cell>
          <cell r="P5393">
            <v>747</v>
          </cell>
          <cell r="V5393" t="str">
            <v>Not Available</v>
          </cell>
        </row>
        <row r="5394">
          <cell r="E5394">
            <v>10570017</v>
          </cell>
          <cell r="H5394">
            <v>14.200000000000001</v>
          </cell>
          <cell r="I5394">
            <v>672.82</v>
          </cell>
          <cell r="J5394">
            <v>0</v>
          </cell>
          <cell r="K5394">
            <v>0</v>
          </cell>
          <cell r="M5394">
            <v>0</v>
          </cell>
          <cell r="P5394">
            <v>673</v>
          </cell>
          <cell r="V5394" t="str">
            <v>Not Available</v>
          </cell>
        </row>
        <row r="5395">
          <cell r="E5395">
            <v>10570017</v>
          </cell>
          <cell r="H5395">
            <v>4.4000000000000004</v>
          </cell>
          <cell r="I5395">
            <v>218.23000000000002</v>
          </cell>
          <cell r="J5395">
            <v>0</v>
          </cell>
          <cell r="K5395">
            <v>0</v>
          </cell>
          <cell r="M5395">
            <v>0</v>
          </cell>
          <cell r="P5395">
            <v>218</v>
          </cell>
          <cell r="V5395" t="str">
            <v>Not Available</v>
          </cell>
        </row>
        <row r="5396">
          <cell r="E5396">
            <v>10570019</v>
          </cell>
          <cell r="H5396">
            <v>5.8</v>
          </cell>
          <cell r="I5396">
            <v>273.31</v>
          </cell>
          <cell r="J5396">
            <v>0</v>
          </cell>
          <cell r="K5396">
            <v>273.31</v>
          </cell>
          <cell r="M5396">
            <v>0</v>
          </cell>
          <cell r="P5396">
            <v>0</v>
          </cell>
          <cell r="V5396" t="str">
            <v>Not Available</v>
          </cell>
        </row>
        <row r="5397">
          <cell r="E5397">
            <v>10570019</v>
          </cell>
          <cell r="H5397">
            <v>40.800000000000004</v>
          </cell>
          <cell r="I5397">
            <v>1970.53</v>
          </cell>
          <cell r="J5397">
            <v>0</v>
          </cell>
          <cell r="K5397">
            <v>0</v>
          </cell>
          <cell r="M5397">
            <v>0</v>
          </cell>
          <cell r="P5397">
            <v>1971</v>
          </cell>
          <cell r="V5397" t="str">
            <v>Available</v>
          </cell>
        </row>
        <row r="5398">
          <cell r="E5398">
            <v>10570019</v>
          </cell>
          <cell r="H5398">
            <v>35.200000000000003</v>
          </cell>
          <cell r="I5398">
            <v>1577.1100000000001</v>
          </cell>
          <cell r="J5398">
            <v>0</v>
          </cell>
          <cell r="K5398">
            <v>0</v>
          </cell>
          <cell r="M5398">
            <v>0</v>
          </cell>
          <cell r="P5398">
            <v>1577</v>
          </cell>
          <cell r="V5398" t="str">
            <v>Available</v>
          </cell>
        </row>
        <row r="5399">
          <cell r="E5399">
            <v>10570019</v>
          </cell>
          <cell r="H5399">
            <v>100.3</v>
          </cell>
          <cell r="I5399">
            <v>4083.9199999999996</v>
          </cell>
          <cell r="J5399">
            <v>0</v>
          </cell>
          <cell r="K5399">
            <v>0</v>
          </cell>
          <cell r="M5399">
            <v>0</v>
          </cell>
          <cell r="P5399">
            <v>4084</v>
          </cell>
          <cell r="V5399" t="str">
            <v>Not Available</v>
          </cell>
        </row>
        <row r="5400">
          <cell r="E5400">
            <v>10570019</v>
          </cell>
          <cell r="H5400">
            <v>25.400000000000002</v>
          </cell>
          <cell r="I5400">
            <v>1216.93</v>
          </cell>
          <cell r="J5400">
            <v>0</v>
          </cell>
          <cell r="K5400">
            <v>0</v>
          </cell>
          <cell r="M5400">
            <v>0</v>
          </cell>
          <cell r="P5400">
            <v>1217</v>
          </cell>
          <cell r="V5400" t="str">
            <v>Not Available</v>
          </cell>
        </row>
        <row r="5401">
          <cell r="E5401">
            <v>10570019</v>
          </cell>
          <cell r="H5401">
            <v>9.3000000000000007</v>
          </cell>
          <cell r="I5401">
            <v>453.93</v>
          </cell>
          <cell r="J5401">
            <v>0</v>
          </cell>
          <cell r="K5401">
            <v>0</v>
          </cell>
          <cell r="M5401">
            <v>0</v>
          </cell>
          <cell r="P5401">
            <v>454</v>
          </cell>
          <cell r="V5401" t="str">
            <v>Not Available</v>
          </cell>
        </row>
        <row r="5402">
          <cell r="E5402">
            <v>10570019</v>
          </cell>
          <cell r="H5402">
            <v>56.199999999999996</v>
          </cell>
          <cell r="I5402">
            <v>2559.9499999999998</v>
          </cell>
          <cell r="J5402">
            <v>0</v>
          </cell>
          <cell r="K5402">
            <v>0</v>
          </cell>
          <cell r="M5402">
            <v>0</v>
          </cell>
          <cell r="P5402">
            <v>2560</v>
          </cell>
          <cell r="V5402" t="str">
            <v>Available</v>
          </cell>
        </row>
        <row r="5403">
          <cell r="E5403">
            <v>10570019</v>
          </cell>
          <cell r="H5403">
            <v>30.599999999999998</v>
          </cell>
          <cell r="I5403">
            <v>1440.49</v>
          </cell>
          <cell r="J5403">
            <v>0</v>
          </cell>
          <cell r="K5403">
            <v>0</v>
          </cell>
          <cell r="M5403">
            <v>0</v>
          </cell>
          <cell r="P5403">
            <v>1440</v>
          </cell>
          <cell r="V5403" t="str">
            <v>Not Available</v>
          </cell>
        </row>
        <row r="5404">
          <cell r="E5404">
            <v>10570019</v>
          </cell>
          <cell r="H5404">
            <v>74.900000000000006</v>
          </cell>
          <cell r="I5404">
            <v>4235.53</v>
          </cell>
          <cell r="J5404">
            <v>0</v>
          </cell>
          <cell r="K5404">
            <v>0</v>
          </cell>
          <cell r="M5404">
            <v>0</v>
          </cell>
          <cell r="P5404">
            <v>4236</v>
          </cell>
          <cell r="V5404" t="str">
            <v>Not Available</v>
          </cell>
        </row>
        <row r="5405">
          <cell r="E5405">
            <v>10570019</v>
          </cell>
          <cell r="H5405">
            <v>17.400000000000002</v>
          </cell>
          <cell r="I5405">
            <v>802.02</v>
          </cell>
          <cell r="J5405">
            <v>0</v>
          </cell>
          <cell r="K5405">
            <v>0</v>
          </cell>
          <cell r="M5405">
            <v>0</v>
          </cell>
          <cell r="P5405">
            <v>802</v>
          </cell>
          <cell r="V5405" t="str">
            <v>Not Available</v>
          </cell>
        </row>
        <row r="5406">
          <cell r="E5406">
            <v>10570019</v>
          </cell>
          <cell r="H5406">
            <v>42.499999999999993</v>
          </cell>
          <cell r="I5406">
            <v>1773.6100000000001</v>
          </cell>
          <cell r="J5406">
            <v>0</v>
          </cell>
          <cell r="K5406">
            <v>0</v>
          </cell>
          <cell r="M5406">
            <v>0</v>
          </cell>
          <cell r="P5406">
            <v>1774</v>
          </cell>
          <cell r="V5406" t="str">
            <v>Not Available</v>
          </cell>
        </row>
        <row r="5407">
          <cell r="E5407">
            <v>10570019</v>
          </cell>
          <cell r="H5407">
            <v>39.599999999999994</v>
          </cell>
          <cell r="I5407">
            <v>1833.81</v>
          </cell>
          <cell r="J5407">
            <v>0</v>
          </cell>
          <cell r="K5407">
            <v>0</v>
          </cell>
          <cell r="M5407">
            <v>0</v>
          </cell>
          <cell r="P5407">
            <v>1834</v>
          </cell>
          <cell r="V5407" t="str">
            <v>Not Available</v>
          </cell>
        </row>
        <row r="5408">
          <cell r="E5408">
            <v>10570019</v>
          </cell>
          <cell r="H5408">
            <v>23.900000000000002</v>
          </cell>
          <cell r="I5408">
            <v>1105.94</v>
          </cell>
          <cell r="J5408">
            <v>0</v>
          </cell>
          <cell r="K5408">
            <v>0</v>
          </cell>
          <cell r="M5408">
            <v>0</v>
          </cell>
          <cell r="P5408">
            <v>1106</v>
          </cell>
          <cell r="V5408" t="str">
            <v>Not Available</v>
          </cell>
        </row>
        <row r="5409">
          <cell r="E5409">
            <v>10570019</v>
          </cell>
          <cell r="H5409">
            <v>54.899999999999991</v>
          </cell>
          <cell r="I5409">
            <v>2837.98</v>
          </cell>
          <cell r="J5409">
            <v>0</v>
          </cell>
          <cell r="K5409">
            <v>0</v>
          </cell>
          <cell r="M5409">
            <v>0</v>
          </cell>
          <cell r="P5409">
            <v>2838</v>
          </cell>
          <cell r="V5409" t="str">
            <v>Not Available</v>
          </cell>
        </row>
        <row r="5410">
          <cell r="E5410">
            <v>10570019</v>
          </cell>
          <cell r="H5410">
            <v>20.6</v>
          </cell>
          <cell r="I5410">
            <v>921.13</v>
          </cell>
          <cell r="J5410">
            <v>0</v>
          </cell>
          <cell r="K5410">
            <v>0</v>
          </cell>
          <cell r="M5410">
            <v>0</v>
          </cell>
          <cell r="P5410">
            <v>921</v>
          </cell>
          <cell r="V5410" t="str">
            <v>Not Available</v>
          </cell>
        </row>
        <row r="5411">
          <cell r="E5411">
            <v>10570019</v>
          </cell>
          <cell r="H5411">
            <v>16.100000000000001</v>
          </cell>
          <cell r="I5411">
            <v>707.54</v>
          </cell>
          <cell r="J5411">
            <v>0</v>
          </cell>
          <cell r="K5411">
            <v>0</v>
          </cell>
          <cell r="M5411">
            <v>0</v>
          </cell>
          <cell r="P5411">
            <v>708</v>
          </cell>
          <cell r="V5411" t="str">
            <v>Not Available</v>
          </cell>
        </row>
        <row r="5412">
          <cell r="E5412">
            <v>10570019</v>
          </cell>
          <cell r="H5412">
            <v>20.100000000000001</v>
          </cell>
          <cell r="I5412">
            <v>947.96999999999991</v>
          </cell>
          <cell r="J5412">
            <v>0</v>
          </cell>
          <cell r="K5412">
            <v>0</v>
          </cell>
          <cell r="M5412">
            <v>0</v>
          </cell>
          <cell r="P5412">
            <v>948</v>
          </cell>
          <cell r="V5412" t="str">
            <v>Not Available</v>
          </cell>
        </row>
        <row r="5413">
          <cell r="E5413">
            <v>10570019</v>
          </cell>
          <cell r="H5413">
            <v>17.3</v>
          </cell>
          <cell r="I5413">
            <v>787.89</v>
          </cell>
          <cell r="J5413">
            <v>0</v>
          </cell>
          <cell r="K5413">
            <v>0</v>
          </cell>
          <cell r="M5413">
            <v>0</v>
          </cell>
          <cell r="P5413">
            <v>788</v>
          </cell>
          <cell r="V5413" t="str">
            <v>Not Available</v>
          </cell>
        </row>
        <row r="5414">
          <cell r="E5414">
            <v>10570019</v>
          </cell>
          <cell r="H5414">
            <v>22.3</v>
          </cell>
          <cell r="I5414">
            <v>1015.07</v>
          </cell>
          <cell r="J5414">
            <v>0</v>
          </cell>
          <cell r="K5414">
            <v>0</v>
          </cell>
          <cell r="M5414">
            <v>0</v>
          </cell>
          <cell r="P5414">
            <v>1015</v>
          </cell>
          <cell r="V5414" t="str">
            <v>Not Available</v>
          </cell>
        </row>
        <row r="5415">
          <cell r="E5415">
            <v>10570020</v>
          </cell>
          <cell r="H5415">
            <v>2</v>
          </cell>
          <cell r="I5415">
            <v>77.84</v>
          </cell>
          <cell r="J5415">
            <v>0</v>
          </cell>
          <cell r="K5415">
            <v>77.84</v>
          </cell>
          <cell r="M5415">
            <v>0</v>
          </cell>
          <cell r="P5415">
            <v>0</v>
          </cell>
          <cell r="V5415" t="str">
            <v>Not Available</v>
          </cell>
        </row>
        <row r="5416">
          <cell r="E5416">
            <v>10570020</v>
          </cell>
          <cell r="H5416">
            <v>794</v>
          </cell>
          <cell r="I5416">
            <v>35984.080000000002</v>
          </cell>
          <cell r="J5416">
            <v>0</v>
          </cell>
          <cell r="K5416">
            <v>0</v>
          </cell>
          <cell r="M5416">
            <v>0</v>
          </cell>
          <cell r="P5416">
            <v>35984</v>
          </cell>
          <cell r="V5416" t="str">
            <v>Available</v>
          </cell>
        </row>
        <row r="5417">
          <cell r="E5417">
            <v>10570021</v>
          </cell>
          <cell r="H5417">
            <v>0.8</v>
          </cell>
          <cell r="I5417">
            <v>29.880000000000003</v>
          </cell>
          <cell r="J5417">
            <v>0</v>
          </cell>
          <cell r="K5417">
            <v>29.880000000000003</v>
          </cell>
          <cell r="M5417">
            <v>0</v>
          </cell>
          <cell r="P5417">
            <v>0</v>
          </cell>
          <cell r="V5417" t="str">
            <v>Not Available</v>
          </cell>
        </row>
        <row r="5418">
          <cell r="E5418">
            <v>10570021</v>
          </cell>
          <cell r="H5418">
            <v>99.11</v>
          </cell>
          <cell r="I5418">
            <v>3918.4400000000005</v>
          </cell>
          <cell r="J5418">
            <v>0</v>
          </cell>
          <cell r="K5418">
            <v>0</v>
          </cell>
          <cell r="M5418">
            <v>0</v>
          </cell>
          <cell r="P5418">
            <v>3918</v>
          </cell>
          <cell r="V5418" t="str">
            <v>Available</v>
          </cell>
        </row>
        <row r="5419">
          <cell r="E5419">
            <v>10570021</v>
          </cell>
          <cell r="H5419">
            <v>111.30000000000001</v>
          </cell>
          <cell r="I5419">
            <v>4263.9799999999996</v>
          </cell>
          <cell r="J5419">
            <v>0</v>
          </cell>
          <cell r="K5419">
            <v>0</v>
          </cell>
          <cell r="M5419">
            <v>0</v>
          </cell>
          <cell r="P5419">
            <v>4264</v>
          </cell>
          <cell r="V5419" t="str">
            <v>Available</v>
          </cell>
        </row>
        <row r="5420">
          <cell r="E5420">
            <v>10570021</v>
          </cell>
          <cell r="H5420">
            <v>91.500000000000014</v>
          </cell>
          <cell r="I5420">
            <v>3531.8599999999997</v>
          </cell>
          <cell r="J5420">
            <v>0</v>
          </cell>
          <cell r="K5420">
            <v>0</v>
          </cell>
          <cell r="M5420">
            <v>0</v>
          </cell>
          <cell r="P5420">
            <v>3532</v>
          </cell>
          <cell r="V5420" t="str">
            <v>Available</v>
          </cell>
        </row>
        <row r="5421">
          <cell r="E5421">
            <v>10570021</v>
          </cell>
          <cell r="H5421">
            <v>116.49999999999999</v>
          </cell>
          <cell r="I5421">
            <v>4492.0600000000004</v>
          </cell>
          <cell r="J5421">
            <v>0</v>
          </cell>
          <cell r="K5421">
            <v>0</v>
          </cell>
          <cell r="M5421">
            <v>0</v>
          </cell>
          <cell r="P5421">
            <v>4492</v>
          </cell>
          <cell r="V5421" t="str">
            <v>Available</v>
          </cell>
        </row>
        <row r="5422">
          <cell r="E5422">
            <v>10570021</v>
          </cell>
          <cell r="H5422">
            <v>6.6</v>
          </cell>
          <cell r="I5422">
            <v>247.76</v>
          </cell>
          <cell r="J5422">
            <v>0</v>
          </cell>
          <cell r="K5422">
            <v>0</v>
          </cell>
          <cell r="M5422">
            <v>0</v>
          </cell>
          <cell r="P5422">
            <v>248</v>
          </cell>
          <cell r="V5422" t="str">
            <v>Not Available</v>
          </cell>
        </row>
        <row r="5423">
          <cell r="E5423">
            <v>10570021</v>
          </cell>
          <cell r="H5423">
            <v>33.299999999999997</v>
          </cell>
          <cell r="I5423">
            <v>1258.58</v>
          </cell>
          <cell r="J5423">
            <v>0</v>
          </cell>
          <cell r="K5423">
            <v>0</v>
          </cell>
          <cell r="M5423">
            <v>0</v>
          </cell>
          <cell r="P5423">
            <v>1259</v>
          </cell>
          <cell r="V5423" t="str">
            <v>Not Available</v>
          </cell>
        </row>
        <row r="5424">
          <cell r="E5424">
            <v>10570021</v>
          </cell>
          <cell r="H5424">
            <v>21.5</v>
          </cell>
          <cell r="I5424">
            <v>801.01</v>
          </cell>
          <cell r="J5424">
            <v>0</v>
          </cell>
          <cell r="K5424">
            <v>0</v>
          </cell>
          <cell r="M5424">
            <v>0</v>
          </cell>
          <cell r="P5424">
            <v>801</v>
          </cell>
          <cell r="V5424" t="str">
            <v>Not Available</v>
          </cell>
        </row>
        <row r="5425">
          <cell r="E5425">
            <v>10570021</v>
          </cell>
          <cell r="H5425">
            <v>29.700000000000003</v>
          </cell>
          <cell r="I5425">
            <v>1199.5999999999999</v>
          </cell>
          <cell r="J5425">
            <v>0</v>
          </cell>
          <cell r="K5425">
            <v>0</v>
          </cell>
          <cell r="M5425">
            <v>0</v>
          </cell>
          <cell r="P5425">
            <v>1200</v>
          </cell>
          <cell r="V5425" t="str">
            <v>Not Available</v>
          </cell>
        </row>
        <row r="5426">
          <cell r="E5426">
            <v>10570028</v>
          </cell>
          <cell r="H5426">
            <v>34.200000000000003</v>
          </cell>
          <cell r="I5426">
            <v>1332.54</v>
          </cell>
          <cell r="J5426">
            <v>0</v>
          </cell>
          <cell r="K5426">
            <v>0</v>
          </cell>
          <cell r="M5426">
            <v>0</v>
          </cell>
          <cell r="P5426">
            <v>1333</v>
          </cell>
          <cell r="V5426" t="str">
            <v>Available</v>
          </cell>
        </row>
        <row r="5427">
          <cell r="E5427">
            <v>10570028</v>
          </cell>
          <cell r="H5427">
            <v>24</v>
          </cell>
          <cell r="I5427">
            <v>923.07</v>
          </cell>
          <cell r="J5427">
            <v>0</v>
          </cell>
          <cell r="K5427">
            <v>0</v>
          </cell>
          <cell r="M5427">
            <v>0</v>
          </cell>
          <cell r="P5427">
            <v>923</v>
          </cell>
          <cell r="V5427" t="str">
            <v>Not Available</v>
          </cell>
        </row>
        <row r="5428">
          <cell r="E5428">
            <v>10570028</v>
          </cell>
          <cell r="H5428">
            <v>21.8</v>
          </cell>
          <cell r="I5428">
            <v>830.36</v>
          </cell>
          <cell r="J5428">
            <v>0</v>
          </cell>
          <cell r="K5428">
            <v>0</v>
          </cell>
          <cell r="M5428">
            <v>0</v>
          </cell>
          <cell r="P5428">
            <v>830</v>
          </cell>
          <cell r="V5428" t="str">
            <v>Not Available</v>
          </cell>
        </row>
        <row r="5429">
          <cell r="E5429">
            <v>10570028</v>
          </cell>
          <cell r="H5429">
            <v>21.5</v>
          </cell>
          <cell r="I5429">
            <v>818.94</v>
          </cell>
          <cell r="J5429">
            <v>0</v>
          </cell>
          <cell r="K5429">
            <v>0</v>
          </cell>
          <cell r="M5429">
            <v>0</v>
          </cell>
          <cell r="P5429">
            <v>819</v>
          </cell>
          <cell r="V5429" t="str">
            <v>Not Available</v>
          </cell>
        </row>
        <row r="5430">
          <cell r="E5430">
            <v>10570028</v>
          </cell>
          <cell r="H5430">
            <v>21.8</v>
          </cell>
          <cell r="I5430">
            <v>830.36</v>
          </cell>
          <cell r="J5430">
            <v>0</v>
          </cell>
          <cell r="K5430">
            <v>0</v>
          </cell>
          <cell r="M5430">
            <v>0</v>
          </cell>
          <cell r="P5430">
            <v>830</v>
          </cell>
          <cell r="V5430" t="str">
            <v>Not Available</v>
          </cell>
        </row>
        <row r="5431">
          <cell r="E5431">
            <v>10570028</v>
          </cell>
          <cell r="H5431">
            <v>21.8</v>
          </cell>
          <cell r="I5431">
            <v>830.36</v>
          </cell>
          <cell r="J5431">
            <v>0</v>
          </cell>
          <cell r="K5431">
            <v>0</v>
          </cell>
          <cell r="M5431">
            <v>0</v>
          </cell>
          <cell r="P5431">
            <v>830</v>
          </cell>
          <cell r="V5431" t="str">
            <v>Not Available</v>
          </cell>
        </row>
        <row r="5432">
          <cell r="E5432">
            <v>10570028</v>
          </cell>
          <cell r="H5432">
            <v>21.8</v>
          </cell>
          <cell r="I5432">
            <v>830.36</v>
          </cell>
          <cell r="J5432">
            <v>0</v>
          </cell>
          <cell r="K5432">
            <v>0</v>
          </cell>
          <cell r="M5432">
            <v>0</v>
          </cell>
          <cell r="P5432">
            <v>830</v>
          </cell>
          <cell r="V5432" t="str">
            <v>Not Available</v>
          </cell>
        </row>
        <row r="5433">
          <cell r="E5433">
            <v>10570028</v>
          </cell>
          <cell r="H5433">
            <v>21.8</v>
          </cell>
          <cell r="I5433">
            <v>830.36</v>
          </cell>
          <cell r="J5433">
            <v>0</v>
          </cell>
          <cell r="K5433">
            <v>0</v>
          </cell>
          <cell r="M5433">
            <v>0</v>
          </cell>
          <cell r="P5433">
            <v>830</v>
          </cell>
          <cell r="V5433" t="str">
            <v>Not Available</v>
          </cell>
        </row>
        <row r="5434">
          <cell r="E5434">
            <v>10570028</v>
          </cell>
          <cell r="H5434">
            <v>21.5</v>
          </cell>
          <cell r="I5434">
            <v>818.94</v>
          </cell>
          <cell r="J5434">
            <v>0</v>
          </cell>
          <cell r="K5434">
            <v>0</v>
          </cell>
          <cell r="M5434">
            <v>0</v>
          </cell>
          <cell r="P5434">
            <v>819</v>
          </cell>
          <cell r="V5434" t="str">
            <v>Not Available</v>
          </cell>
        </row>
        <row r="5435">
          <cell r="E5435">
            <v>10570028</v>
          </cell>
          <cell r="H5435">
            <v>21.5</v>
          </cell>
          <cell r="I5435">
            <v>792.06</v>
          </cell>
          <cell r="J5435">
            <v>0</v>
          </cell>
          <cell r="K5435">
            <v>0</v>
          </cell>
          <cell r="M5435">
            <v>0</v>
          </cell>
          <cell r="P5435">
            <v>792</v>
          </cell>
          <cell r="V5435" t="str">
            <v>Not Available</v>
          </cell>
        </row>
        <row r="5436">
          <cell r="E5436">
            <v>10570028</v>
          </cell>
          <cell r="H5436">
            <v>21.5</v>
          </cell>
          <cell r="I5436">
            <v>818.94</v>
          </cell>
          <cell r="J5436">
            <v>0</v>
          </cell>
          <cell r="K5436">
            <v>0</v>
          </cell>
          <cell r="M5436">
            <v>0</v>
          </cell>
          <cell r="P5436">
            <v>819</v>
          </cell>
          <cell r="V5436" t="str">
            <v>Not Available</v>
          </cell>
        </row>
        <row r="5437">
          <cell r="E5437">
            <v>10570028</v>
          </cell>
          <cell r="H5437">
            <v>21.5</v>
          </cell>
          <cell r="I5437">
            <v>818.94</v>
          </cell>
          <cell r="J5437">
            <v>0</v>
          </cell>
          <cell r="K5437">
            <v>0</v>
          </cell>
          <cell r="M5437">
            <v>0</v>
          </cell>
          <cell r="P5437">
            <v>819</v>
          </cell>
          <cell r="V5437" t="str">
            <v>Not Available</v>
          </cell>
        </row>
        <row r="5438">
          <cell r="E5438">
            <v>10570028</v>
          </cell>
          <cell r="H5438">
            <v>21.5</v>
          </cell>
          <cell r="I5438">
            <v>818.94</v>
          </cell>
          <cell r="J5438">
            <v>0</v>
          </cell>
          <cell r="K5438">
            <v>0</v>
          </cell>
          <cell r="M5438">
            <v>0</v>
          </cell>
          <cell r="P5438">
            <v>819</v>
          </cell>
          <cell r="V5438" t="str">
            <v>Not Available</v>
          </cell>
        </row>
        <row r="5439">
          <cell r="E5439">
            <v>10570028</v>
          </cell>
          <cell r="H5439">
            <v>21.5</v>
          </cell>
          <cell r="I5439">
            <v>818.94</v>
          </cell>
          <cell r="J5439">
            <v>0</v>
          </cell>
          <cell r="K5439">
            <v>0</v>
          </cell>
          <cell r="M5439">
            <v>0</v>
          </cell>
          <cell r="P5439">
            <v>819</v>
          </cell>
          <cell r="V5439" t="str">
            <v>Not Available</v>
          </cell>
        </row>
        <row r="5440">
          <cell r="E5440">
            <v>10570029</v>
          </cell>
          <cell r="H5440">
            <v>10</v>
          </cell>
          <cell r="I5440">
            <v>408.7</v>
          </cell>
          <cell r="J5440">
            <v>0</v>
          </cell>
          <cell r="K5440">
            <v>408.7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10570029</v>
          </cell>
          <cell r="H5441">
            <v>32</v>
          </cell>
          <cell r="I5441">
            <v>1396.8</v>
          </cell>
          <cell r="J5441">
            <v>0</v>
          </cell>
          <cell r="K5441">
            <v>0</v>
          </cell>
          <cell r="M5441">
            <v>0</v>
          </cell>
          <cell r="P5441">
            <v>0</v>
          </cell>
          <cell r="V5441" t="str">
            <v>Available</v>
          </cell>
        </row>
        <row r="5442">
          <cell r="E5442">
            <v>10570029</v>
          </cell>
          <cell r="H5442">
            <v>13</v>
          </cell>
          <cell r="I5442">
            <v>534.95000000000005</v>
          </cell>
          <cell r="J5442">
            <v>0</v>
          </cell>
          <cell r="K5442">
            <v>0</v>
          </cell>
          <cell r="M5442">
            <v>0</v>
          </cell>
          <cell r="P5442">
            <v>0</v>
          </cell>
          <cell r="V5442" t="str">
            <v>Not Available</v>
          </cell>
        </row>
        <row r="5443">
          <cell r="E5443">
            <v>10570029</v>
          </cell>
          <cell r="H5443">
            <v>23</v>
          </cell>
          <cell r="I5443">
            <v>917.47</v>
          </cell>
          <cell r="J5443">
            <v>0</v>
          </cell>
          <cell r="K5443">
            <v>0</v>
          </cell>
          <cell r="M5443">
            <v>0</v>
          </cell>
          <cell r="P5443">
            <v>0</v>
          </cell>
          <cell r="V5443" t="str">
            <v>Not Available</v>
          </cell>
        </row>
        <row r="5444">
          <cell r="E5444">
            <v>10570029</v>
          </cell>
          <cell r="H5444">
            <v>12</v>
          </cell>
          <cell r="I5444">
            <v>472.08</v>
          </cell>
          <cell r="J5444">
            <v>0</v>
          </cell>
          <cell r="K5444">
            <v>0</v>
          </cell>
          <cell r="M5444">
            <v>0</v>
          </cell>
          <cell r="P5444">
            <v>0</v>
          </cell>
          <cell r="V5444" t="str">
            <v>Not Available</v>
          </cell>
        </row>
        <row r="5445">
          <cell r="E5445">
            <v>10570029</v>
          </cell>
          <cell r="H5445">
            <v>8</v>
          </cell>
          <cell r="I5445">
            <v>362.56</v>
          </cell>
          <cell r="J5445">
            <v>0</v>
          </cell>
          <cell r="K5445">
            <v>0</v>
          </cell>
          <cell r="M5445">
            <v>0</v>
          </cell>
          <cell r="P5445">
            <v>0</v>
          </cell>
          <cell r="V5445" t="str">
            <v>Not Available</v>
          </cell>
        </row>
        <row r="5446">
          <cell r="E5446">
            <v>10570029</v>
          </cell>
          <cell r="H5446">
            <v>2.2000000000000002</v>
          </cell>
          <cell r="I5446">
            <v>100.61</v>
          </cell>
          <cell r="J5446">
            <v>0</v>
          </cell>
          <cell r="K5446">
            <v>0</v>
          </cell>
          <cell r="M5446">
            <v>0</v>
          </cell>
          <cell r="P5446">
            <v>0</v>
          </cell>
          <cell r="V5446" t="str">
            <v>Not Available</v>
          </cell>
        </row>
        <row r="5447">
          <cell r="E5447">
            <v>10570029</v>
          </cell>
          <cell r="H5447">
            <v>2.9</v>
          </cell>
          <cell r="I5447">
            <v>118.12</v>
          </cell>
          <cell r="J5447">
            <v>0</v>
          </cell>
          <cell r="K5447">
            <v>0</v>
          </cell>
          <cell r="M5447">
            <v>0</v>
          </cell>
          <cell r="P5447">
            <v>0</v>
          </cell>
          <cell r="V5447" t="str">
            <v>Not Available</v>
          </cell>
        </row>
        <row r="5448">
          <cell r="E5448">
            <v>10570029</v>
          </cell>
          <cell r="H5448">
            <v>12</v>
          </cell>
          <cell r="I5448">
            <v>447</v>
          </cell>
          <cell r="J5448">
            <v>0</v>
          </cell>
          <cell r="K5448">
            <v>0</v>
          </cell>
          <cell r="M5448">
            <v>0</v>
          </cell>
          <cell r="P5448">
            <v>0</v>
          </cell>
          <cell r="V5448" t="str">
            <v>Not Available</v>
          </cell>
        </row>
        <row r="5449">
          <cell r="E5449">
            <v>10570029</v>
          </cell>
          <cell r="H5449">
            <v>1.5</v>
          </cell>
          <cell r="I5449">
            <v>65.47</v>
          </cell>
          <cell r="J5449">
            <v>0</v>
          </cell>
          <cell r="K5449">
            <v>0</v>
          </cell>
          <cell r="M5449">
            <v>0</v>
          </cell>
          <cell r="P5449">
            <v>0</v>
          </cell>
          <cell r="V5449" t="str">
            <v>Not Available</v>
          </cell>
        </row>
        <row r="5450">
          <cell r="E5450">
            <v>10570029</v>
          </cell>
          <cell r="H5450">
            <v>1.4</v>
          </cell>
          <cell r="I5450">
            <v>56.04</v>
          </cell>
          <cell r="J5450">
            <v>0</v>
          </cell>
          <cell r="K5450">
            <v>0</v>
          </cell>
          <cell r="M5450">
            <v>0</v>
          </cell>
          <cell r="P5450">
            <v>0</v>
          </cell>
          <cell r="V5450" t="str">
            <v>Not Available</v>
          </cell>
        </row>
        <row r="5451">
          <cell r="E5451">
            <v>10570030</v>
          </cell>
          <cell r="H5451">
            <v>2</v>
          </cell>
          <cell r="I5451">
            <v>73.680000000000007</v>
          </cell>
          <cell r="J5451">
            <v>0</v>
          </cell>
          <cell r="K5451">
            <v>73.680000000000007</v>
          </cell>
          <cell r="M5451">
            <v>0</v>
          </cell>
          <cell r="P5451">
            <v>0</v>
          </cell>
          <cell r="V5451" t="str">
            <v>Not Available</v>
          </cell>
        </row>
        <row r="5452">
          <cell r="E5452">
            <v>10570030</v>
          </cell>
          <cell r="H5452">
            <v>73.8</v>
          </cell>
          <cell r="I5452">
            <v>2851.63</v>
          </cell>
          <cell r="J5452">
            <v>0</v>
          </cell>
          <cell r="K5452">
            <v>0</v>
          </cell>
          <cell r="M5452">
            <v>1091</v>
          </cell>
          <cell r="P5452">
            <v>1692</v>
          </cell>
          <cell r="V5452" t="str">
            <v>Available</v>
          </cell>
        </row>
        <row r="5453">
          <cell r="E5453">
            <v>10570030</v>
          </cell>
          <cell r="H5453">
            <v>73.8</v>
          </cell>
          <cell r="I5453">
            <v>2882.63</v>
          </cell>
          <cell r="J5453">
            <v>0</v>
          </cell>
          <cell r="K5453">
            <v>0</v>
          </cell>
          <cell r="M5453">
            <v>0</v>
          </cell>
          <cell r="P5453">
            <v>2883</v>
          </cell>
          <cell r="V5453" t="str">
            <v>Not Available</v>
          </cell>
        </row>
        <row r="5454">
          <cell r="E5454">
            <v>10570030</v>
          </cell>
          <cell r="H5454">
            <v>73.8</v>
          </cell>
          <cell r="I5454">
            <v>2882.63</v>
          </cell>
          <cell r="J5454">
            <v>0</v>
          </cell>
          <cell r="K5454">
            <v>0</v>
          </cell>
          <cell r="M5454">
            <v>0</v>
          </cell>
          <cell r="P5454">
            <v>2883</v>
          </cell>
          <cell r="V5454" t="str">
            <v>Not Available</v>
          </cell>
        </row>
        <row r="5455">
          <cell r="E5455">
            <v>10570030</v>
          </cell>
          <cell r="H5455">
            <v>73.900000000000006</v>
          </cell>
          <cell r="I5455">
            <v>2886.53</v>
          </cell>
          <cell r="J5455">
            <v>0</v>
          </cell>
          <cell r="K5455">
            <v>0</v>
          </cell>
          <cell r="M5455">
            <v>0</v>
          </cell>
          <cell r="P5455">
            <v>2887</v>
          </cell>
          <cell r="V5455" t="str">
            <v>Not Available</v>
          </cell>
        </row>
        <row r="5456">
          <cell r="E5456">
            <v>10570030</v>
          </cell>
          <cell r="H5456">
            <v>73.8</v>
          </cell>
          <cell r="I5456">
            <v>2882.63</v>
          </cell>
          <cell r="J5456">
            <v>0</v>
          </cell>
          <cell r="K5456">
            <v>0</v>
          </cell>
          <cell r="M5456">
            <v>0</v>
          </cell>
          <cell r="P5456">
            <v>2883</v>
          </cell>
          <cell r="V5456" t="str">
            <v>Not Available</v>
          </cell>
        </row>
        <row r="5457">
          <cell r="E5457">
            <v>10570030</v>
          </cell>
          <cell r="H5457">
            <v>73.2</v>
          </cell>
          <cell r="I5457">
            <v>2859.19</v>
          </cell>
          <cell r="J5457">
            <v>0</v>
          </cell>
          <cell r="K5457">
            <v>0</v>
          </cell>
          <cell r="M5457">
            <v>0</v>
          </cell>
          <cell r="P5457">
            <v>2859</v>
          </cell>
          <cell r="V5457" t="str">
            <v>Not Available</v>
          </cell>
        </row>
        <row r="5458">
          <cell r="E5458">
            <v>10570036</v>
          </cell>
          <cell r="H5458">
            <v>230.49999999999997</v>
          </cell>
          <cell r="I5458">
            <v>9807.5200000000023</v>
          </cell>
          <cell r="J5458">
            <v>0</v>
          </cell>
          <cell r="K5458">
            <v>0</v>
          </cell>
          <cell r="M5458">
            <v>0</v>
          </cell>
          <cell r="P5458">
            <v>9808</v>
          </cell>
          <cell r="V5458" t="str">
            <v>Available</v>
          </cell>
        </row>
        <row r="5459">
          <cell r="E5459">
            <v>10570036</v>
          </cell>
          <cell r="H5459">
            <v>8.8000000000000007</v>
          </cell>
          <cell r="I5459">
            <v>458.06</v>
          </cell>
          <cell r="J5459">
            <v>0</v>
          </cell>
          <cell r="K5459">
            <v>0</v>
          </cell>
          <cell r="M5459">
            <v>0</v>
          </cell>
          <cell r="P5459">
            <v>458</v>
          </cell>
          <cell r="V5459" t="str">
            <v>Available</v>
          </cell>
        </row>
        <row r="5460">
          <cell r="E5460">
            <v>10570036</v>
          </cell>
          <cell r="H5460">
            <v>53.3</v>
          </cell>
          <cell r="I5460">
            <v>2202.61</v>
          </cell>
          <cell r="J5460">
            <v>0</v>
          </cell>
          <cell r="K5460">
            <v>0</v>
          </cell>
          <cell r="M5460">
            <v>0</v>
          </cell>
          <cell r="P5460">
            <v>2203</v>
          </cell>
          <cell r="V5460" t="str">
            <v>Available</v>
          </cell>
        </row>
        <row r="5461">
          <cell r="E5461">
            <v>10570036</v>
          </cell>
          <cell r="H5461">
            <v>1</v>
          </cell>
          <cell r="I5461">
            <v>26.88</v>
          </cell>
          <cell r="J5461">
            <v>0</v>
          </cell>
          <cell r="K5461">
            <v>0</v>
          </cell>
          <cell r="M5461">
            <v>0</v>
          </cell>
          <cell r="P5461">
            <v>27</v>
          </cell>
          <cell r="V5461" t="str">
            <v>Available</v>
          </cell>
        </row>
        <row r="5462">
          <cell r="E5462">
            <v>10570036</v>
          </cell>
          <cell r="H5462">
            <v>1</v>
          </cell>
          <cell r="I5462">
            <v>26.88</v>
          </cell>
          <cell r="J5462">
            <v>0</v>
          </cell>
          <cell r="K5462">
            <v>0</v>
          </cell>
          <cell r="M5462">
            <v>0</v>
          </cell>
          <cell r="P5462">
            <v>27</v>
          </cell>
          <cell r="V5462" t="str">
            <v>Available</v>
          </cell>
        </row>
        <row r="5463">
          <cell r="E5463">
            <v>10570036</v>
          </cell>
          <cell r="H5463">
            <v>1</v>
          </cell>
          <cell r="I5463">
            <v>26.88</v>
          </cell>
          <cell r="J5463">
            <v>0</v>
          </cell>
          <cell r="K5463">
            <v>0</v>
          </cell>
          <cell r="M5463">
            <v>0</v>
          </cell>
          <cell r="P5463">
            <v>27</v>
          </cell>
          <cell r="V5463" t="str">
            <v>Available</v>
          </cell>
        </row>
        <row r="5464">
          <cell r="E5464">
            <v>10570036</v>
          </cell>
          <cell r="H5464">
            <v>8</v>
          </cell>
          <cell r="I5464">
            <v>311.36</v>
          </cell>
          <cell r="J5464">
            <v>0</v>
          </cell>
          <cell r="K5464">
            <v>0</v>
          </cell>
          <cell r="M5464">
            <v>0</v>
          </cell>
          <cell r="P5464">
            <v>311</v>
          </cell>
          <cell r="V5464" t="str">
            <v>Not Available</v>
          </cell>
        </row>
        <row r="5465">
          <cell r="E5465">
            <v>10570036</v>
          </cell>
          <cell r="H5465">
            <v>4</v>
          </cell>
          <cell r="I5465">
            <v>155.68</v>
          </cell>
          <cell r="J5465">
            <v>0</v>
          </cell>
          <cell r="K5465">
            <v>0</v>
          </cell>
          <cell r="M5465">
            <v>0</v>
          </cell>
          <cell r="P5465">
            <v>156</v>
          </cell>
          <cell r="V5465" t="str">
            <v>Not Available</v>
          </cell>
        </row>
        <row r="5466">
          <cell r="E5466">
            <v>10570036</v>
          </cell>
          <cell r="H5466">
            <v>3</v>
          </cell>
          <cell r="I5466">
            <v>116.76</v>
          </cell>
          <cell r="J5466">
            <v>0</v>
          </cell>
          <cell r="K5466">
            <v>0</v>
          </cell>
          <cell r="M5466">
            <v>0</v>
          </cell>
          <cell r="P5466">
            <v>117</v>
          </cell>
          <cell r="V5466" t="str">
            <v>Not Available</v>
          </cell>
        </row>
        <row r="5467">
          <cell r="E5467">
            <v>10570036</v>
          </cell>
          <cell r="H5467">
            <v>1</v>
          </cell>
          <cell r="I5467">
            <v>38.92</v>
          </cell>
          <cell r="J5467">
            <v>0</v>
          </cell>
          <cell r="K5467">
            <v>0</v>
          </cell>
          <cell r="M5467">
            <v>0</v>
          </cell>
          <cell r="P5467">
            <v>39</v>
          </cell>
          <cell r="V5467" t="str">
            <v>Not Available</v>
          </cell>
        </row>
        <row r="5468">
          <cell r="E5468">
            <v>10570042</v>
          </cell>
          <cell r="H5468">
            <v>1</v>
          </cell>
          <cell r="I5468">
            <v>43.37</v>
          </cell>
          <cell r="J5468">
            <v>0</v>
          </cell>
          <cell r="K5468">
            <v>43.37</v>
          </cell>
          <cell r="M5468">
            <v>0</v>
          </cell>
          <cell r="P5468">
            <v>0</v>
          </cell>
          <cell r="V5468" t="str">
            <v>Not Available</v>
          </cell>
        </row>
        <row r="5469">
          <cell r="E5469">
            <v>10570042</v>
          </cell>
          <cell r="H5469">
            <v>30.8</v>
          </cell>
          <cell r="I5469">
            <v>1335.8</v>
          </cell>
          <cell r="J5469">
            <v>0</v>
          </cell>
          <cell r="K5469">
            <v>0</v>
          </cell>
          <cell r="M5469">
            <v>0</v>
          </cell>
          <cell r="P5469">
            <v>1253</v>
          </cell>
          <cell r="V5469" t="str">
            <v>Available</v>
          </cell>
        </row>
        <row r="5470">
          <cell r="E5470">
            <v>10570042</v>
          </cell>
          <cell r="H5470">
            <v>30.8</v>
          </cell>
          <cell r="I5470">
            <v>1335.8</v>
          </cell>
          <cell r="J5470">
            <v>0</v>
          </cell>
          <cell r="K5470">
            <v>0</v>
          </cell>
          <cell r="M5470">
            <v>0</v>
          </cell>
          <cell r="P5470">
            <v>1336</v>
          </cell>
          <cell r="V5470" t="str">
            <v>Not Available</v>
          </cell>
        </row>
        <row r="5471">
          <cell r="E5471">
            <v>10570042</v>
          </cell>
          <cell r="H5471">
            <v>30.8</v>
          </cell>
          <cell r="I5471">
            <v>1335.8</v>
          </cell>
          <cell r="J5471">
            <v>0</v>
          </cell>
          <cell r="K5471">
            <v>0</v>
          </cell>
          <cell r="M5471">
            <v>0</v>
          </cell>
          <cell r="P5471">
            <v>1336</v>
          </cell>
          <cell r="V5471" t="str">
            <v>Not Available</v>
          </cell>
        </row>
        <row r="5472">
          <cell r="E5472">
            <v>10570042</v>
          </cell>
          <cell r="H5472">
            <v>30.8</v>
          </cell>
          <cell r="I5472">
            <v>1335.8</v>
          </cell>
          <cell r="J5472">
            <v>0</v>
          </cell>
          <cell r="K5472">
            <v>0</v>
          </cell>
          <cell r="M5472">
            <v>0</v>
          </cell>
          <cell r="P5472">
            <v>1336</v>
          </cell>
          <cell r="V5472" t="str">
            <v>Not Available</v>
          </cell>
        </row>
        <row r="5473">
          <cell r="E5473">
            <v>10570042</v>
          </cell>
          <cell r="H5473">
            <v>30.8</v>
          </cell>
          <cell r="I5473">
            <v>1335.8</v>
          </cell>
          <cell r="J5473">
            <v>0</v>
          </cell>
          <cell r="K5473">
            <v>0</v>
          </cell>
          <cell r="M5473">
            <v>0</v>
          </cell>
          <cell r="P5473">
            <v>1336</v>
          </cell>
          <cell r="V5473" t="str">
            <v>Not Available</v>
          </cell>
        </row>
        <row r="5474">
          <cell r="E5474">
            <v>10570042</v>
          </cell>
          <cell r="H5474">
            <v>30.8</v>
          </cell>
          <cell r="I5474">
            <v>1335.8</v>
          </cell>
          <cell r="J5474">
            <v>0</v>
          </cell>
          <cell r="K5474">
            <v>0</v>
          </cell>
          <cell r="M5474">
            <v>0</v>
          </cell>
          <cell r="P5474">
            <v>1336</v>
          </cell>
          <cell r="V5474" t="str">
            <v>Not Available</v>
          </cell>
        </row>
        <row r="5475">
          <cell r="E5475">
            <v>10570044</v>
          </cell>
          <cell r="H5475">
            <v>1</v>
          </cell>
          <cell r="I5475">
            <v>47.26</v>
          </cell>
          <cell r="J5475">
            <v>0</v>
          </cell>
          <cell r="K5475">
            <v>47.26</v>
          </cell>
          <cell r="M5475">
            <v>0</v>
          </cell>
          <cell r="P5475">
            <v>0</v>
          </cell>
          <cell r="V5475" t="str">
            <v>Not Available</v>
          </cell>
        </row>
        <row r="5476">
          <cell r="E5476">
            <v>10570044</v>
          </cell>
          <cell r="H5476">
            <v>25</v>
          </cell>
          <cell r="I5476">
            <v>1199</v>
          </cell>
          <cell r="J5476">
            <v>0</v>
          </cell>
          <cell r="K5476">
            <v>0</v>
          </cell>
          <cell r="M5476">
            <v>0</v>
          </cell>
          <cell r="P5476">
            <v>1172</v>
          </cell>
          <cell r="V5476" t="str">
            <v>Available</v>
          </cell>
        </row>
        <row r="5477">
          <cell r="E5477">
            <v>10570044</v>
          </cell>
          <cell r="H5477">
            <v>10</v>
          </cell>
          <cell r="I5477">
            <v>479.6</v>
          </cell>
          <cell r="J5477">
            <v>0</v>
          </cell>
          <cell r="K5477">
            <v>0</v>
          </cell>
          <cell r="M5477">
            <v>0</v>
          </cell>
          <cell r="P5477">
            <v>480</v>
          </cell>
          <cell r="V5477" t="str">
            <v>Not Available</v>
          </cell>
        </row>
        <row r="5478">
          <cell r="E5478">
            <v>10570044</v>
          </cell>
          <cell r="H5478">
            <v>10</v>
          </cell>
          <cell r="I5478">
            <v>479.6</v>
          </cell>
          <cell r="J5478">
            <v>0</v>
          </cell>
          <cell r="K5478">
            <v>0</v>
          </cell>
          <cell r="M5478">
            <v>0</v>
          </cell>
          <cell r="P5478">
            <v>480</v>
          </cell>
          <cell r="V5478" t="str">
            <v>Not Available</v>
          </cell>
        </row>
        <row r="5479">
          <cell r="E5479">
            <v>10570044</v>
          </cell>
          <cell r="H5479">
            <v>10</v>
          </cell>
          <cell r="I5479">
            <v>479.6</v>
          </cell>
          <cell r="J5479">
            <v>0</v>
          </cell>
          <cell r="K5479">
            <v>0</v>
          </cell>
          <cell r="M5479">
            <v>0</v>
          </cell>
          <cell r="P5479">
            <v>480</v>
          </cell>
          <cell r="V5479" t="str">
            <v>Not Available</v>
          </cell>
        </row>
        <row r="5480">
          <cell r="E5480">
            <v>10570044</v>
          </cell>
          <cell r="H5480">
            <v>10</v>
          </cell>
          <cell r="I5480">
            <v>479.6</v>
          </cell>
          <cell r="J5480">
            <v>0</v>
          </cell>
          <cell r="K5480">
            <v>0</v>
          </cell>
          <cell r="M5480">
            <v>0</v>
          </cell>
          <cell r="P5480">
            <v>480</v>
          </cell>
          <cell r="V5480" t="str">
            <v>Not Available</v>
          </cell>
        </row>
        <row r="5481">
          <cell r="E5481">
            <v>10570044</v>
          </cell>
          <cell r="H5481">
            <v>10</v>
          </cell>
          <cell r="I5481">
            <v>479.6</v>
          </cell>
          <cell r="J5481">
            <v>0</v>
          </cell>
          <cell r="K5481">
            <v>0</v>
          </cell>
          <cell r="M5481">
            <v>0</v>
          </cell>
          <cell r="P5481">
            <v>480</v>
          </cell>
          <cell r="V5481" t="str">
            <v>Not Available</v>
          </cell>
        </row>
        <row r="5482">
          <cell r="E5482">
            <v>10570044</v>
          </cell>
          <cell r="H5482">
            <v>10</v>
          </cell>
          <cell r="I5482">
            <v>479.6</v>
          </cell>
          <cell r="J5482">
            <v>0</v>
          </cell>
          <cell r="K5482">
            <v>0</v>
          </cell>
          <cell r="M5482">
            <v>0</v>
          </cell>
          <cell r="P5482">
            <v>480</v>
          </cell>
          <cell r="V5482" t="str">
            <v>Not Available</v>
          </cell>
        </row>
        <row r="5483">
          <cell r="E5483">
            <v>10570044</v>
          </cell>
          <cell r="H5483">
            <v>10</v>
          </cell>
          <cell r="I5483">
            <v>479.6</v>
          </cell>
          <cell r="J5483">
            <v>0</v>
          </cell>
          <cell r="K5483">
            <v>0</v>
          </cell>
          <cell r="M5483">
            <v>0</v>
          </cell>
          <cell r="P5483">
            <v>480</v>
          </cell>
          <cell r="V5483" t="str">
            <v>Not Available</v>
          </cell>
        </row>
        <row r="5484">
          <cell r="E5484">
            <v>10570044</v>
          </cell>
          <cell r="H5484">
            <v>10</v>
          </cell>
          <cell r="I5484">
            <v>479.6</v>
          </cell>
          <cell r="J5484">
            <v>0</v>
          </cell>
          <cell r="K5484">
            <v>0</v>
          </cell>
          <cell r="M5484">
            <v>0</v>
          </cell>
          <cell r="P5484">
            <v>480</v>
          </cell>
          <cell r="V5484" t="str">
            <v>Not Available</v>
          </cell>
        </row>
        <row r="5485">
          <cell r="E5485">
            <v>10570044</v>
          </cell>
          <cell r="H5485">
            <v>10</v>
          </cell>
          <cell r="I5485">
            <v>479.6</v>
          </cell>
          <cell r="J5485">
            <v>0</v>
          </cell>
          <cell r="K5485">
            <v>0</v>
          </cell>
          <cell r="M5485">
            <v>0</v>
          </cell>
          <cell r="P5485">
            <v>480</v>
          </cell>
          <cell r="V5485" t="str">
            <v>Not Available</v>
          </cell>
        </row>
        <row r="5486">
          <cell r="E5486">
            <v>10570044</v>
          </cell>
          <cell r="H5486">
            <v>10</v>
          </cell>
          <cell r="I5486">
            <v>479.6</v>
          </cell>
          <cell r="J5486">
            <v>0</v>
          </cell>
          <cell r="K5486">
            <v>0</v>
          </cell>
          <cell r="M5486">
            <v>0</v>
          </cell>
          <cell r="P5486">
            <v>480</v>
          </cell>
          <cell r="V5486" t="str">
            <v>Not Available</v>
          </cell>
        </row>
        <row r="5487">
          <cell r="E5487">
            <v>10570045</v>
          </cell>
          <cell r="H5487">
            <v>9</v>
          </cell>
          <cell r="I5487">
            <v>372.64</v>
          </cell>
          <cell r="J5487">
            <v>0</v>
          </cell>
          <cell r="K5487">
            <v>372.64</v>
          </cell>
          <cell r="M5487">
            <v>0</v>
          </cell>
          <cell r="P5487">
            <v>0</v>
          </cell>
          <cell r="V5487" t="str">
            <v>Not Available</v>
          </cell>
        </row>
        <row r="5488">
          <cell r="E5488">
            <v>10570045</v>
          </cell>
          <cell r="H5488">
            <v>449.59999999999985</v>
          </cell>
          <cell r="I5488">
            <v>16110.7</v>
          </cell>
          <cell r="J5488">
            <v>0</v>
          </cell>
          <cell r="K5488">
            <v>0</v>
          </cell>
          <cell r="M5488">
            <v>0</v>
          </cell>
          <cell r="P5488">
            <v>16111</v>
          </cell>
          <cell r="V5488" t="str">
            <v>Available</v>
          </cell>
        </row>
        <row r="5489">
          <cell r="E5489">
            <v>10570045</v>
          </cell>
          <cell r="H5489">
            <v>45.100000000000009</v>
          </cell>
          <cell r="I5489">
            <v>1978.62</v>
          </cell>
          <cell r="J5489">
            <v>0</v>
          </cell>
          <cell r="K5489">
            <v>0</v>
          </cell>
          <cell r="M5489">
            <v>0</v>
          </cell>
          <cell r="P5489">
            <v>1979</v>
          </cell>
          <cell r="V5489" t="str">
            <v>Available</v>
          </cell>
        </row>
        <row r="5490">
          <cell r="E5490">
            <v>10570045</v>
          </cell>
          <cell r="H5490">
            <v>25.099999999999998</v>
          </cell>
          <cell r="I5490">
            <v>1173.82</v>
          </cell>
          <cell r="J5490">
            <v>0</v>
          </cell>
          <cell r="K5490">
            <v>0</v>
          </cell>
          <cell r="M5490">
            <v>0</v>
          </cell>
          <cell r="P5490">
            <v>1174</v>
          </cell>
          <cell r="V5490" t="str">
            <v>Available</v>
          </cell>
        </row>
        <row r="5491">
          <cell r="E5491">
            <v>10570045</v>
          </cell>
          <cell r="H5491">
            <v>38.299999999999997</v>
          </cell>
          <cell r="I5491">
            <v>1574.3799999999999</v>
          </cell>
          <cell r="J5491">
            <v>0</v>
          </cell>
          <cell r="K5491">
            <v>0</v>
          </cell>
          <cell r="M5491">
            <v>0</v>
          </cell>
          <cell r="P5491">
            <v>1574</v>
          </cell>
          <cell r="V5491" t="str">
            <v>Available</v>
          </cell>
        </row>
        <row r="5492">
          <cell r="E5492">
            <v>10570045</v>
          </cell>
          <cell r="H5492">
            <v>69.3</v>
          </cell>
          <cell r="I5492">
            <v>3490.7000000000003</v>
          </cell>
          <cell r="J5492">
            <v>0</v>
          </cell>
          <cell r="K5492">
            <v>0</v>
          </cell>
          <cell r="M5492">
            <v>0</v>
          </cell>
          <cell r="P5492">
            <v>3491</v>
          </cell>
          <cell r="V5492" t="str">
            <v>Available</v>
          </cell>
        </row>
        <row r="5493">
          <cell r="E5493">
            <v>10570045</v>
          </cell>
          <cell r="H5493">
            <v>30.099999999999994</v>
          </cell>
          <cell r="I5493">
            <v>1324.1399999999999</v>
          </cell>
          <cell r="J5493">
            <v>0</v>
          </cell>
          <cell r="K5493">
            <v>0</v>
          </cell>
          <cell r="M5493">
            <v>0</v>
          </cell>
          <cell r="P5493">
            <v>1324</v>
          </cell>
          <cell r="V5493" t="str">
            <v>Available</v>
          </cell>
        </row>
        <row r="5494">
          <cell r="E5494">
            <v>10570045</v>
          </cell>
          <cell r="H5494">
            <v>26.3</v>
          </cell>
          <cell r="I5494">
            <v>1013.0000000000002</v>
          </cell>
          <cell r="J5494">
            <v>0</v>
          </cell>
          <cell r="K5494">
            <v>0</v>
          </cell>
          <cell r="M5494">
            <v>0</v>
          </cell>
          <cell r="P5494">
            <v>1013</v>
          </cell>
          <cell r="V5494" t="str">
            <v>Available</v>
          </cell>
        </row>
        <row r="5495">
          <cell r="E5495">
            <v>10570045</v>
          </cell>
          <cell r="H5495">
            <v>53.2</v>
          </cell>
          <cell r="I5495">
            <v>2158.42</v>
          </cell>
          <cell r="J5495">
            <v>0</v>
          </cell>
          <cell r="K5495">
            <v>0</v>
          </cell>
          <cell r="M5495">
            <v>0</v>
          </cell>
          <cell r="P5495">
            <v>2158</v>
          </cell>
          <cell r="V5495" t="str">
            <v>Available</v>
          </cell>
        </row>
        <row r="5496">
          <cell r="E5496">
            <v>10570045</v>
          </cell>
          <cell r="H5496">
            <v>137.19999999999999</v>
          </cell>
          <cell r="I5496">
            <v>5840.57</v>
          </cell>
          <cell r="J5496">
            <v>0</v>
          </cell>
          <cell r="K5496">
            <v>0</v>
          </cell>
          <cell r="M5496">
            <v>0</v>
          </cell>
          <cell r="P5496">
            <v>5841</v>
          </cell>
          <cell r="V5496" t="str">
            <v>Available</v>
          </cell>
        </row>
        <row r="5497">
          <cell r="E5497">
            <v>10570045</v>
          </cell>
          <cell r="H5497">
            <v>11</v>
          </cell>
          <cell r="I5497">
            <v>407.23</v>
          </cell>
          <cell r="J5497">
            <v>0</v>
          </cell>
          <cell r="K5497">
            <v>0</v>
          </cell>
          <cell r="M5497">
            <v>0</v>
          </cell>
          <cell r="P5497">
            <v>407</v>
          </cell>
          <cell r="V5497" t="str">
            <v>Available</v>
          </cell>
        </row>
        <row r="5498">
          <cell r="E5498">
            <v>10570045</v>
          </cell>
          <cell r="H5498">
            <v>36.300000000000004</v>
          </cell>
          <cell r="I5498">
            <v>1319.51</v>
          </cell>
          <cell r="J5498">
            <v>0</v>
          </cell>
          <cell r="K5498">
            <v>0</v>
          </cell>
          <cell r="M5498">
            <v>0</v>
          </cell>
          <cell r="P5498">
            <v>1320</v>
          </cell>
          <cell r="V5498" t="str">
            <v>Available</v>
          </cell>
        </row>
        <row r="5499">
          <cell r="E5499">
            <v>10570045</v>
          </cell>
          <cell r="H5499">
            <v>34.6</v>
          </cell>
          <cell r="I5499">
            <v>1685.7900000000004</v>
          </cell>
          <cell r="J5499">
            <v>0</v>
          </cell>
          <cell r="K5499">
            <v>0</v>
          </cell>
          <cell r="M5499">
            <v>0</v>
          </cell>
          <cell r="P5499">
            <v>1686</v>
          </cell>
          <cell r="V5499" t="str">
            <v>Available</v>
          </cell>
        </row>
        <row r="5500">
          <cell r="E5500">
            <v>10570045</v>
          </cell>
          <cell r="H5500">
            <v>39.800000000000004</v>
          </cell>
          <cell r="I5500">
            <v>1592.09</v>
          </cell>
          <cell r="J5500">
            <v>0</v>
          </cell>
          <cell r="K5500">
            <v>0</v>
          </cell>
          <cell r="M5500">
            <v>0</v>
          </cell>
          <cell r="P5500">
            <v>1592</v>
          </cell>
          <cell r="V5500" t="str">
            <v>Available</v>
          </cell>
        </row>
        <row r="5501">
          <cell r="E5501">
            <v>10570047</v>
          </cell>
          <cell r="H5501">
            <v>4.3999999999999995</v>
          </cell>
          <cell r="I5501">
            <v>235.48000000000002</v>
          </cell>
          <cell r="J5501">
            <v>0</v>
          </cell>
          <cell r="K5501">
            <v>235.48000000000002</v>
          </cell>
          <cell r="M5501">
            <v>0</v>
          </cell>
          <cell r="P5501">
            <v>0</v>
          </cell>
          <cell r="V5501" t="str">
            <v>Not Available</v>
          </cell>
        </row>
        <row r="5502">
          <cell r="E5502">
            <v>10570047</v>
          </cell>
          <cell r="H5502">
            <v>180.3</v>
          </cell>
          <cell r="I5502">
            <v>7771.9099999999989</v>
          </cell>
          <cell r="J5502">
            <v>0</v>
          </cell>
          <cell r="K5502">
            <v>0</v>
          </cell>
          <cell r="M5502">
            <v>0</v>
          </cell>
          <cell r="P5502">
            <v>7772</v>
          </cell>
          <cell r="V5502" t="str">
            <v>Available</v>
          </cell>
        </row>
        <row r="5503">
          <cell r="E5503">
            <v>10570047</v>
          </cell>
          <cell r="H5503">
            <v>7.2</v>
          </cell>
          <cell r="I5503">
            <v>251.43999999999997</v>
          </cell>
          <cell r="J5503">
            <v>0</v>
          </cell>
          <cell r="K5503">
            <v>0</v>
          </cell>
          <cell r="M5503">
            <v>0</v>
          </cell>
          <cell r="P5503">
            <v>251</v>
          </cell>
          <cell r="V5503" t="str">
            <v>Available</v>
          </cell>
        </row>
        <row r="5504">
          <cell r="E5504">
            <v>10570047</v>
          </cell>
          <cell r="H5504">
            <v>78.800000000000011</v>
          </cell>
          <cell r="I5504">
            <v>3016.07</v>
          </cell>
          <cell r="J5504">
            <v>0</v>
          </cell>
          <cell r="K5504">
            <v>0</v>
          </cell>
          <cell r="M5504">
            <v>0</v>
          </cell>
          <cell r="P5504">
            <v>3016</v>
          </cell>
          <cell r="V5504" t="str">
            <v>Available</v>
          </cell>
        </row>
        <row r="5505">
          <cell r="E5505">
            <v>10570047</v>
          </cell>
          <cell r="H5505">
            <v>1</v>
          </cell>
          <cell r="I5505">
            <v>26.88</v>
          </cell>
          <cell r="J5505">
            <v>0</v>
          </cell>
          <cell r="K5505">
            <v>0</v>
          </cell>
          <cell r="M5505">
            <v>0</v>
          </cell>
          <cell r="P5505">
            <v>27</v>
          </cell>
          <cell r="V5505" t="str">
            <v>Available</v>
          </cell>
        </row>
        <row r="5506">
          <cell r="E5506">
            <v>10570047</v>
          </cell>
          <cell r="H5506">
            <v>32.400000000000006</v>
          </cell>
          <cell r="I5506">
            <v>1280.99</v>
          </cell>
          <cell r="J5506">
            <v>0</v>
          </cell>
          <cell r="K5506">
            <v>0</v>
          </cell>
          <cell r="M5506">
            <v>0</v>
          </cell>
          <cell r="P5506">
            <v>1281</v>
          </cell>
          <cell r="V5506" t="str">
            <v>Available</v>
          </cell>
        </row>
        <row r="5507">
          <cell r="E5507">
            <v>10570047</v>
          </cell>
          <cell r="H5507">
            <v>1</v>
          </cell>
          <cell r="I5507">
            <v>26.88</v>
          </cell>
          <cell r="J5507">
            <v>0</v>
          </cell>
          <cell r="K5507">
            <v>0</v>
          </cell>
          <cell r="M5507">
            <v>0</v>
          </cell>
          <cell r="P5507">
            <v>27</v>
          </cell>
          <cell r="V5507" t="str">
            <v>Not Available</v>
          </cell>
        </row>
        <row r="5508">
          <cell r="E5508">
            <v>10570047</v>
          </cell>
          <cell r="H5508">
            <v>26.7</v>
          </cell>
          <cell r="I5508">
            <v>1005.48</v>
          </cell>
          <cell r="J5508">
            <v>0</v>
          </cell>
          <cell r="K5508">
            <v>0</v>
          </cell>
          <cell r="M5508">
            <v>0</v>
          </cell>
          <cell r="P5508">
            <v>1005</v>
          </cell>
          <cell r="V5508" t="str">
            <v>Available</v>
          </cell>
        </row>
        <row r="5509">
          <cell r="E5509">
            <v>10570047</v>
          </cell>
          <cell r="H5509">
            <v>15.100000000000001</v>
          </cell>
          <cell r="I5509">
            <v>1091.98</v>
          </cell>
          <cell r="J5509">
            <v>0</v>
          </cell>
          <cell r="K5509">
            <v>0</v>
          </cell>
          <cell r="M5509">
            <v>0</v>
          </cell>
          <cell r="P5509">
            <v>1092</v>
          </cell>
          <cell r="V5509" t="str">
            <v>Not Available</v>
          </cell>
        </row>
        <row r="5510">
          <cell r="E5510">
            <v>10570047</v>
          </cell>
          <cell r="H5510">
            <v>12.899999999999999</v>
          </cell>
          <cell r="I5510">
            <v>906.42000000000007</v>
          </cell>
          <cell r="J5510">
            <v>0</v>
          </cell>
          <cell r="K5510">
            <v>0</v>
          </cell>
          <cell r="M5510">
            <v>0</v>
          </cell>
          <cell r="P5510">
            <v>906</v>
          </cell>
          <cell r="V5510" t="str">
            <v>Not Available</v>
          </cell>
        </row>
        <row r="5511">
          <cell r="E5511">
            <v>10570047</v>
          </cell>
          <cell r="H5511">
            <v>27.2</v>
          </cell>
          <cell r="I5511">
            <v>1438.8100000000002</v>
          </cell>
          <cell r="J5511">
            <v>0</v>
          </cell>
          <cell r="K5511">
            <v>0</v>
          </cell>
          <cell r="M5511">
            <v>0</v>
          </cell>
          <cell r="P5511">
            <v>1439</v>
          </cell>
          <cell r="V5511" t="str">
            <v>Not Available</v>
          </cell>
        </row>
        <row r="5512">
          <cell r="E5512">
            <v>10570047</v>
          </cell>
          <cell r="H5512">
            <v>8.8999999999999986</v>
          </cell>
          <cell r="I5512">
            <v>359.76</v>
          </cell>
          <cell r="J5512">
            <v>0</v>
          </cell>
          <cell r="K5512">
            <v>0</v>
          </cell>
          <cell r="M5512">
            <v>0</v>
          </cell>
          <cell r="P5512">
            <v>360</v>
          </cell>
          <cell r="V5512" t="str">
            <v>Not Available</v>
          </cell>
        </row>
        <row r="5513">
          <cell r="E5513">
            <v>10570047</v>
          </cell>
          <cell r="H5513">
            <v>1</v>
          </cell>
          <cell r="I5513">
            <v>26.88</v>
          </cell>
          <cell r="J5513">
            <v>0</v>
          </cell>
          <cell r="K5513">
            <v>0</v>
          </cell>
          <cell r="M5513">
            <v>0</v>
          </cell>
          <cell r="P5513">
            <v>27</v>
          </cell>
          <cell r="V5513" t="str">
            <v>Not Available</v>
          </cell>
        </row>
        <row r="5514">
          <cell r="E5514">
            <v>10570047</v>
          </cell>
          <cell r="H5514">
            <v>11.299999999999999</v>
          </cell>
          <cell r="I5514">
            <v>667.33999999999992</v>
          </cell>
          <cell r="J5514">
            <v>0</v>
          </cell>
          <cell r="K5514">
            <v>0</v>
          </cell>
          <cell r="M5514">
            <v>0</v>
          </cell>
          <cell r="P5514">
            <v>667</v>
          </cell>
          <cell r="V5514" t="str">
            <v>Available</v>
          </cell>
        </row>
        <row r="5515">
          <cell r="E5515">
            <v>10570049</v>
          </cell>
          <cell r="H5515">
            <v>2.1999999999999997</v>
          </cell>
          <cell r="I5515">
            <v>91.65</v>
          </cell>
          <cell r="J5515">
            <v>0</v>
          </cell>
          <cell r="K5515">
            <v>91.65</v>
          </cell>
          <cell r="M5515">
            <v>0</v>
          </cell>
          <cell r="P5515">
            <v>0</v>
          </cell>
          <cell r="V5515" t="str">
            <v>Not Available</v>
          </cell>
        </row>
        <row r="5516">
          <cell r="E5516">
            <v>10570049</v>
          </cell>
          <cell r="H5516">
            <v>68.2</v>
          </cell>
          <cell r="I5516">
            <v>2956.2599999999998</v>
          </cell>
          <cell r="J5516">
            <v>0</v>
          </cell>
          <cell r="K5516">
            <v>0</v>
          </cell>
          <cell r="M5516">
            <v>0</v>
          </cell>
          <cell r="P5516">
            <v>2956</v>
          </cell>
          <cell r="V5516" t="str">
            <v>Available</v>
          </cell>
        </row>
        <row r="5517">
          <cell r="E5517">
            <v>10570049</v>
          </cell>
          <cell r="H5517">
            <v>30.7</v>
          </cell>
          <cell r="I5517">
            <v>1339.8</v>
          </cell>
          <cell r="J5517">
            <v>0</v>
          </cell>
          <cell r="K5517">
            <v>0</v>
          </cell>
          <cell r="M5517">
            <v>0</v>
          </cell>
          <cell r="P5517">
            <v>1340</v>
          </cell>
          <cell r="V5517" t="str">
            <v>Not Available</v>
          </cell>
        </row>
        <row r="5518">
          <cell r="E5518">
            <v>10570049</v>
          </cell>
          <cell r="H5518">
            <v>33.1</v>
          </cell>
          <cell r="I5518">
            <v>1454.8000000000002</v>
          </cell>
          <cell r="J5518">
            <v>0</v>
          </cell>
          <cell r="K5518">
            <v>0</v>
          </cell>
          <cell r="M5518">
            <v>0</v>
          </cell>
          <cell r="P5518">
            <v>1455</v>
          </cell>
          <cell r="V5518" t="str">
            <v>Not Available</v>
          </cell>
        </row>
        <row r="5519">
          <cell r="E5519">
            <v>10570049</v>
          </cell>
          <cell r="H5519">
            <v>37</v>
          </cell>
          <cell r="I5519">
            <v>1535.6</v>
          </cell>
          <cell r="J5519">
            <v>0</v>
          </cell>
          <cell r="K5519">
            <v>0</v>
          </cell>
          <cell r="M5519">
            <v>0</v>
          </cell>
          <cell r="P5519">
            <v>1536</v>
          </cell>
          <cell r="V5519" t="str">
            <v>Not Available</v>
          </cell>
        </row>
        <row r="5520">
          <cell r="E5520">
            <v>10570049</v>
          </cell>
          <cell r="H5520">
            <v>24.200000000000003</v>
          </cell>
          <cell r="I5520">
            <v>908.91000000000008</v>
          </cell>
          <cell r="J5520">
            <v>0</v>
          </cell>
          <cell r="K5520">
            <v>0</v>
          </cell>
          <cell r="M5520">
            <v>0</v>
          </cell>
          <cell r="P5520">
            <v>909</v>
          </cell>
          <cell r="V5520" t="str">
            <v>Not Available</v>
          </cell>
        </row>
        <row r="5521">
          <cell r="E5521">
            <v>10570049</v>
          </cell>
          <cell r="H5521">
            <v>26.6</v>
          </cell>
          <cell r="I5521">
            <v>916.99</v>
          </cell>
          <cell r="J5521">
            <v>0</v>
          </cell>
          <cell r="K5521">
            <v>0</v>
          </cell>
          <cell r="M5521">
            <v>0</v>
          </cell>
          <cell r="P5521">
            <v>917</v>
          </cell>
          <cell r="V5521" t="str">
            <v>Not Available</v>
          </cell>
        </row>
        <row r="5522">
          <cell r="E5522">
            <v>10570049</v>
          </cell>
          <cell r="H5522">
            <v>65.899999999999991</v>
          </cell>
          <cell r="I5522">
            <v>3198.12</v>
          </cell>
          <cell r="J5522">
            <v>0</v>
          </cell>
          <cell r="K5522">
            <v>0</v>
          </cell>
          <cell r="M5522">
            <v>0</v>
          </cell>
          <cell r="P5522">
            <v>3198</v>
          </cell>
          <cell r="V5522" t="str">
            <v>Not Available</v>
          </cell>
        </row>
        <row r="5523">
          <cell r="E5523">
            <v>10570049</v>
          </cell>
          <cell r="H5523">
            <v>68.8</v>
          </cell>
          <cell r="I5523">
            <v>3154.9700000000003</v>
          </cell>
          <cell r="J5523">
            <v>0</v>
          </cell>
          <cell r="K5523">
            <v>0</v>
          </cell>
          <cell r="M5523">
            <v>0</v>
          </cell>
          <cell r="P5523">
            <v>3155</v>
          </cell>
          <cell r="V5523" t="str">
            <v>Not Available</v>
          </cell>
        </row>
        <row r="5524">
          <cell r="E5524">
            <v>10570049</v>
          </cell>
          <cell r="H5524">
            <v>13.399999999999999</v>
          </cell>
          <cell r="I5524">
            <v>555.43999999999994</v>
          </cell>
          <cell r="J5524">
            <v>0</v>
          </cell>
          <cell r="K5524">
            <v>0</v>
          </cell>
          <cell r="M5524">
            <v>0</v>
          </cell>
          <cell r="P5524">
            <v>555</v>
          </cell>
          <cell r="V5524" t="str">
            <v>Not Available</v>
          </cell>
        </row>
        <row r="5525">
          <cell r="E5525">
            <v>10570049</v>
          </cell>
          <cell r="H5525">
            <v>28.9</v>
          </cell>
          <cell r="I5525">
            <v>1241.25</v>
          </cell>
          <cell r="J5525">
            <v>0</v>
          </cell>
          <cell r="K5525">
            <v>0</v>
          </cell>
          <cell r="M5525">
            <v>0</v>
          </cell>
          <cell r="P5525">
            <v>1241</v>
          </cell>
          <cell r="V5525" t="str">
            <v>Not Available</v>
          </cell>
        </row>
        <row r="5526">
          <cell r="E5526">
            <v>10570051</v>
          </cell>
          <cell r="H5526">
            <v>82.1</v>
          </cell>
          <cell r="I5526">
            <v>2687.3499999999995</v>
          </cell>
          <cell r="J5526">
            <v>0</v>
          </cell>
          <cell r="K5526">
            <v>0</v>
          </cell>
          <cell r="M5526">
            <v>0</v>
          </cell>
          <cell r="P5526">
            <v>2687</v>
          </cell>
          <cell r="V5526" t="str">
            <v>Available</v>
          </cell>
        </row>
        <row r="5527">
          <cell r="E5527">
            <v>10570051</v>
          </cell>
          <cell r="H5527">
            <v>1</v>
          </cell>
          <cell r="I5527">
            <v>38.92</v>
          </cell>
          <cell r="J5527">
            <v>0</v>
          </cell>
          <cell r="K5527">
            <v>0</v>
          </cell>
          <cell r="M5527">
            <v>0</v>
          </cell>
          <cell r="P5527">
            <v>39</v>
          </cell>
          <cell r="V5527" t="str">
            <v>Available</v>
          </cell>
        </row>
        <row r="5528">
          <cell r="E5528">
            <v>10570051</v>
          </cell>
          <cell r="H5528">
            <v>10</v>
          </cell>
          <cell r="I5528">
            <v>393.4</v>
          </cell>
          <cell r="J5528">
            <v>0</v>
          </cell>
          <cell r="K5528">
            <v>0</v>
          </cell>
          <cell r="M5528">
            <v>0</v>
          </cell>
          <cell r="P5528">
            <v>393</v>
          </cell>
          <cell r="V5528" t="str">
            <v>Not Available</v>
          </cell>
        </row>
        <row r="5529">
          <cell r="E5529">
            <v>10570051</v>
          </cell>
          <cell r="H5529">
            <v>3</v>
          </cell>
          <cell r="I5529">
            <v>118.86</v>
          </cell>
          <cell r="J5529">
            <v>0</v>
          </cell>
          <cell r="K5529">
            <v>0</v>
          </cell>
          <cell r="M5529">
            <v>0</v>
          </cell>
          <cell r="P5529">
            <v>119</v>
          </cell>
          <cell r="V5529" t="str">
            <v>Not Available</v>
          </cell>
        </row>
        <row r="5530">
          <cell r="E5530">
            <v>10570051</v>
          </cell>
          <cell r="H5530">
            <v>4</v>
          </cell>
          <cell r="I5530">
            <v>161.24</v>
          </cell>
          <cell r="J5530">
            <v>0</v>
          </cell>
          <cell r="K5530">
            <v>0</v>
          </cell>
          <cell r="M5530">
            <v>0</v>
          </cell>
          <cell r="P5530">
            <v>161</v>
          </cell>
          <cell r="V5530" t="str">
            <v>Not Available</v>
          </cell>
        </row>
        <row r="5531">
          <cell r="E5531">
            <v>10570055</v>
          </cell>
          <cell r="H5531">
            <v>7.8</v>
          </cell>
          <cell r="I5531">
            <v>316.81</v>
          </cell>
          <cell r="J5531">
            <v>0</v>
          </cell>
          <cell r="K5531">
            <v>316.81</v>
          </cell>
          <cell r="M5531">
            <v>0</v>
          </cell>
          <cell r="P5531">
            <v>0</v>
          </cell>
          <cell r="V5531" t="str">
            <v>Not Available</v>
          </cell>
        </row>
        <row r="5532">
          <cell r="E5532">
            <v>10570055</v>
          </cell>
          <cell r="H5532">
            <v>38.9</v>
          </cell>
          <cell r="I5532">
            <v>1570.88</v>
          </cell>
          <cell r="J5532">
            <v>0</v>
          </cell>
          <cell r="K5532">
            <v>0</v>
          </cell>
          <cell r="M5532">
            <v>0</v>
          </cell>
          <cell r="P5532">
            <v>1571</v>
          </cell>
          <cell r="V5532" t="str">
            <v>Available</v>
          </cell>
        </row>
        <row r="5533">
          <cell r="E5533">
            <v>10570055</v>
          </cell>
          <cell r="H5533">
            <v>639.4</v>
          </cell>
          <cell r="I5533">
            <v>24886.969999999994</v>
          </cell>
          <cell r="J5533">
            <v>0</v>
          </cell>
          <cell r="K5533">
            <v>0</v>
          </cell>
          <cell r="M5533">
            <v>0</v>
          </cell>
          <cell r="P5533">
            <v>24887</v>
          </cell>
          <cell r="V5533" t="str">
            <v>Not Available</v>
          </cell>
        </row>
        <row r="5534">
          <cell r="E5534">
            <v>10570055</v>
          </cell>
          <cell r="H5534">
            <v>3</v>
          </cell>
          <cell r="I5534">
            <v>94.5</v>
          </cell>
          <cell r="J5534">
            <v>0</v>
          </cell>
          <cell r="K5534">
            <v>0</v>
          </cell>
          <cell r="M5534">
            <v>0</v>
          </cell>
          <cell r="P5534">
            <v>95</v>
          </cell>
          <cell r="V5534" t="str">
            <v>Not Available</v>
          </cell>
        </row>
        <row r="5535">
          <cell r="E5535">
            <v>10570055</v>
          </cell>
          <cell r="H5535">
            <v>2</v>
          </cell>
          <cell r="I5535">
            <v>70.400000000000006</v>
          </cell>
          <cell r="J5535">
            <v>0</v>
          </cell>
          <cell r="K5535">
            <v>0</v>
          </cell>
          <cell r="M5535">
            <v>0</v>
          </cell>
          <cell r="P5535">
            <v>70</v>
          </cell>
          <cell r="V5535" t="str">
            <v>Not Available</v>
          </cell>
        </row>
        <row r="5536">
          <cell r="E5536">
            <v>10570055</v>
          </cell>
          <cell r="H5536">
            <v>2</v>
          </cell>
          <cell r="I5536">
            <v>65.06</v>
          </cell>
          <cell r="J5536">
            <v>0</v>
          </cell>
          <cell r="K5536">
            <v>0</v>
          </cell>
          <cell r="M5536">
            <v>0</v>
          </cell>
          <cell r="P5536">
            <v>65</v>
          </cell>
          <cell r="V5536" t="str">
            <v>Not Available</v>
          </cell>
        </row>
        <row r="5537">
          <cell r="E5537">
            <v>10570055</v>
          </cell>
          <cell r="H5537">
            <v>2</v>
          </cell>
          <cell r="I5537">
            <v>70.400000000000006</v>
          </cell>
          <cell r="J5537">
            <v>0</v>
          </cell>
          <cell r="K5537">
            <v>0</v>
          </cell>
          <cell r="M5537">
            <v>0</v>
          </cell>
          <cell r="P5537">
            <v>70</v>
          </cell>
          <cell r="V5537" t="str">
            <v>Not Available</v>
          </cell>
        </row>
        <row r="5538">
          <cell r="E5538">
            <v>10570055</v>
          </cell>
          <cell r="H5538">
            <v>2</v>
          </cell>
          <cell r="I5538">
            <v>69.22</v>
          </cell>
          <cell r="J5538">
            <v>0</v>
          </cell>
          <cell r="K5538">
            <v>0</v>
          </cell>
          <cell r="M5538">
            <v>0</v>
          </cell>
          <cell r="P5538">
            <v>69</v>
          </cell>
          <cell r="V5538" t="str">
            <v>Not Available</v>
          </cell>
        </row>
        <row r="5539">
          <cell r="E5539">
            <v>10570055</v>
          </cell>
          <cell r="H5539">
            <v>2</v>
          </cell>
          <cell r="I5539">
            <v>69.78</v>
          </cell>
          <cell r="J5539">
            <v>0</v>
          </cell>
          <cell r="K5539">
            <v>0</v>
          </cell>
          <cell r="M5539">
            <v>0</v>
          </cell>
          <cell r="P5539">
            <v>70</v>
          </cell>
          <cell r="V5539" t="str">
            <v>Not Available</v>
          </cell>
        </row>
        <row r="5540">
          <cell r="E5540">
            <v>10570055</v>
          </cell>
          <cell r="H5540">
            <v>2</v>
          </cell>
          <cell r="I5540">
            <v>70.400000000000006</v>
          </cell>
          <cell r="J5540">
            <v>0</v>
          </cell>
          <cell r="K5540">
            <v>0</v>
          </cell>
          <cell r="M5540">
            <v>0</v>
          </cell>
          <cell r="P5540">
            <v>70</v>
          </cell>
          <cell r="V5540" t="str">
            <v>Not Available</v>
          </cell>
        </row>
        <row r="5541">
          <cell r="E5541">
            <v>10570073</v>
          </cell>
          <cell r="H5541">
            <v>246.4</v>
          </cell>
          <cell r="I5541">
            <v>10333.380000000001</v>
          </cell>
          <cell r="J5541">
            <v>0</v>
          </cell>
          <cell r="K5541">
            <v>0</v>
          </cell>
          <cell r="M5541">
            <v>0</v>
          </cell>
          <cell r="P5541">
            <v>10333</v>
          </cell>
          <cell r="V5541" t="str">
            <v>Available</v>
          </cell>
        </row>
        <row r="5542">
          <cell r="E5542">
            <v>10570073</v>
          </cell>
          <cell r="H5542">
            <v>21.900000000000002</v>
          </cell>
          <cell r="I5542">
            <v>975.97000000000014</v>
          </cell>
          <cell r="J5542">
            <v>0</v>
          </cell>
          <cell r="K5542">
            <v>0</v>
          </cell>
          <cell r="M5542">
            <v>0</v>
          </cell>
          <cell r="P5542">
            <v>976</v>
          </cell>
          <cell r="V5542" t="str">
            <v>Available</v>
          </cell>
        </row>
        <row r="5543">
          <cell r="E5543">
            <v>10570073</v>
          </cell>
          <cell r="H5543">
            <v>5.5</v>
          </cell>
          <cell r="I5543">
            <v>236.08</v>
          </cell>
          <cell r="J5543">
            <v>0</v>
          </cell>
          <cell r="K5543">
            <v>0</v>
          </cell>
          <cell r="M5543">
            <v>0</v>
          </cell>
          <cell r="P5543">
            <v>236</v>
          </cell>
          <cell r="V5543" t="str">
            <v>Available</v>
          </cell>
        </row>
        <row r="5544">
          <cell r="E5544">
            <v>10570073</v>
          </cell>
          <cell r="H5544">
            <v>19.8</v>
          </cell>
          <cell r="I5544">
            <v>744.42</v>
          </cell>
          <cell r="J5544">
            <v>0</v>
          </cell>
          <cell r="K5544">
            <v>0</v>
          </cell>
          <cell r="M5544">
            <v>0</v>
          </cell>
          <cell r="P5544">
            <v>744</v>
          </cell>
          <cell r="V5544" t="str">
            <v>Available</v>
          </cell>
        </row>
        <row r="5545">
          <cell r="E5545">
            <v>10570073</v>
          </cell>
          <cell r="H5545">
            <v>1</v>
          </cell>
          <cell r="I5545">
            <v>38.090000000000003</v>
          </cell>
          <cell r="J5545">
            <v>0</v>
          </cell>
          <cell r="K5545">
            <v>0</v>
          </cell>
          <cell r="M5545">
            <v>0</v>
          </cell>
          <cell r="P5545">
            <v>38</v>
          </cell>
          <cell r="V5545" t="str">
            <v>Available</v>
          </cell>
        </row>
        <row r="5546">
          <cell r="E5546">
            <v>10570073</v>
          </cell>
          <cell r="H5546">
            <v>9</v>
          </cell>
          <cell r="I5546">
            <v>340.24</v>
          </cell>
          <cell r="J5546">
            <v>0</v>
          </cell>
          <cell r="K5546">
            <v>0</v>
          </cell>
          <cell r="M5546">
            <v>0</v>
          </cell>
          <cell r="P5546">
            <v>340</v>
          </cell>
          <cell r="V5546" t="str">
            <v>Available</v>
          </cell>
        </row>
        <row r="5547">
          <cell r="E5547">
            <v>10570073</v>
          </cell>
          <cell r="H5547">
            <v>19.099999999999998</v>
          </cell>
          <cell r="I5547">
            <v>804.34000000000015</v>
          </cell>
          <cell r="J5547">
            <v>0</v>
          </cell>
          <cell r="K5547">
            <v>0</v>
          </cell>
          <cell r="M5547">
            <v>0</v>
          </cell>
          <cell r="P5547">
            <v>804</v>
          </cell>
          <cell r="V5547" t="str">
            <v>Available</v>
          </cell>
        </row>
        <row r="5548">
          <cell r="E5548">
            <v>10570073</v>
          </cell>
          <cell r="H5548">
            <v>1.2</v>
          </cell>
          <cell r="I5548">
            <v>47.61</v>
          </cell>
          <cell r="J5548">
            <v>0</v>
          </cell>
          <cell r="K5548">
            <v>0</v>
          </cell>
          <cell r="M5548">
            <v>0</v>
          </cell>
          <cell r="P5548">
            <v>48</v>
          </cell>
          <cell r="V5548" t="str">
            <v>Available</v>
          </cell>
        </row>
        <row r="5549">
          <cell r="E5549">
            <v>10570073</v>
          </cell>
          <cell r="H5549">
            <v>1</v>
          </cell>
          <cell r="I5549">
            <v>38.090000000000003</v>
          </cell>
          <cell r="J5549">
            <v>0</v>
          </cell>
          <cell r="K5549">
            <v>0</v>
          </cell>
          <cell r="M5549">
            <v>0</v>
          </cell>
          <cell r="P5549">
            <v>38</v>
          </cell>
          <cell r="V5549" t="str">
            <v>Available</v>
          </cell>
        </row>
        <row r="5550">
          <cell r="E5550">
            <v>10570073</v>
          </cell>
          <cell r="H5550">
            <v>5.6999999999999993</v>
          </cell>
          <cell r="I5550">
            <v>427.72</v>
          </cell>
          <cell r="J5550">
            <v>0</v>
          </cell>
          <cell r="K5550">
            <v>0</v>
          </cell>
          <cell r="M5550">
            <v>0</v>
          </cell>
          <cell r="P5550">
            <v>428</v>
          </cell>
          <cell r="V5550" t="str">
            <v>Not Available</v>
          </cell>
        </row>
        <row r="5551">
          <cell r="E5551">
            <v>10580001</v>
          </cell>
          <cell r="H5551">
            <v>9.1</v>
          </cell>
          <cell r="I5551">
            <v>396.63000000000005</v>
          </cell>
          <cell r="J5551">
            <v>0</v>
          </cell>
          <cell r="K5551">
            <v>396.63000000000005</v>
          </cell>
          <cell r="M5551">
            <v>0</v>
          </cell>
          <cell r="P5551">
            <v>0</v>
          </cell>
          <cell r="V5551" t="str">
            <v>Not Available</v>
          </cell>
        </row>
        <row r="5552">
          <cell r="E5552">
            <v>10580001</v>
          </cell>
          <cell r="H5552">
            <v>111.7</v>
          </cell>
          <cell r="I5552">
            <v>4181.6899999999996</v>
          </cell>
          <cell r="J5552">
            <v>0</v>
          </cell>
          <cell r="K5552">
            <v>0</v>
          </cell>
          <cell r="M5552">
            <v>0</v>
          </cell>
          <cell r="P5552">
            <v>4182</v>
          </cell>
          <cell r="V5552" t="str">
            <v>Available</v>
          </cell>
        </row>
        <row r="5553">
          <cell r="E5553">
            <v>10580001</v>
          </cell>
          <cell r="H5553">
            <v>99.999999999999972</v>
          </cell>
          <cell r="I5553">
            <v>4443.3</v>
          </cell>
          <cell r="J5553">
            <v>0</v>
          </cell>
          <cell r="K5553">
            <v>0</v>
          </cell>
          <cell r="M5553">
            <v>0</v>
          </cell>
          <cell r="P5553">
            <v>4443</v>
          </cell>
          <cell r="V5553" t="str">
            <v>Available</v>
          </cell>
        </row>
        <row r="5554">
          <cell r="E5554">
            <v>10580001</v>
          </cell>
          <cell r="H5554">
            <v>30.600000000000005</v>
          </cell>
          <cell r="I5554">
            <v>1204.29</v>
          </cell>
          <cell r="J5554">
            <v>0</v>
          </cell>
          <cell r="K5554">
            <v>0</v>
          </cell>
          <cell r="M5554">
            <v>0</v>
          </cell>
          <cell r="P5554">
            <v>1204</v>
          </cell>
          <cell r="V5554" t="str">
            <v>Available</v>
          </cell>
        </row>
        <row r="5555">
          <cell r="E5555">
            <v>10580001</v>
          </cell>
          <cell r="H5555">
            <v>13.4</v>
          </cell>
          <cell r="I5555">
            <v>906.80999999999983</v>
          </cell>
          <cell r="J5555">
            <v>0</v>
          </cell>
          <cell r="K5555">
            <v>0</v>
          </cell>
          <cell r="M5555">
            <v>0</v>
          </cell>
          <cell r="P5555">
            <v>907</v>
          </cell>
          <cell r="V5555" t="str">
            <v>Available</v>
          </cell>
        </row>
        <row r="5556">
          <cell r="E5556">
            <v>10580001</v>
          </cell>
          <cell r="H5556">
            <v>36.5</v>
          </cell>
          <cell r="I5556">
            <v>1433.6200000000001</v>
          </cell>
          <cell r="J5556">
            <v>0</v>
          </cell>
          <cell r="K5556">
            <v>0</v>
          </cell>
          <cell r="M5556">
            <v>0</v>
          </cell>
          <cell r="P5556">
            <v>1434</v>
          </cell>
          <cell r="V5556" t="str">
            <v>Available</v>
          </cell>
        </row>
        <row r="5557">
          <cell r="E5557">
            <v>10580001</v>
          </cell>
          <cell r="H5557">
            <v>18</v>
          </cell>
          <cell r="I5557">
            <v>872.90000000000009</v>
          </cell>
          <cell r="J5557">
            <v>0</v>
          </cell>
          <cell r="K5557">
            <v>0</v>
          </cell>
          <cell r="M5557">
            <v>0</v>
          </cell>
          <cell r="P5557">
            <v>873</v>
          </cell>
          <cell r="V5557" t="str">
            <v>Available</v>
          </cell>
        </row>
        <row r="5558">
          <cell r="E5558">
            <v>10580001</v>
          </cell>
          <cell r="H5558">
            <v>18.700000000000003</v>
          </cell>
          <cell r="I5558">
            <v>1524.7699999999998</v>
          </cell>
          <cell r="J5558">
            <v>0</v>
          </cell>
          <cell r="K5558">
            <v>0</v>
          </cell>
          <cell r="M5558">
            <v>0</v>
          </cell>
          <cell r="P5558">
            <v>1525</v>
          </cell>
          <cell r="V5558" t="str">
            <v>Available</v>
          </cell>
        </row>
        <row r="5559">
          <cell r="E5559">
            <v>10580001</v>
          </cell>
          <cell r="H5559">
            <v>15.600000000000001</v>
          </cell>
          <cell r="I5559">
            <v>629.45000000000005</v>
          </cell>
          <cell r="J5559">
            <v>0</v>
          </cell>
          <cell r="K5559">
            <v>0</v>
          </cell>
          <cell r="M5559">
            <v>0</v>
          </cell>
          <cell r="P5559">
            <v>629</v>
          </cell>
          <cell r="V5559" t="str">
            <v>Available</v>
          </cell>
        </row>
        <row r="5560">
          <cell r="E5560">
            <v>10580001</v>
          </cell>
          <cell r="H5560">
            <v>29.1</v>
          </cell>
          <cell r="I5560">
            <v>1209.82</v>
          </cell>
          <cell r="J5560">
            <v>0</v>
          </cell>
          <cell r="K5560">
            <v>0</v>
          </cell>
          <cell r="M5560">
            <v>0</v>
          </cell>
          <cell r="P5560">
            <v>1210</v>
          </cell>
          <cell r="V5560" t="str">
            <v>Available</v>
          </cell>
        </row>
        <row r="5561">
          <cell r="E5561">
            <v>10580001</v>
          </cell>
          <cell r="H5561">
            <v>28.299999999999997</v>
          </cell>
          <cell r="I5561">
            <v>1328.9499999999998</v>
          </cell>
          <cell r="J5561">
            <v>0</v>
          </cell>
          <cell r="K5561">
            <v>0</v>
          </cell>
          <cell r="M5561">
            <v>0</v>
          </cell>
          <cell r="P5561">
            <v>1329</v>
          </cell>
          <cell r="V5561" t="str">
            <v>Available</v>
          </cell>
        </row>
        <row r="5562">
          <cell r="E5562">
            <v>10580001</v>
          </cell>
          <cell r="H5562">
            <v>17.7</v>
          </cell>
          <cell r="I5562">
            <v>783.55000000000007</v>
          </cell>
          <cell r="J5562">
            <v>0</v>
          </cell>
          <cell r="K5562">
            <v>0</v>
          </cell>
          <cell r="M5562">
            <v>0</v>
          </cell>
          <cell r="P5562">
            <v>784</v>
          </cell>
          <cell r="V5562" t="str">
            <v>Available</v>
          </cell>
        </row>
        <row r="5563">
          <cell r="E5563">
            <v>10580001</v>
          </cell>
          <cell r="H5563">
            <v>14.2</v>
          </cell>
          <cell r="I5563">
            <v>606.29000000000008</v>
          </cell>
          <cell r="J5563">
            <v>0</v>
          </cell>
          <cell r="K5563">
            <v>0</v>
          </cell>
          <cell r="M5563">
            <v>0</v>
          </cell>
          <cell r="P5563">
            <v>606</v>
          </cell>
          <cell r="V5563" t="str">
            <v>Available</v>
          </cell>
        </row>
        <row r="5564">
          <cell r="E5564">
            <v>10580001</v>
          </cell>
          <cell r="H5564">
            <v>8.4</v>
          </cell>
          <cell r="I5564">
            <v>316.14000000000004</v>
          </cell>
          <cell r="J5564">
            <v>0</v>
          </cell>
          <cell r="K5564">
            <v>0</v>
          </cell>
          <cell r="M5564">
            <v>0</v>
          </cell>
          <cell r="P5564">
            <v>316</v>
          </cell>
          <cell r="V5564" t="str">
            <v>Available</v>
          </cell>
        </row>
        <row r="5565">
          <cell r="E5565">
            <v>10580001</v>
          </cell>
          <cell r="H5565">
            <v>15.799999999999999</v>
          </cell>
          <cell r="I5565">
            <v>709.82</v>
          </cell>
          <cell r="J5565">
            <v>0</v>
          </cell>
          <cell r="K5565">
            <v>0</v>
          </cell>
          <cell r="M5565">
            <v>0</v>
          </cell>
          <cell r="P5565">
            <v>710</v>
          </cell>
          <cell r="V5565" t="str">
            <v>Available</v>
          </cell>
        </row>
        <row r="5566">
          <cell r="E5566">
            <v>10580001</v>
          </cell>
          <cell r="H5566">
            <v>30.400000000000002</v>
          </cell>
          <cell r="I5566">
            <v>1132.3900000000001</v>
          </cell>
          <cell r="J5566">
            <v>0</v>
          </cell>
          <cell r="K5566">
            <v>0</v>
          </cell>
          <cell r="M5566">
            <v>0</v>
          </cell>
          <cell r="P5566">
            <v>1132</v>
          </cell>
          <cell r="V5566" t="str">
            <v>Available</v>
          </cell>
        </row>
        <row r="5567">
          <cell r="E5567">
            <v>10580001</v>
          </cell>
          <cell r="H5567">
            <v>3.1</v>
          </cell>
          <cell r="I5567">
            <v>135.43</v>
          </cell>
          <cell r="J5567">
            <v>0</v>
          </cell>
          <cell r="K5567">
            <v>0</v>
          </cell>
          <cell r="M5567">
            <v>0</v>
          </cell>
          <cell r="P5567">
            <v>135</v>
          </cell>
          <cell r="V5567" t="str">
            <v>Available</v>
          </cell>
        </row>
        <row r="5568">
          <cell r="E5568">
            <v>10580002</v>
          </cell>
          <cell r="H5568">
            <v>7.2</v>
          </cell>
          <cell r="I5568">
            <v>318.81</v>
          </cell>
          <cell r="J5568">
            <v>0</v>
          </cell>
          <cell r="K5568">
            <v>318.81</v>
          </cell>
          <cell r="M5568">
            <v>0</v>
          </cell>
          <cell r="P5568">
            <v>0</v>
          </cell>
          <cell r="V5568" t="str">
            <v>Not Available</v>
          </cell>
        </row>
        <row r="5569">
          <cell r="E5569">
            <v>10580002</v>
          </cell>
          <cell r="H5569">
            <v>60.000000000000014</v>
          </cell>
          <cell r="I5569">
            <v>3046.8200000000006</v>
          </cell>
          <cell r="J5569">
            <v>0</v>
          </cell>
          <cell r="K5569">
            <v>0</v>
          </cell>
          <cell r="M5569">
            <v>0</v>
          </cell>
          <cell r="P5569">
            <v>3047</v>
          </cell>
          <cell r="V5569" t="str">
            <v>Available</v>
          </cell>
        </row>
        <row r="5570">
          <cell r="E5570">
            <v>10580002</v>
          </cell>
          <cell r="H5570">
            <v>323.80000000000007</v>
          </cell>
          <cell r="I5570">
            <v>14694.219999999998</v>
          </cell>
          <cell r="J5570">
            <v>0</v>
          </cell>
          <cell r="K5570">
            <v>0</v>
          </cell>
          <cell r="M5570">
            <v>0</v>
          </cell>
          <cell r="P5570">
            <v>14694</v>
          </cell>
          <cell r="V5570" t="str">
            <v>Available</v>
          </cell>
        </row>
        <row r="5571">
          <cell r="E5571">
            <v>10580002</v>
          </cell>
          <cell r="H5571">
            <v>16.600000000000001</v>
          </cell>
          <cell r="I5571">
            <v>497.31</v>
          </cell>
          <cell r="J5571">
            <v>0</v>
          </cell>
          <cell r="K5571">
            <v>0</v>
          </cell>
          <cell r="M5571">
            <v>0</v>
          </cell>
          <cell r="P5571">
            <v>497</v>
          </cell>
          <cell r="V5571" t="str">
            <v>Available</v>
          </cell>
        </row>
        <row r="5572">
          <cell r="E5572">
            <v>10580002</v>
          </cell>
          <cell r="H5572">
            <v>8</v>
          </cell>
          <cell r="I5572">
            <v>303.04999999999995</v>
          </cell>
          <cell r="J5572">
            <v>0</v>
          </cell>
          <cell r="K5572">
            <v>0</v>
          </cell>
          <cell r="M5572">
            <v>0</v>
          </cell>
          <cell r="P5572">
            <v>303</v>
          </cell>
          <cell r="V5572" t="str">
            <v>Available</v>
          </cell>
        </row>
        <row r="5573">
          <cell r="E5573">
            <v>10580002</v>
          </cell>
          <cell r="H5573">
            <v>7.1</v>
          </cell>
          <cell r="I5573">
            <v>304.16999999999996</v>
          </cell>
          <cell r="J5573">
            <v>0</v>
          </cell>
          <cell r="K5573">
            <v>0</v>
          </cell>
          <cell r="M5573">
            <v>0</v>
          </cell>
          <cell r="P5573">
            <v>304</v>
          </cell>
          <cell r="V5573" t="str">
            <v>Available</v>
          </cell>
        </row>
        <row r="5574">
          <cell r="E5574">
            <v>10580002</v>
          </cell>
          <cell r="H5574">
            <v>35.4</v>
          </cell>
          <cell r="I5574">
            <v>1195.8500000000001</v>
          </cell>
          <cell r="J5574">
            <v>0</v>
          </cell>
          <cell r="K5574">
            <v>0</v>
          </cell>
          <cell r="M5574">
            <v>0</v>
          </cell>
          <cell r="P5574">
            <v>1196</v>
          </cell>
          <cell r="V5574" t="str">
            <v>Available</v>
          </cell>
        </row>
        <row r="5575">
          <cell r="E5575">
            <v>10580002</v>
          </cell>
          <cell r="H5575">
            <v>11.899999999999999</v>
          </cell>
          <cell r="I5575">
            <v>385.81</v>
          </cell>
          <cell r="J5575">
            <v>0</v>
          </cell>
          <cell r="K5575">
            <v>0</v>
          </cell>
          <cell r="M5575">
            <v>0</v>
          </cell>
          <cell r="P5575">
            <v>386</v>
          </cell>
          <cell r="V5575" t="str">
            <v>Available</v>
          </cell>
        </row>
        <row r="5576">
          <cell r="E5576">
            <v>10580004</v>
          </cell>
          <cell r="H5576">
            <v>0.60000000000000009</v>
          </cell>
          <cell r="I5576">
            <v>26.18</v>
          </cell>
          <cell r="J5576">
            <v>0</v>
          </cell>
          <cell r="K5576">
            <v>26.18</v>
          </cell>
          <cell r="M5576">
            <v>0</v>
          </cell>
          <cell r="P5576">
            <v>0</v>
          </cell>
          <cell r="V5576" t="str">
            <v>Not Available</v>
          </cell>
        </row>
        <row r="5577">
          <cell r="E5577">
            <v>10580004</v>
          </cell>
          <cell r="H5577">
            <v>290.5</v>
          </cell>
          <cell r="I5577">
            <v>12551.929999999998</v>
          </cell>
          <cell r="J5577">
            <v>0</v>
          </cell>
          <cell r="K5577">
            <v>0</v>
          </cell>
          <cell r="M5577">
            <v>0</v>
          </cell>
          <cell r="P5577">
            <v>12552</v>
          </cell>
          <cell r="V5577" t="str">
            <v>Available</v>
          </cell>
        </row>
        <row r="5578">
          <cell r="E5578">
            <v>10580005</v>
          </cell>
          <cell r="H5578">
            <v>7.1999999999999984</v>
          </cell>
          <cell r="I5578">
            <v>303.02</v>
          </cell>
          <cell r="J5578">
            <v>0</v>
          </cell>
          <cell r="K5578">
            <v>303.02</v>
          </cell>
          <cell r="M5578">
            <v>0</v>
          </cell>
          <cell r="P5578">
            <v>0</v>
          </cell>
          <cell r="V5578" t="str">
            <v>Not Available</v>
          </cell>
        </row>
        <row r="5579">
          <cell r="E5579">
            <v>10580005</v>
          </cell>
          <cell r="H5579">
            <v>0.9</v>
          </cell>
          <cell r="I5579">
            <v>37.53</v>
          </cell>
          <cell r="J5579">
            <v>0</v>
          </cell>
          <cell r="K5579">
            <v>0</v>
          </cell>
          <cell r="M5579">
            <v>0</v>
          </cell>
          <cell r="P5579">
            <v>38</v>
          </cell>
          <cell r="V5579" t="str">
            <v>Available</v>
          </cell>
        </row>
        <row r="5580">
          <cell r="E5580">
            <v>10580005</v>
          </cell>
          <cell r="H5580">
            <v>6.4</v>
          </cell>
          <cell r="I5580">
            <v>275.57</v>
          </cell>
          <cell r="J5580">
            <v>0</v>
          </cell>
          <cell r="K5580">
            <v>0</v>
          </cell>
          <cell r="M5580">
            <v>0</v>
          </cell>
          <cell r="P5580">
            <v>276</v>
          </cell>
          <cell r="V5580" t="str">
            <v>Available</v>
          </cell>
        </row>
        <row r="5581">
          <cell r="E5581">
            <v>10580005</v>
          </cell>
          <cell r="H5581">
            <v>9.6</v>
          </cell>
          <cell r="I5581">
            <v>460.96</v>
          </cell>
          <cell r="J5581">
            <v>0</v>
          </cell>
          <cell r="K5581">
            <v>0</v>
          </cell>
          <cell r="M5581">
            <v>0</v>
          </cell>
          <cell r="P5581">
            <v>461</v>
          </cell>
          <cell r="V5581" t="str">
            <v>Available</v>
          </cell>
        </row>
        <row r="5582">
          <cell r="E5582">
            <v>10580005</v>
          </cell>
          <cell r="H5582">
            <v>19.099999999999998</v>
          </cell>
          <cell r="I5582">
            <v>804.18</v>
          </cell>
          <cell r="J5582">
            <v>0</v>
          </cell>
          <cell r="K5582">
            <v>0</v>
          </cell>
          <cell r="M5582">
            <v>0</v>
          </cell>
          <cell r="P5582">
            <v>804</v>
          </cell>
          <cell r="V5582" t="str">
            <v>Available</v>
          </cell>
        </row>
        <row r="5583">
          <cell r="E5583">
            <v>10580005</v>
          </cell>
          <cell r="H5583">
            <v>25.4</v>
          </cell>
          <cell r="I5583">
            <v>1832.3999999999999</v>
          </cell>
          <cell r="J5583">
            <v>0</v>
          </cell>
          <cell r="K5583">
            <v>0</v>
          </cell>
          <cell r="M5583">
            <v>0</v>
          </cell>
          <cell r="P5583">
            <v>1832</v>
          </cell>
          <cell r="V5583" t="str">
            <v>Available</v>
          </cell>
        </row>
        <row r="5584">
          <cell r="E5584">
            <v>10580005</v>
          </cell>
          <cell r="H5584">
            <v>30.599999999999998</v>
          </cell>
          <cell r="I5584">
            <v>1256.73</v>
          </cell>
          <cell r="J5584">
            <v>0</v>
          </cell>
          <cell r="K5584">
            <v>0</v>
          </cell>
          <cell r="M5584">
            <v>0</v>
          </cell>
          <cell r="P5584">
            <v>1257</v>
          </cell>
          <cell r="V5584" t="str">
            <v>Available</v>
          </cell>
        </row>
        <row r="5585">
          <cell r="E5585">
            <v>10580005</v>
          </cell>
          <cell r="H5585">
            <v>13.8</v>
          </cell>
          <cell r="I5585">
            <v>558.39</v>
          </cell>
          <cell r="J5585">
            <v>0</v>
          </cell>
          <cell r="K5585">
            <v>0</v>
          </cell>
          <cell r="M5585">
            <v>0</v>
          </cell>
          <cell r="P5585">
            <v>558</v>
          </cell>
          <cell r="V5585" t="str">
            <v>Available</v>
          </cell>
        </row>
        <row r="5586">
          <cell r="E5586">
            <v>10580005</v>
          </cell>
          <cell r="H5586">
            <v>7.6</v>
          </cell>
          <cell r="I5586">
            <v>298.48</v>
          </cell>
          <cell r="J5586">
            <v>0</v>
          </cell>
          <cell r="K5586">
            <v>0</v>
          </cell>
          <cell r="M5586">
            <v>0</v>
          </cell>
          <cell r="P5586">
            <v>298</v>
          </cell>
          <cell r="V5586" t="str">
            <v>Available</v>
          </cell>
        </row>
        <row r="5587">
          <cell r="E5587">
            <v>10580005</v>
          </cell>
          <cell r="H5587">
            <v>334.9</v>
          </cell>
          <cell r="I5587">
            <v>14262.650000000001</v>
          </cell>
          <cell r="J5587">
            <v>0</v>
          </cell>
          <cell r="K5587">
            <v>0</v>
          </cell>
          <cell r="M5587">
            <v>0</v>
          </cell>
          <cell r="P5587">
            <v>14263</v>
          </cell>
          <cell r="V5587" t="str">
            <v>Available</v>
          </cell>
        </row>
        <row r="5588">
          <cell r="E5588">
            <v>10580005</v>
          </cell>
          <cell r="H5588">
            <v>34.699999999999996</v>
          </cell>
          <cell r="I5588">
            <v>1450.0300000000002</v>
          </cell>
          <cell r="J5588">
            <v>0</v>
          </cell>
          <cell r="K5588">
            <v>0</v>
          </cell>
          <cell r="M5588">
            <v>0</v>
          </cell>
          <cell r="P5588">
            <v>1450</v>
          </cell>
          <cell r="V5588" t="str">
            <v>Available</v>
          </cell>
        </row>
        <row r="5589">
          <cell r="E5589">
            <v>10580010</v>
          </cell>
          <cell r="H5589">
            <v>531.40000000000009</v>
          </cell>
          <cell r="I5589">
            <v>33307.08</v>
          </cell>
          <cell r="J5589">
            <v>0</v>
          </cell>
          <cell r="K5589">
            <v>0</v>
          </cell>
          <cell r="M5589">
            <v>0</v>
          </cell>
          <cell r="P5589">
            <v>23109</v>
          </cell>
          <cell r="V5589" t="str">
            <v>Available</v>
          </cell>
        </row>
        <row r="5590">
          <cell r="E5590">
            <v>10580010</v>
          </cell>
          <cell r="H5590">
            <v>11.4</v>
          </cell>
          <cell r="I5590">
            <v>681.53000000000009</v>
          </cell>
          <cell r="J5590">
            <v>0</v>
          </cell>
          <cell r="K5590">
            <v>0</v>
          </cell>
          <cell r="M5590">
            <v>0</v>
          </cell>
          <cell r="P5590">
            <v>682</v>
          </cell>
          <cell r="V5590" t="str">
            <v>Available</v>
          </cell>
        </row>
        <row r="5591">
          <cell r="E5591">
            <v>10580010</v>
          </cell>
          <cell r="H5591">
            <v>12.399999999999999</v>
          </cell>
          <cell r="I5591">
            <v>433.17999999999995</v>
          </cell>
          <cell r="J5591">
            <v>0</v>
          </cell>
          <cell r="K5591">
            <v>0</v>
          </cell>
          <cell r="M5591">
            <v>0</v>
          </cell>
          <cell r="P5591">
            <v>433</v>
          </cell>
          <cell r="V5591" t="str">
            <v>Available</v>
          </cell>
        </row>
        <row r="5592">
          <cell r="E5592">
            <v>10580012</v>
          </cell>
          <cell r="H5592">
            <v>143.88</v>
          </cell>
          <cell r="I5592">
            <v>6206.44</v>
          </cell>
          <cell r="J5592">
            <v>0</v>
          </cell>
          <cell r="K5592">
            <v>0</v>
          </cell>
          <cell r="M5592">
            <v>0</v>
          </cell>
          <cell r="P5592">
            <v>5222</v>
          </cell>
          <cell r="V5592" t="str">
            <v>Available</v>
          </cell>
        </row>
        <row r="5593">
          <cell r="E5593">
            <v>10580012</v>
          </cell>
          <cell r="H5593">
            <v>19.189999999999998</v>
          </cell>
          <cell r="I5593">
            <v>725.55</v>
          </cell>
          <cell r="J5593">
            <v>0</v>
          </cell>
          <cell r="K5593">
            <v>0</v>
          </cell>
          <cell r="M5593">
            <v>0</v>
          </cell>
          <cell r="P5593">
            <v>726</v>
          </cell>
          <cell r="V5593" t="str">
            <v>Available</v>
          </cell>
        </row>
        <row r="5594">
          <cell r="E5594">
            <v>10580012</v>
          </cell>
          <cell r="H5594">
            <v>342.41</v>
          </cell>
          <cell r="I5594">
            <v>13888.889999999998</v>
          </cell>
          <cell r="J5594">
            <v>0</v>
          </cell>
          <cell r="K5594">
            <v>0</v>
          </cell>
          <cell r="M5594">
            <v>0</v>
          </cell>
          <cell r="P5594">
            <v>13889</v>
          </cell>
          <cell r="V5594" t="str">
            <v>Available</v>
          </cell>
        </row>
        <row r="5595">
          <cell r="E5595">
            <v>10580012</v>
          </cell>
          <cell r="H5595">
            <v>19.2</v>
          </cell>
          <cell r="I5595">
            <v>747.26</v>
          </cell>
          <cell r="J5595">
            <v>0</v>
          </cell>
          <cell r="K5595">
            <v>0</v>
          </cell>
          <cell r="M5595">
            <v>0</v>
          </cell>
          <cell r="P5595">
            <v>747</v>
          </cell>
          <cell r="V5595" t="str">
            <v>Available</v>
          </cell>
        </row>
        <row r="5596">
          <cell r="E5596">
            <v>10580015</v>
          </cell>
          <cell r="H5596">
            <v>59.080000000000005</v>
          </cell>
          <cell r="I5596">
            <v>2356.8500000000004</v>
          </cell>
          <cell r="J5596">
            <v>0</v>
          </cell>
          <cell r="K5596">
            <v>0</v>
          </cell>
          <cell r="M5596">
            <v>0</v>
          </cell>
          <cell r="P5596">
            <v>1895</v>
          </cell>
          <cell r="V5596" t="str">
            <v>Available</v>
          </cell>
        </row>
        <row r="5597">
          <cell r="E5597">
            <v>10580015</v>
          </cell>
          <cell r="H5597">
            <v>28.390000000000004</v>
          </cell>
          <cell r="I5597">
            <v>1184.8899999999999</v>
          </cell>
          <cell r="J5597">
            <v>0</v>
          </cell>
          <cell r="K5597">
            <v>0</v>
          </cell>
          <cell r="M5597">
            <v>0</v>
          </cell>
          <cell r="P5597">
            <v>1185</v>
          </cell>
          <cell r="V5597" t="str">
            <v>Available</v>
          </cell>
        </row>
        <row r="5598">
          <cell r="E5598">
            <v>10580015</v>
          </cell>
          <cell r="H5598">
            <v>114.67</v>
          </cell>
          <cell r="I5598">
            <v>4624.74</v>
          </cell>
          <cell r="J5598">
            <v>0</v>
          </cell>
          <cell r="K5598">
            <v>0</v>
          </cell>
          <cell r="M5598">
            <v>0</v>
          </cell>
          <cell r="P5598">
            <v>4625</v>
          </cell>
          <cell r="V5598" t="str">
            <v>Available</v>
          </cell>
        </row>
        <row r="5599">
          <cell r="E5599">
            <v>10580015</v>
          </cell>
          <cell r="H5599">
            <v>113.71</v>
          </cell>
          <cell r="I5599">
            <v>4568.1499999999996</v>
          </cell>
          <cell r="J5599">
            <v>0</v>
          </cell>
          <cell r="K5599">
            <v>0</v>
          </cell>
          <cell r="M5599">
            <v>0</v>
          </cell>
          <cell r="P5599">
            <v>4568</v>
          </cell>
          <cell r="V5599" t="str">
            <v>Available</v>
          </cell>
        </row>
        <row r="5600">
          <cell r="E5600">
            <v>10580015</v>
          </cell>
          <cell r="H5600">
            <v>39.100000000000009</v>
          </cell>
          <cell r="I5600">
            <v>1575.2299999999998</v>
          </cell>
          <cell r="J5600">
            <v>0</v>
          </cell>
          <cell r="K5600">
            <v>0</v>
          </cell>
          <cell r="M5600">
            <v>0</v>
          </cell>
          <cell r="P5600">
            <v>1575</v>
          </cell>
          <cell r="V5600" t="str">
            <v>Available</v>
          </cell>
        </row>
        <row r="5601">
          <cell r="E5601">
            <v>10580015</v>
          </cell>
          <cell r="H5601">
            <v>12.77</v>
          </cell>
          <cell r="I5601">
            <v>480.06000000000006</v>
          </cell>
          <cell r="J5601">
            <v>0</v>
          </cell>
          <cell r="K5601">
            <v>0</v>
          </cell>
          <cell r="M5601">
            <v>0</v>
          </cell>
          <cell r="P5601">
            <v>480</v>
          </cell>
          <cell r="V5601" t="str">
            <v>Available</v>
          </cell>
        </row>
        <row r="5602">
          <cell r="E5602">
            <v>10580017</v>
          </cell>
          <cell r="H5602">
            <v>5</v>
          </cell>
          <cell r="I5602">
            <v>196</v>
          </cell>
          <cell r="J5602">
            <v>0</v>
          </cell>
          <cell r="K5602">
            <v>196</v>
          </cell>
          <cell r="M5602">
            <v>0</v>
          </cell>
          <cell r="P5602">
            <v>0</v>
          </cell>
          <cell r="V5602" t="str">
            <v>Not Available</v>
          </cell>
        </row>
        <row r="5603">
          <cell r="E5603">
            <v>10580017</v>
          </cell>
          <cell r="H5603">
            <v>258.3</v>
          </cell>
          <cell r="I5603">
            <v>10930.78</v>
          </cell>
          <cell r="J5603">
            <v>0</v>
          </cell>
          <cell r="K5603">
            <v>0</v>
          </cell>
          <cell r="M5603">
            <v>0</v>
          </cell>
          <cell r="P5603">
            <v>10931</v>
          </cell>
          <cell r="V5603" t="str">
            <v>Available</v>
          </cell>
        </row>
        <row r="5604">
          <cell r="E5604">
            <v>10580017</v>
          </cell>
          <cell r="H5604">
            <v>477.4</v>
          </cell>
          <cell r="I5604">
            <v>21311.22</v>
          </cell>
          <cell r="J5604">
            <v>0</v>
          </cell>
          <cell r="K5604">
            <v>0</v>
          </cell>
          <cell r="M5604">
            <v>0</v>
          </cell>
          <cell r="P5604">
            <v>21311</v>
          </cell>
          <cell r="V5604" t="str">
            <v>Available</v>
          </cell>
        </row>
        <row r="5605">
          <cell r="E5605">
            <v>10580017</v>
          </cell>
          <cell r="H5605">
            <v>20</v>
          </cell>
          <cell r="I5605">
            <v>778.4</v>
          </cell>
          <cell r="J5605">
            <v>0</v>
          </cell>
          <cell r="K5605">
            <v>0</v>
          </cell>
          <cell r="M5605">
            <v>0</v>
          </cell>
          <cell r="P5605">
            <v>778</v>
          </cell>
          <cell r="V5605" t="str">
            <v>Available</v>
          </cell>
        </row>
        <row r="5606">
          <cell r="E5606">
            <v>10580017</v>
          </cell>
          <cell r="H5606">
            <v>127</v>
          </cell>
          <cell r="I5606">
            <v>5221.6399999999994</v>
          </cell>
          <cell r="J5606">
            <v>0</v>
          </cell>
          <cell r="K5606">
            <v>0</v>
          </cell>
          <cell r="M5606">
            <v>0</v>
          </cell>
          <cell r="P5606">
            <v>5222</v>
          </cell>
          <cell r="V5606" t="str">
            <v>Not Available</v>
          </cell>
        </row>
        <row r="5607">
          <cell r="E5607">
            <v>10580017</v>
          </cell>
          <cell r="H5607">
            <v>63.2</v>
          </cell>
          <cell r="I5607">
            <v>2423.58</v>
          </cell>
          <cell r="J5607">
            <v>0</v>
          </cell>
          <cell r="K5607">
            <v>0</v>
          </cell>
          <cell r="M5607">
            <v>0</v>
          </cell>
          <cell r="P5607">
            <v>2424</v>
          </cell>
          <cell r="V5607" t="str">
            <v>Not Available</v>
          </cell>
        </row>
        <row r="5608">
          <cell r="E5608">
            <v>10580017</v>
          </cell>
          <cell r="H5608">
            <v>27.099999999999998</v>
          </cell>
          <cell r="I5608">
            <v>1055.42</v>
          </cell>
          <cell r="J5608">
            <v>0</v>
          </cell>
          <cell r="K5608">
            <v>0</v>
          </cell>
          <cell r="M5608">
            <v>0</v>
          </cell>
          <cell r="P5608">
            <v>1055</v>
          </cell>
          <cell r="V5608" t="str">
            <v>Not Available</v>
          </cell>
        </row>
        <row r="5609">
          <cell r="E5609">
            <v>10580018</v>
          </cell>
          <cell r="H5609">
            <v>2.4800000000000004</v>
          </cell>
          <cell r="I5609">
            <v>101.42</v>
          </cell>
          <cell r="J5609">
            <v>0</v>
          </cell>
          <cell r="K5609">
            <v>101.42</v>
          </cell>
          <cell r="M5609">
            <v>0</v>
          </cell>
          <cell r="P5609">
            <v>0</v>
          </cell>
          <cell r="V5609" t="str">
            <v>Not Available</v>
          </cell>
        </row>
        <row r="5610">
          <cell r="E5610">
            <v>10580018</v>
          </cell>
          <cell r="H5610">
            <v>11.6</v>
          </cell>
          <cell r="I5610">
            <v>520.84</v>
          </cell>
          <cell r="J5610">
            <v>0</v>
          </cell>
          <cell r="K5610">
            <v>0</v>
          </cell>
          <cell r="M5610">
            <v>0</v>
          </cell>
          <cell r="P5610">
            <v>21</v>
          </cell>
          <cell r="V5610" t="str">
            <v>Available</v>
          </cell>
        </row>
        <row r="5611">
          <cell r="E5611">
            <v>10580018</v>
          </cell>
          <cell r="H5611">
            <v>4.1000000000000005</v>
          </cell>
          <cell r="I5611">
            <v>187.22</v>
          </cell>
          <cell r="J5611">
            <v>0</v>
          </cell>
          <cell r="K5611">
            <v>0</v>
          </cell>
          <cell r="M5611">
            <v>0</v>
          </cell>
          <cell r="P5611">
            <v>187</v>
          </cell>
          <cell r="V5611" t="str">
            <v>Available</v>
          </cell>
        </row>
        <row r="5612">
          <cell r="E5612">
            <v>10580018</v>
          </cell>
          <cell r="H5612">
            <v>0.06</v>
          </cell>
          <cell r="I5612">
            <v>2.48</v>
          </cell>
          <cell r="J5612">
            <v>0</v>
          </cell>
          <cell r="K5612">
            <v>0</v>
          </cell>
          <cell r="M5612">
            <v>0</v>
          </cell>
          <cell r="P5612">
            <v>2</v>
          </cell>
          <cell r="V5612" t="str">
            <v>Available</v>
          </cell>
        </row>
        <row r="5613">
          <cell r="E5613">
            <v>10580018</v>
          </cell>
          <cell r="H5613">
            <v>12</v>
          </cell>
          <cell r="I5613">
            <v>498.96000000000004</v>
          </cell>
          <cell r="J5613">
            <v>0</v>
          </cell>
          <cell r="K5613">
            <v>0</v>
          </cell>
          <cell r="M5613">
            <v>0</v>
          </cell>
          <cell r="P5613">
            <v>499</v>
          </cell>
          <cell r="V5613" t="str">
            <v>Available</v>
          </cell>
        </row>
        <row r="5614">
          <cell r="E5614">
            <v>10580018</v>
          </cell>
          <cell r="H5614">
            <v>39.650000000000006</v>
          </cell>
          <cell r="I5614">
            <v>1852.2200000000003</v>
          </cell>
          <cell r="J5614">
            <v>0</v>
          </cell>
          <cell r="K5614">
            <v>0</v>
          </cell>
          <cell r="M5614">
            <v>0</v>
          </cell>
          <cell r="P5614">
            <v>1852</v>
          </cell>
          <cell r="V5614" t="str">
            <v>Available</v>
          </cell>
        </row>
        <row r="5615">
          <cell r="E5615">
            <v>10580018</v>
          </cell>
          <cell r="H5615">
            <v>5</v>
          </cell>
          <cell r="I5615">
            <v>240.87</v>
          </cell>
          <cell r="J5615">
            <v>0</v>
          </cell>
          <cell r="K5615">
            <v>0</v>
          </cell>
          <cell r="M5615">
            <v>0</v>
          </cell>
          <cell r="P5615">
            <v>241</v>
          </cell>
          <cell r="V5615" t="str">
            <v>Available</v>
          </cell>
        </row>
        <row r="5616">
          <cell r="E5616">
            <v>10580018</v>
          </cell>
          <cell r="H5616">
            <v>35.580000000000005</v>
          </cell>
          <cell r="I5616">
            <v>1290.4399999999998</v>
          </cell>
          <cell r="J5616">
            <v>0</v>
          </cell>
          <cell r="K5616">
            <v>0</v>
          </cell>
          <cell r="M5616">
            <v>0</v>
          </cell>
          <cell r="P5616">
            <v>1290</v>
          </cell>
          <cell r="V5616" t="str">
            <v>Available</v>
          </cell>
        </row>
        <row r="5617">
          <cell r="E5617">
            <v>10580018</v>
          </cell>
          <cell r="H5617">
            <v>3.3899999999999997</v>
          </cell>
          <cell r="I5617">
            <v>141.30000000000001</v>
          </cell>
          <cell r="J5617">
            <v>0</v>
          </cell>
          <cell r="K5617">
            <v>0</v>
          </cell>
          <cell r="M5617">
            <v>0</v>
          </cell>
          <cell r="P5617">
            <v>141</v>
          </cell>
          <cell r="V5617" t="str">
            <v>Available</v>
          </cell>
        </row>
        <row r="5618">
          <cell r="E5618">
            <v>10580018</v>
          </cell>
          <cell r="H5618">
            <v>21.3</v>
          </cell>
          <cell r="I5618">
            <v>943.63999999999987</v>
          </cell>
          <cell r="J5618">
            <v>0</v>
          </cell>
          <cell r="K5618">
            <v>0</v>
          </cell>
          <cell r="M5618">
            <v>0</v>
          </cell>
          <cell r="P5618">
            <v>944</v>
          </cell>
          <cell r="V5618" t="str">
            <v>Available</v>
          </cell>
        </row>
        <row r="5619">
          <cell r="E5619">
            <v>10580018</v>
          </cell>
          <cell r="H5619">
            <v>23.3</v>
          </cell>
          <cell r="I5619">
            <v>980.55999999999983</v>
          </cell>
          <cell r="J5619">
            <v>0</v>
          </cell>
          <cell r="K5619">
            <v>0</v>
          </cell>
          <cell r="M5619">
            <v>0</v>
          </cell>
          <cell r="P5619">
            <v>981</v>
          </cell>
          <cell r="V5619" t="str">
            <v>Available</v>
          </cell>
        </row>
        <row r="5620">
          <cell r="E5620">
            <v>10580018</v>
          </cell>
          <cell r="H5620">
            <v>18.439999999999998</v>
          </cell>
          <cell r="I5620">
            <v>704.79</v>
          </cell>
          <cell r="J5620">
            <v>0</v>
          </cell>
          <cell r="K5620">
            <v>0</v>
          </cell>
          <cell r="M5620">
            <v>0</v>
          </cell>
          <cell r="P5620">
            <v>705</v>
          </cell>
          <cell r="V5620" t="str">
            <v>Available</v>
          </cell>
        </row>
        <row r="5621">
          <cell r="E5621">
            <v>10580018</v>
          </cell>
          <cell r="H5621">
            <v>42.269999999999989</v>
          </cell>
          <cell r="I5621">
            <v>1574.8300000000002</v>
          </cell>
          <cell r="J5621">
            <v>0</v>
          </cell>
          <cell r="K5621">
            <v>0</v>
          </cell>
          <cell r="M5621">
            <v>0</v>
          </cell>
          <cell r="P5621">
            <v>1575</v>
          </cell>
          <cell r="V5621" t="str">
            <v>Available</v>
          </cell>
        </row>
        <row r="5622">
          <cell r="E5622">
            <v>10580018</v>
          </cell>
          <cell r="H5622">
            <v>3.64</v>
          </cell>
          <cell r="I5622">
            <v>146.41999999999999</v>
          </cell>
          <cell r="J5622">
            <v>0</v>
          </cell>
          <cell r="K5622">
            <v>0</v>
          </cell>
          <cell r="M5622">
            <v>0</v>
          </cell>
          <cell r="P5622">
            <v>146</v>
          </cell>
          <cell r="V5622" t="str">
            <v>Available</v>
          </cell>
        </row>
        <row r="5623">
          <cell r="E5623">
            <v>10580018</v>
          </cell>
          <cell r="H5623">
            <v>34.07</v>
          </cell>
          <cell r="I5623">
            <v>1582.7100000000003</v>
          </cell>
          <cell r="J5623">
            <v>0</v>
          </cell>
          <cell r="K5623">
            <v>0</v>
          </cell>
          <cell r="M5623">
            <v>0</v>
          </cell>
          <cell r="P5623">
            <v>1583</v>
          </cell>
          <cell r="V5623" t="str">
            <v>Available</v>
          </cell>
        </row>
        <row r="5624">
          <cell r="E5624">
            <v>10580018</v>
          </cell>
          <cell r="H5624">
            <v>60.720000000000013</v>
          </cell>
          <cell r="I5624">
            <v>2378.5099999999998</v>
          </cell>
          <cell r="J5624">
            <v>0</v>
          </cell>
          <cell r="K5624">
            <v>0</v>
          </cell>
          <cell r="M5624">
            <v>0</v>
          </cell>
          <cell r="P5624">
            <v>2379</v>
          </cell>
          <cell r="V5624" t="str">
            <v>Available</v>
          </cell>
        </row>
        <row r="5625">
          <cell r="E5625">
            <v>10580018</v>
          </cell>
          <cell r="H5625">
            <v>2.2000000000000002</v>
          </cell>
          <cell r="I5625">
            <v>98.38</v>
          </cell>
          <cell r="J5625">
            <v>0</v>
          </cell>
          <cell r="K5625">
            <v>0</v>
          </cell>
          <cell r="M5625">
            <v>0</v>
          </cell>
          <cell r="P5625">
            <v>98</v>
          </cell>
          <cell r="V5625" t="str">
            <v>Available</v>
          </cell>
        </row>
        <row r="5626">
          <cell r="E5626">
            <v>10580022</v>
          </cell>
          <cell r="H5626">
            <v>5</v>
          </cell>
          <cell r="I5626">
            <v>197.4</v>
          </cell>
          <cell r="J5626">
            <v>0</v>
          </cell>
          <cell r="K5626">
            <v>197.4</v>
          </cell>
          <cell r="M5626">
            <v>0</v>
          </cell>
          <cell r="P5626">
            <v>0</v>
          </cell>
          <cell r="V5626" t="str">
            <v>Not Available</v>
          </cell>
        </row>
        <row r="5627">
          <cell r="E5627">
            <v>10580022</v>
          </cell>
          <cell r="H5627">
            <v>113.4</v>
          </cell>
          <cell r="I5627">
            <v>4606.6500000000005</v>
          </cell>
          <cell r="J5627">
            <v>0</v>
          </cell>
          <cell r="K5627">
            <v>0</v>
          </cell>
          <cell r="M5627">
            <v>0</v>
          </cell>
          <cell r="P5627">
            <v>1225</v>
          </cell>
          <cell r="V5627" t="str">
            <v>Available</v>
          </cell>
        </row>
        <row r="5628">
          <cell r="E5628">
            <v>10580022</v>
          </cell>
          <cell r="H5628">
            <v>384.8</v>
          </cell>
          <cell r="I5628">
            <v>16684.120000000003</v>
          </cell>
          <cell r="J5628">
            <v>0</v>
          </cell>
          <cell r="K5628">
            <v>0</v>
          </cell>
          <cell r="M5628">
            <v>0</v>
          </cell>
          <cell r="P5628">
            <v>16684</v>
          </cell>
          <cell r="V5628" t="str">
            <v>Available</v>
          </cell>
        </row>
        <row r="5629">
          <cell r="E5629">
            <v>10580022</v>
          </cell>
          <cell r="H5629">
            <v>11.899999999999999</v>
          </cell>
          <cell r="I5629">
            <v>727.68000000000006</v>
          </cell>
          <cell r="J5629">
            <v>0</v>
          </cell>
          <cell r="K5629">
            <v>0</v>
          </cell>
          <cell r="M5629">
            <v>0</v>
          </cell>
          <cell r="P5629">
            <v>728</v>
          </cell>
          <cell r="V5629" t="str">
            <v>Available</v>
          </cell>
        </row>
        <row r="5630">
          <cell r="E5630">
            <v>10580024</v>
          </cell>
          <cell r="H5630">
            <v>152.79999999999998</v>
          </cell>
          <cell r="I5630">
            <v>6378.2500000000018</v>
          </cell>
          <cell r="J5630">
            <v>0</v>
          </cell>
          <cell r="K5630">
            <v>0</v>
          </cell>
          <cell r="M5630">
            <v>0</v>
          </cell>
          <cell r="P5630">
            <v>6378</v>
          </cell>
          <cell r="V5630" t="str">
            <v>Available</v>
          </cell>
        </row>
        <row r="5631">
          <cell r="E5631">
            <v>10580024</v>
          </cell>
          <cell r="H5631">
            <v>325.60000000000002</v>
          </cell>
          <cell r="I5631">
            <v>13622.370000000004</v>
          </cell>
          <cell r="J5631">
            <v>0</v>
          </cell>
          <cell r="K5631">
            <v>0</v>
          </cell>
          <cell r="M5631">
            <v>0</v>
          </cell>
          <cell r="P5631">
            <v>13622</v>
          </cell>
          <cell r="V5631" t="str">
            <v>Available</v>
          </cell>
        </row>
        <row r="5632">
          <cell r="E5632">
            <v>10580025</v>
          </cell>
          <cell r="H5632">
            <v>594.64999999999952</v>
          </cell>
          <cell r="I5632">
            <v>28052.000000000011</v>
          </cell>
          <cell r="J5632">
            <v>0</v>
          </cell>
          <cell r="K5632">
            <v>0</v>
          </cell>
          <cell r="M5632">
            <v>0</v>
          </cell>
          <cell r="P5632">
            <v>26096</v>
          </cell>
          <cell r="V5632" t="str">
            <v>Available</v>
          </cell>
        </row>
        <row r="5633">
          <cell r="E5633">
            <v>10580025</v>
          </cell>
          <cell r="H5633">
            <v>58.21</v>
          </cell>
          <cell r="I5633">
            <v>2563.94</v>
          </cell>
          <cell r="J5633">
            <v>0</v>
          </cell>
          <cell r="K5633">
            <v>0</v>
          </cell>
          <cell r="M5633">
            <v>0</v>
          </cell>
          <cell r="P5633">
            <v>2564</v>
          </cell>
          <cell r="V5633" t="str">
            <v>Available</v>
          </cell>
        </row>
        <row r="5634">
          <cell r="E5634">
            <v>10580025</v>
          </cell>
          <cell r="H5634">
            <v>31.35</v>
          </cell>
          <cell r="I5634">
            <v>1525.2899999999997</v>
          </cell>
          <cell r="J5634">
            <v>0</v>
          </cell>
          <cell r="K5634">
            <v>0</v>
          </cell>
          <cell r="M5634">
            <v>0</v>
          </cell>
          <cell r="P5634">
            <v>1525</v>
          </cell>
          <cell r="V5634" t="str">
            <v>Available</v>
          </cell>
        </row>
        <row r="5635">
          <cell r="E5635">
            <v>10580025</v>
          </cell>
          <cell r="H5635">
            <v>29.439999999999998</v>
          </cell>
          <cell r="I5635">
            <v>1539.58</v>
          </cell>
          <cell r="J5635">
            <v>0</v>
          </cell>
          <cell r="K5635">
            <v>0</v>
          </cell>
          <cell r="M5635">
            <v>0</v>
          </cell>
          <cell r="P5635">
            <v>1540</v>
          </cell>
          <cell r="V5635" t="str">
            <v>Available</v>
          </cell>
        </row>
        <row r="5636">
          <cell r="E5636">
            <v>10580025</v>
          </cell>
          <cell r="H5636">
            <v>68.149999999999991</v>
          </cell>
          <cell r="I5636">
            <v>2775.57</v>
          </cell>
          <cell r="J5636">
            <v>0</v>
          </cell>
          <cell r="K5636">
            <v>0</v>
          </cell>
          <cell r="M5636">
            <v>0</v>
          </cell>
          <cell r="P5636">
            <v>2776</v>
          </cell>
          <cell r="V5636" t="str">
            <v>Available</v>
          </cell>
        </row>
        <row r="5637">
          <cell r="E5637">
            <v>10580025</v>
          </cell>
          <cell r="H5637">
            <v>28.71</v>
          </cell>
          <cell r="I5637">
            <v>1361.7</v>
          </cell>
          <cell r="J5637">
            <v>0</v>
          </cell>
          <cell r="K5637">
            <v>0</v>
          </cell>
          <cell r="M5637">
            <v>0</v>
          </cell>
          <cell r="P5637">
            <v>1362</v>
          </cell>
          <cell r="V5637" t="str">
            <v>Available</v>
          </cell>
        </row>
        <row r="5638">
          <cell r="E5638">
            <v>10580025</v>
          </cell>
          <cell r="H5638">
            <v>9.51</v>
          </cell>
          <cell r="I5638">
            <v>360.35</v>
          </cell>
          <cell r="J5638">
            <v>0</v>
          </cell>
          <cell r="K5638">
            <v>0</v>
          </cell>
          <cell r="M5638">
            <v>0</v>
          </cell>
          <cell r="P5638">
            <v>360</v>
          </cell>
          <cell r="V5638" t="str">
            <v>Available</v>
          </cell>
        </row>
        <row r="5639">
          <cell r="E5639">
            <v>10580025</v>
          </cell>
          <cell r="H5639">
            <v>38.769999999999996</v>
          </cell>
          <cell r="I5639">
            <v>1478.9600000000003</v>
          </cell>
          <cell r="J5639">
            <v>0</v>
          </cell>
          <cell r="K5639">
            <v>0</v>
          </cell>
          <cell r="M5639">
            <v>0</v>
          </cell>
          <cell r="P5639">
            <v>1479</v>
          </cell>
          <cell r="V5639" t="str">
            <v>Available</v>
          </cell>
        </row>
        <row r="5640">
          <cell r="E5640">
            <v>10580025</v>
          </cell>
          <cell r="H5640">
            <v>20.110000000000003</v>
          </cell>
          <cell r="I5640">
            <v>824.79</v>
          </cell>
          <cell r="J5640">
            <v>0</v>
          </cell>
          <cell r="K5640">
            <v>0</v>
          </cell>
          <cell r="M5640">
            <v>0</v>
          </cell>
          <cell r="P5640">
            <v>825</v>
          </cell>
          <cell r="V5640" t="str">
            <v>Available</v>
          </cell>
        </row>
        <row r="5641">
          <cell r="E5641">
            <v>10580025</v>
          </cell>
          <cell r="H5641">
            <v>15.030000000000001</v>
          </cell>
          <cell r="I5641">
            <v>590.68999999999994</v>
          </cell>
          <cell r="J5641">
            <v>0</v>
          </cell>
          <cell r="K5641">
            <v>0</v>
          </cell>
          <cell r="M5641">
            <v>0</v>
          </cell>
          <cell r="P5641">
            <v>591</v>
          </cell>
          <cell r="V5641" t="str">
            <v>Available</v>
          </cell>
        </row>
        <row r="5642">
          <cell r="E5642">
            <v>10580026</v>
          </cell>
          <cell r="H5642">
            <v>72.400000000000006</v>
          </cell>
          <cell r="I5642">
            <v>3025.1300000000006</v>
          </cell>
          <cell r="J5642">
            <v>0</v>
          </cell>
          <cell r="K5642">
            <v>0</v>
          </cell>
          <cell r="M5642">
            <v>0</v>
          </cell>
          <cell r="P5642">
            <v>2822</v>
          </cell>
          <cell r="V5642" t="str">
            <v>Available</v>
          </cell>
        </row>
        <row r="5643">
          <cell r="E5643">
            <v>10580027</v>
          </cell>
          <cell r="H5643">
            <v>101.19000000000001</v>
          </cell>
          <cell r="I5643">
            <v>4186.7599999999993</v>
          </cell>
          <cell r="J5643">
            <v>0</v>
          </cell>
          <cell r="K5643">
            <v>0</v>
          </cell>
          <cell r="M5643">
            <v>0</v>
          </cell>
          <cell r="P5643">
            <v>4125</v>
          </cell>
          <cell r="V5643" t="str">
            <v>Available</v>
          </cell>
        </row>
        <row r="5644">
          <cell r="E5644">
            <v>10580028</v>
          </cell>
          <cell r="H5644">
            <v>177.4</v>
          </cell>
          <cell r="I5644">
            <v>7397.58</v>
          </cell>
          <cell r="J5644">
            <v>0</v>
          </cell>
          <cell r="K5644">
            <v>0</v>
          </cell>
          <cell r="M5644">
            <v>0</v>
          </cell>
          <cell r="P5644">
            <v>7398</v>
          </cell>
          <cell r="V5644" t="str">
            <v>Available</v>
          </cell>
        </row>
        <row r="5645">
          <cell r="E5645">
            <v>10580028</v>
          </cell>
          <cell r="H5645">
            <v>177.4</v>
          </cell>
          <cell r="I5645">
            <v>7397.58</v>
          </cell>
          <cell r="J5645">
            <v>0</v>
          </cell>
          <cell r="K5645">
            <v>0</v>
          </cell>
          <cell r="M5645">
            <v>0</v>
          </cell>
          <cell r="P5645">
            <v>7398</v>
          </cell>
          <cell r="V5645" t="str">
            <v>Available</v>
          </cell>
        </row>
        <row r="5646">
          <cell r="E5646">
            <v>10580029</v>
          </cell>
          <cell r="H5646">
            <v>14.3</v>
          </cell>
          <cell r="I5646">
            <v>680.82999999999993</v>
          </cell>
          <cell r="J5646">
            <v>0</v>
          </cell>
          <cell r="K5646">
            <v>0</v>
          </cell>
          <cell r="M5646">
            <v>0</v>
          </cell>
          <cell r="P5646">
            <v>0</v>
          </cell>
          <cell r="V5646" t="str">
            <v>Available</v>
          </cell>
        </row>
        <row r="5647">
          <cell r="E5647">
            <v>10580029</v>
          </cell>
          <cell r="H5647">
            <v>61.200000000000017</v>
          </cell>
          <cell r="I5647">
            <v>3180.48</v>
          </cell>
          <cell r="J5647">
            <v>0</v>
          </cell>
          <cell r="K5647">
            <v>0</v>
          </cell>
          <cell r="M5647">
            <v>0</v>
          </cell>
          <cell r="P5647">
            <v>0</v>
          </cell>
          <cell r="V5647" t="str">
            <v>Available</v>
          </cell>
        </row>
        <row r="5648">
          <cell r="E5648">
            <v>10580029</v>
          </cell>
          <cell r="H5648">
            <v>9.9</v>
          </cell>
          <cell r="I5648">
            <v>407.78000000000003</v>
          </cell>
          <cell r="J5648">
            <v>0</v>
          </cell>
          <cell r="K5648">
            <v>0</v>
          </cell>
          <cell r="M5648">
            <v>0</v>
          </cell>
          <cell r="P5648">
            <v>0</v>
          </cell>
          <cell r="V5648" t="str">
            <v>Available</v>
          </cell>
        </row>
        <row r="5649">
          <cell r="E5649">
            <v>10580029</v>
          </cell>
          <cell r="H5649">
            <v>6.6000000000000005</v>
          </cell>
          <cell r="I5649">
            <v>277.42</v>
          </cell>
          <cell r="J5649">
            <v>0</v>
          </cell>
          <cell r="K5649">
            <v>0</v>
          </cell>
          <cell r="M5649">
            <v>0</v>
          </cell>
          <cell r="P5649">
            <v>0</v>
          </cell>
          <cell r="V5649" t="str">
            <v>Available</v>
          </cell>
        </row>
        <row r="5650">
          <cell r="E5650">
            <v>10580029</v>
          </cell>
          <cell r="H5650">
            <v>11.3</v>
          </cell>
          <cell r="I5650">
            <v>471.13</v>
          </cell>
          <cell r="J5650">
            <v>0</v>
          </cell>
          <cell r="K5650">
            <v>0</v>
          </cell>
          <cell r="M5650">
            <v>0</v>
          </cell>
          <cell r="P5650">
            <v>0</v>
          </cell>
          <cell r="V5650" t="str">
            <v>Available</v>
          </cell>
        </row>
        <row r="5651">
          <cell r="E5651">
            <v>10580029</v>
          </cell>
          <cell r="H5651">
            <v>22.3</v>
          </cell>
          <cell r="I5651">
            <v>804.57999999999993</v>
          </cell>
          <cell r="J5651">
            <v>0</v>
          </cell>
          <cell r="K5651">
            <v>0</v>
          </cell>
          <cell r="M5651">
            <v>0</v>
          </cell>
          <cell r="P5651">
            <v>0</v>
          </cell>
          <cell r="V5651" t="str">
            <v>Available</v>
          </cell>
        </row>
        <row r="5652">
          <cell r="E5652">
            <v>10580029</v>
          </cell>
          <cell r="H5652">
            <v>26.8</v>
          </cell>
          <cell r="I5652">
            <v>1119.98</v>
          </cell>
          <cell r="J5652">
            <v>0</v>
          </cell>
          <cell r="K5652">
            <v>0</v>
          </cell>
          <cell r="M5652">
            <v>0</v>
          </cell>
          <cell r="P5652">
            <v>0</v>
          </cell>
          <cell r="V5652" t="str">
            <v>Available</v>
          </cell>
        </row>
        <row r="5653">
          <cell r="E5653">
            <v>10580029</v>
          </cell>
          <cell r="H5653">
            <v>14.3</v>
          </cell>
          <cell r="I5653">
            <v>1206.52</v>
          </cell>
          <cell r="J5653">
            <v>0</v>
          </cell>
          <cell r="K5653">
            <v>0</v>
          </cell>
          <cell r="M5653">
            <v>0</v>
          </cell>
          <cell r="P5653">
            <v>0</v>
          </cell>
          <cell r="V5653" t="str">
            <v>Available</v>
          </cell>
        </row>
        <row r="5654">
          <cell r="E5654">
            <v>10580029</v>
          </cell>
          <cell r="H5654">
            <v>7.2</v>
          </cell>
          <cell r="I5654">
            <v>281.97000000000003</v>
          </cell>
          <cell r="J5654">
            <v>0</v>
          </cell>
          <cell r="K5654">
            <v>0</v>
          </cell>
          <cell r="M5654">
            <v>0</v>
          </cell>
          <cell r="P5654">
            <v>0</v>
          </cell>
          <cell r="V5654" t="str">
            <v>Available</v>
          </cell>
        </row>
        <row r="5655">
          <cell r="E5655">
            <v>10580029</v>
          </cell>
          <cell r="H5655">
            <v>37</v>
          </cell>
          <cell r="I5655">
            <v>1570.5499999999997</v>
          </cell>
          <cell r="J5655">
            <v>0</v>
          </cell>
          <cell r="K5655">
            <v>0</v>
          </cell>
          <cell r="M5655">
            <v>0</v>
          </cell>
          <cell r="P5655">
            <v>0</v>
          </cell>
          <cell r="V5655" t="str">
            <v>Available</v>
          </cell>
        </row>
        <row r="5656">
          <cell r="E5656">
            <v>10580036</v>
          </cell>
          <cell r="H5656">
            <v>243.10000000000002</v>
          </cell>
          <cell r="I5656">
            <v>10717.170000000002</v>
          </cell>
          <cell r="J5656">
            <v>0</v>
          </cell>
          <cell r="K5656">
            <v>0</v>
          </cell>
          <cell r="M5656">
            <v>0</v>
          </cell>
          <cell r="P5656">
            <v>10717</v>
          </cell>
          <cell r="V5656" t="str">
            <v>Available</v>
          </cell>
        </row>
        <row r="5657">
          <cell r="E5657">
            <v>10590001</v>
          </cell>
          <cell r="H5657">
            <v>631.54999999999995</v>
          </cell>
          <cell r="I5657">
            <v>29793.83</v>
          </cell>
          <cell r="J5657">
            <v>0</v>
          </cell>
          <cell r="K5657">
            <v>0</v>
          </cell>
          <cell r="M5657">
            <v>4050</v>
          </cell>
          <cell r="P5657">
            <v>21700</v>
          </cell>
          <cell r="V5657" t="str">
            <v>Available</v>
          </cell>
        </row>
        <row r="5658">
          <cell r="E5658">
            <v>10590001</v>
          </cell>
          <cell r="H5658">
            <v>16.670000000000002</v>
          </cell>
          <cell r="I5658">
            <v>1384.5</v>
          </cell>
          <cell r="J5658">
            <v>0</v>
          </cell>
          <cell r="K5658">
            <v>0</v>
          </cell>
          <cell r="M5658">
            <v>0</v>
          </cell>
          <cell r="P5658">
            <v>1385</v>
          </cell>
          <cell r="V5658" t="str">
            <v>Available</v>
          </cell>
        </row>
        <row r="5659">
          <cell r="E5659">
            <v>10590002</v>
          </cell>
          <cell r="H5659">
            <v>54.900000000000006</v>
          </cell>
          <cell r="I5659">
            <v>3411.3</v>
          </cell>
          <cell r="J5659">
            <v>0</v>
          </cell>
          <cell r="K5659">
            <v>0</v>
          </cell>
          <cell r="M5659">
            <v>0</v>
          </cell>
          <cell r="P5659">
            <v>2911</v>
          </cell>
          <cell r="V5659" t="str">
            <v>Available</v>
          </cell>
        </row>
        <row r="5660">
          <cell r="E5660">
            <v>10590004</v>
          </cell>
          <cell r="H5660">
            <v>8</v>
          </cell>
          <cell r="I5660">
            <v>311.36</v>
          </cell>
          <cell r="J5660">
            <v>0</v>
          </cell>
          <cell r="K5660">
            <v>0</v>
          </cell>
          <cell r="M5660">
            <v>0</v>
          </cell>
          <cell r="P5660">
            <v>311</v>
          </cell>
          <cell r="V5660" t="str">
            <v>Available</v>
          </cell>
        </row>
        <row r="5661">
          <cell r="E5661">
            <v>10590004</v>
          </cell>
          <cell r="H5661">
            <v>933.39999999999986</v>
          </cell>
          <cell r="I5661">
            <v>35700.879999999997</v>
          </cell>
          <cell r="J5661">
            <v>0</v>
          </cell>
          <cell r="K5661">
            <v>0</v>
          </cell>
          <cell r="M5661">
            <v>6750</v>
          </cell>
          <cell r="P5661">
            <v>28951</v>
          </cell>
          <cell r="V5661" t="str">
            <v>Available</v>
          </cell>
        </row>
        <row r="5662">
          <cell r="E5662">
            <v>10590006</v>
          </cell>
          <cell r="H5662">
            <v>626.6</v>
          </cell>
          <cell r="I5662">
            <v>29499.900000000005</v>
          </cell>
          <cell r="J5662">
            <v>0</v>
          </cell>
          <cell r="K5662">
            <v>0</v>
          </cell>
          <cell r="M5662">
            <v>0</v>
          </cell>
          <cell r="P5662">
            <v>29500</v>
          </cell>
          <cell r="V5662" t="str">
            <v>Available</v>
          </cell>
        </row>
        <row r="5663">
          <cell r="E5663">
            <v>10590006</v>
          </cell>
          <cell r="H5663">
            <v>14</v>
          </cell>
          <cell r="I5663">
            <v>561.19000000000005</v>
          </cell>
          <cell r="J5663">
            <v>0</v>
          </cell>
          <cell r="K5663">
            <v>0</v>
          </cell>
          <cell r="M5663">
            <v>0</v>
          </cell>
          <cell r="P5663">
            <v>561</v>
          </cell>
          <cell r="V5663" t="str">
            <v>Available</v>
          </cell>
        </row>
        <row r="5664">
          <cell r="E5664">
            <v>10590006</v>
          </cell>
          <cell r="H5664">
            <v>23.3</v>
          </cell>
          <cell r="I5664">
            <v>976.87</v>
          </cell>
          <cell r="J5664">
            <v>0</v>
          </cell>
          <cell r="K5664">
            <v>0</v>
          </cell>
          <cell r="M5664">
            <v>0</v>
          </cell>
          <cell r="P5664">
            <v>977</v>
          </cell>
          <cell r="V5664" t="str">
            <v>Available</v>
          </cell>
        </row>
        <row r="5665">
          <cell r="E5665">
            <v>10590006</v>
          </cell>
          <cell r="H5665">
            <v>152.20000000000002</v>
          </cell>
          <cell r="I5665">
            <v>6297.6399999999994</v>
          </cell>
          <cell r="J5665">
            <v>0</v>
          </cell>
          <cell r="K5665">
            <v>0</v>
          </cell>
          <cell r="M5665">
            <v>0</v>
          </cell>
          <cell r="P5665">
            <v>6298</v>
          </cell>
          <cell r="V5665" t="str">
            <v>Available</v>
          </cell>
        </row>
        <row r="5666">
          <cell r="E5666">
            <v>10590006</v>
          </cell>
          <cell r="H5666">
            <v>22.3</v>
          </cell>
          <cell r="I5666">
            <v>1059.4100000000001</v>
          </cell>
          <cell r="J5666">
            <v>0</v>
          </cell>
          <cell r="K5666">
            <v>0</v>
          </cell>
          <cell r="M5666">
            <v>0</v>
          </cell>
          <cell r="P5666">
            <v>1059</v>
          </cell>
          <cell r="V5666" t="str">
            <v>Available</v>
          </cell>
        </row>
        <row r="5667">
          <cell r="E5667">
            <v>10590006</v>
          </cell>
          <cell r="H5667">
            <v>23.700000000000003</v>
          </cell>
          <cell r="I5667">
            <v>1084.28</v>
          </cell>
          <cell r="J5667">
            <v>0</v>
          </cell>
          <cell r="K5667">
            <v>0</v>
          </cell>
          <cell r="M5667">
            <v>0</v>
          </cell>
          <cell r="P5667">
            <v>1084</v>
          </cell>
          <cell r="V5667" t="str">
            <v>Available</v>
          </cell>
        </row>
        <row r="5668">
          <cell r="E5668">
            <v>10590006</v>
          </cell>
          <cell r="H5668">
            <v>15.8</v>
          </cell>
          <cell r="I5668">
            <v>595.20999999999992</v>
          </cell>
          <cell r="J5668">
            <v>0</v>
          </cell>
          <cell r="K5668">
            <v>0</v>
          </cell>
          <cell r="M5668">
            <v>0</v>
          </cell>
          <cell r="P5668">
            <v>595</v>
          </cell>
          <cell r="V5668" t="str">
            <v>Available</v>
          </cell>
        </row>
        <row r="5669">
          <cell r="E5669">
            <v>10590006</v>
          </cell>
          <cell r="H5669">
            <v>16</v>
          </cell>
          <cell r="I5669">
            <v>624.85</v>
          </cell>
          <cell r="J5669">
            <v>0</v>
          </cell>
          <cell r="K5669">
            <v>0</v>
          </cell>
          <cell r="M5669">
            <v>0</v>
          </cell>
          <cell r="P5669">
            <v>625</v>
          </cell>
          <cell r="V5669" t="str">
            <v>Available</v>
          </cell>
        </row>
        <row r="5670">
          <cell r="E5670">
            <v>10590006</v>
          </cell>
          <cell r="H5670">
            <v>6.1999999999999993</v>
          </cell>
          <cell r="I5670">
            <v>213.23</v>
          </cell>
          <cell r="J5670">
            <v>0</v>
          </cell>
          <cell r="K5670">
            <v>0</v>
          </cell>
          <cell r="M5670">
            <v>0</v>
          </cell>
          <cell r="P5670">
            <v>213</v>
          </cell>
          <cell r="V5670" t="str">
            <v>Available</v>
          </cell>
        </row>
        <row r="5671">
          <cell r="E5671">
            <v>10590006</v>
          </cell>
          <cell r="H5671">
            <v>11.5</v>
          </cell>
          <cell r="I5671">
            <v>871.04999999999984</v>
          </cell>
          <cell r="J5671">
            <v>0</v>
          </cell>
          <cell r="K5671">
            <v>0</v>
          </cell>
          <cell r="M5671">
            <v>0</v>
          </cell>
          <cell r="P5671">
            <v>871</v>
          </cell>
          <cell r="V5671" t="str">
            <v>Available</v>
          </cell>
        </row>
        <row r="5672">
          <cell r="E5672">
            <v>10590006</v>
          </cell>
          <cell r="H5672">
            <v>75.800000000000011</v>
          </cell>
          <cell r="I5672">
            <v>2903</v>
          </cell>
          <cell r="J5672">
            <v>0</v>
          </cell>
          <cell r="K5672">
            <v>0</v>
          </cell>
          <cell r="M5672">
            <v>0</v>
          </cell>
          <cell r="P5672">
            <v>2903</v>
          </cell>
          <cell r="V5672" t="str">
            <v>Available</v>
          </cell>
        </row>
        <row r="5673">
          <cell r="E5673">
            <v>10590006</v>
          </cell>
          <cell r="H5673">
            <v>3.9000000000000004</v>
          </cell>
          <cell r="I5673">
            <v>278.88</v>
          </cell>
          <cell r="J5673">
            <v>0</v>
          </cell>
          <cell r="K5673">
            <v>0</v>
          </cell>
          <cell r="M5673">
            <v>0</v>
          </cell>
          <cell r="P5673">
            <v>279</v>
          </cell>
          <cell r="V5673" t="str">
            <v>Available</v>
          </cell>
        </row>
        <row r="5674">
          <cell r="E5674">
            <v>10590006</v>
          </cell>
          <cell r="H5674">
            <v>32.9</v>
          </cell>
          <cell r="I5674">
            <v>1418.3999999999999</v>
          </cell>
          <cell r="J5674">
            <v>0</v>
          </cell>
          <cell r="K5674">
            <v>0</v>
          </cell>
          <cell r="M5674">
            <v>0</v>
          </cell>
          <cell r="P5674">
            <v>1418</v>
          </cell>
          <cell r="V5674" t="str">
            <v>Available</v>
          </cell>
        </row>
        <row r="5675">
          <cell r="E5675">
            <v>10590006</v>
          </cell>
          <cell r="H5675">
            <v>11.100000000000001</v>
          </cell>
          <cell r="I5675">
            <v>576.33000000000004</v>
          </cell>
          <cell r="J5675">
            <v>0</v>
          </cell>
          <cell r="K5675">
            <v>0</v>
          </cell>
          <cell r="M5675">
            <v>0</v>
          </cell>
          <cell r="P5675">
            <v>576</v>
          </cell>
          <cell r="V5675" t="str">
            <v>Available</v>
          </cell>
        </row>
        <row r="5676">
          <cell r="E5676">
            <v>10590006</v>
          </cell>
          <cell r="H5676">
            <v>17.5</v>
          </cell>
          <cell r="I5676">
            <v>770.05</v>
          </cell>
          <cell r="J5676">
            <v>0</v>
          </cell>
          <cell r="K5676">
            <v>0</v>
          </cell>
          <cell r="M5676">
            <v>0</v>
          </cell>
          <cell r="P5676">
            <v>770</v>
          </cell>
          <cell r="V5676" t="str">
            <v>Available</v>
          </cell>
        </row>
        <row r="5677">
          <cell r="E5677">
            <v>10590006</v>
          </cell>
          <cell r="H5677">
            <v>23.900000000000002</v>
          </cell>
          <cell r="I5677">
            <v>1717.9799999999998</v>
          </cell>
          <cell r="J5677">
            <v>0</v>
          </cell>
          <cell r="K5677">
            <v>0</v>
          </cell>
          <cell r="M5677">
            <v>0</v>
          </cell>
          <cell r="P5677">
            <v>1718</v>
          </cell>
          <cell r="V5677" t="str">
            <v>Available</v>
          </cell>
        </row>
        <row r="5678">
          <cell r="E5678">
            <v>10590006</v>
          </cell>
          <cell r="H5678">
            <v>18.2</v>
          </cell>
          <cell r="I5678">
            <v>1045.26</v>
          </cell>
          <cell r="J5678">
            <v>0</v>
          </cell>
          <cell r="K5678">
            <v>0</v>
          </cell>
          <cell r="M5678">
            <v>0</v>
          </cell>
          <cell r="P5678">
            <v>1045</v>
          </cell>
          <cell r="V5678" t="str">
            <v>Available</v>
          </cell>
        </row>
        <row r="5679">
          <cell r="E5679">
            <v>10590006</v>
          </cell>
          <cell r="H5679">
            <v>27.599999999999994</v>
          </cell>
          <cell r="I5679">
            <v>1138.82</v>
          </cell>
          <cell r="J5679">
            <v>0</v>
          </cell>
          <cell r="K5679">
            <v>0</v>
          </cell>
          <cell r="M5679">
            <v>0</v>
          </cell>
          <cell r="P5679">
            <v>1139</v>
          </cell>
          <cell r="V5679" t="str">
            <v>Available</v>
          </cell>
        </row>
        <row r="5680">
          <cell r="E5680">
            <v>10590007</v>
          </cell>
          <cell r="H5680">
            <v>236.6</v>
          </cell>
          <cell r="I5680">
            <v>11211.580000000002</v>
          </cell>
          <cell r="J5680">
            <v>0</v>
          </cell>
          <cell r="K5680">
            <v>0</v>
          </cell>
          <cell r="M5680">
            <v>0</v>
          </cell>
          <cell r="P5680">
            <v>11149</v>
          </cell>
          <cell r="V5680" t="str">
            <v>Available</v>
          </cell>
        </row>
        <row r="5681">
          <cell r="E5681">
            <v>10590008</v>
          </cell>
          <cell r="H5681">
            <v>335.00000000000006</v>
          </cell>
          <cell r="I5681">
            <v>15547.799999999997</v>
          </cell>
          <cell r="J5681">
            <v>0</v>
          </cell>
          <cell r="K5681">
            <v>0</v>
          </cell>
          <cell r="M5681">
            <v>0</v>
          </cell>
          <cell r="P5681">
            <v>15504</v>
          </cell>
          <cell r="V5681" t="str">
            <v>Available</v>
          </cell>
        </row>
        <row r="5682">
          <cell r="E5682">
            <v>10590009</v>
          </cell>
          <cell r="H5682">
            <v>727.40000000000009</v>
          </cell>
          <cell r="I5682">
            <v>38292.67</v>
          </cell>
          <cell r="J5682">
            <v>0</v>
          </cell>
          <cell r="K5682">
            <v>0</v>
          </cell>
          <cell r="M5682">
            <v>2700</v>
          </cell>
          <cell r="P5682">
            <v>35391</v>
          </cell>
          <cell r="V5682" t="str">
            <v>Available</v>
          </cell>
        </row>
        <row r="5683">
          <cell r="E5683">
            <v>10590010</v>
          </cell>
          <cell r="H5683">
            <v>507.5</v>
          </cell>
          <cell r="I5683">
            <v>26898.859999999997</v>
          </cell>
          <cell r="J5683">
            <v>0</v>
          </cell>
          <cell r="K5683">
            <v>0</v>
          </cell>
          <cell r="M5683">
            <v>0</v>
          </cell>
          <cell r="P5683">
            <v>26227</v>
          </cell>
          <cell r="V5683" t="str">
            <v>Available</v>
          </cell>
        </row>
        <row r="5684">
          <cell r="E5684">
            <v>10590010</v>
          </cell>
          <cell r="H5684">
            <v>313.39999999999998</v>
          </cell>
          <cell r="I5684">
            <v>15989.63</v>
          </cell>
          <cell r="J5684">
            <v>0</v>
          </cell>
          <cell r="K5684">
            <v>0</v>
          </cell>
          <cell r="M5684">
            <v>0</v>
          </cell>
          <cell r="P5684">
            <v>15990</v>
          </cell>
          <cell r="V5684" t="str">
            <v>Available</v>
          </cell>
        </row>
        <row r="5685">
          <cell r="E5685">
            <v>10590010</v>
          </cell>
          <cell r="H5685">
            <v>303.60000000000002</v>
          </cell>
          <cell r="I5685">
            <v>11524.43</v>
          </cell>
          <cell r="J5685">
            <v>0</v>
          </cell>
          <cell r="K5685">
            <v>0</v>
          </cell>
          <cell r="M5685">
            <v>0</v>
          </cell>
          <cell r="P5685">
            <v>11524</v>
          </cell>
          <cell r="V5685" t="str">
            <v>Available</v>
          </cell>
        </row>
        <row r="5686">
          <cell r="E5686">
            <v>10590011</v>
          </cell>
          <cell r="H5686">
            <v>150.66999999999999</v>
          </cell>
          <cell r="I5686">
            <v>8808.4199999999983</v>
          </cell>
          <cell r="J5686">
            <v>0</v>
          </cell>
          <cell r="K5686">
            <v>0</v>
          </cell>
          <cell r="M5686">
            <v>0</v>
          </cell>
          <cell r="P5686">
            <v>6272</v>
          </cell>
          <cell r="V5686" t="str">
            <v>Available</v>
          </cell>
        </row>
        <row r="5687">
          <cell r="E5687">
            <v>10590011</v>
          </cell>
          <cell r="H5687">
            <v>14.379999999999999</v>
          </cell>
          <cell r="I5687">
            <v>595.45000000000005</v>
          </cell>
          <cell r="J5687">
            <v>0</v>
          </cell>
          <cell r="K5687">
            <v>0</v>
          </cell>
          <cell r="M5687">
            <v>0</v>
          </cell>
          <cell r="P5687">
            <v>595</v>
          </cell>
          <cell r="V5687" t="str">
            <v>Available</v>
          </cell>
        </row>
        <row r="5688">
          <cell r="E5688">
            <v>10590011</v>
          </cell>
          <cell r="H5688">
            <v>19.57</v>
          </cell>
          <cell r="I5688">
            <v>719.45</v>
          </cell>
          <cell r="J5688">
            <v>0</v>
          </cell>
          <cell r="K5688">
            <v>0</v>
          </cell>
          <cell r="M5688">
            <v>0</v>
          </cell>
          <cell r="P5688">
            <v>719</v>
          </cell>
          <cell r="V5688" t="str">
            <v>Available</v>
          </cell>
        </row>
        <row r="5689">
          <cell r="E5689">
            <v>10590011</v>
          </cell>
          <cell r="H5689">
            <v>22.500000000000004</v>
          </cell>
          <cell r="I5689">
            <v>930.07999999999993</v>
          </cell>
          <cell r="J5689">
            <v>0</v>
          </cell>
          <cell r="K5689">
            <v>0</v>
          </cell>
          <cell r="M5689">
            <v>0</v>
          </cell>
          <cell r="P5689">
            <v>930</v>
          </cell>
          <cell r="V5689" t="str">
            <v>Available</v>
          </cell>
        </row>
        <row r="5690">
          <cell r="E5690">
            <v>10590011</v>
          </cell>
          <cell r="H5690">
            <v>110.94999999999999</v>
          </cell>
          <cell r="I5690">
            <v>4269.3099999999995</v>
          </cell>
          <cell r="J5690">
            <v>0</v>
          </cell>
          <cell r="K5690">
            <v>0</v>
          </cell>
          <cell r="M5690">
            <v>0</v>
          </cell>
          <cell r="P5690">
            <v>4269</v>
          </cell>
          <cell r="V5690" t="str">
            <v>Available</v>
          </cell>
        </row>
        <row r="5691">
          <cell r="E5691">
            <v>10590012</v>
          </cell>
          <cell r="H5691">
            <v>1221.8999999999999</v>
          </cell>
          <cell r="I5691">
            <v>51970.39</v>
          </cell>
          <cell r="J5691">
            <v>0</v>
          </cell>
          <cell r="K5691">
            <v>0</v>
          </cell>
          <cell r="M5691">
            <v>1350</v>
          </cell>
          <cell r="P5691">
            <v>46789</v>
          </cell>
          <cell r="V5691" t="str">
            <v>Available</v>
          </cell>
        </row>
        <row r="5692">
          <cell r="E5692">
            <v>10590012</v>
          </cell>
          <cell r="H5692">
            <v>91.6</v>
          </cell>
          <cell r="I5692">
            <v>3724.83</v>
          </cell>
          <cell r="J5692">
            <v>0</v>
          </cell>
          <cell r="K5692">
            <v>0</v>
          </cell>
          <cell r="M5692">
            <v>0</v>
          </cell>
          <cell r="P5692">
            <v>3725</v>
          </cell>
          <cell r="V5692" t="str">
            <v>Not Available</v>
          </cell>
        </row>
        <row r="5693">
          <cell r="E5693">
            <v>10590013</v>
          </cell>
          <cell r="H5693">
            <v>494.50000000000006</v>
          </cell>
          <cell r="I5693">
            <v>23625.290000000005</v>
          </cell>
          <cell r="J5693">
            <v>0</v>
          </cell>
          <cell r="K5693">
            <v>0</v>
          </cell>
          <cell r="M5693">
            <v>1350</v>
          </cell>
          <cell r="P5693">
            <v>22275</v>
          </cell>
          <cell r="V5693" t="str">
            <v>Available</v>
          </cell>
        </row>
        <row r="5694">
          <cell r="E5694">
            <v>10590014</v>
          </cell>
          <cell r="H5694">
            <v>595.39999999999986</v>
          </cell>
          <cell r="I5694">
            <v>28634.559999999998</v>
          </cell>
          <cell r="J5694">
            <v>0</v>
          </cell>
          <cell r="K5694">
            <v>0</v>
          </cell>
          <cell r="M5694">
            <v>0</v>
          </cell>
          <cell r="P5694">
            <v>28635</v>
          </cell>
          <cell r="V5694" t="str">
            <v>Available</v>
          </cell>
        </row>
        <row r="5695">
          <cell r="E5695">
            <v>10590015</v>
          </cell>
          <cell r="H5695">
            <v>45.5</v>
          </cell>
          <cell r="I5695">
            <v>1513.5900000000001</v>
          </cell>
          <cell r="J5695">
            <v>0</v>
          </cell>
          <cell r="K5695">
            <v>0</v>
          </cell>
          <cell r="M5695">
            <v>0</v>
          </cell>
          <cell r="P5695">
            <v>1514</v>
          </cell>
          <cell r="V5695" t="str">
            <v>Available</v>
          </cell>
        </row>
        <row r="5696">
          <cell r="E5696">
            <v>10600001</v>
          </cell>
          <cell r="H5696">
            <v>17.8</v>
          </cell>
          <cell r="I5696">
            <v>690.28</v>
          </cell>
          <cell r="J5696">
            <v>0</v>
          </cell>
          <cell r="K5696">
            <v>0</v>
          </cell>
          <cell r="M5696">
            <v>0</v>
          </cell>
          <cell r="P5696">
            <v>690</v>
          </cell>
          <cell r="V5696" t="str">
            <v>Available</v>
          </cell>
        </row>
        <row r="5697">
          <cell r="E5697">
            <v>10600001</v>
          </cell>
          <cell r="H5697">
            <v>28</v>
          </cell>
          <cell r="I5697">
            <v>1085.8399999999999</v>
          </cell>
          <cell r="J5697">
            <v>0</v>
          </cell>
          <cell r="K5697">
            <v>0</v>
          </cell>
          <cell r="M5697">
            <v>0</v>
          </cell>
          <cell r="P5697">
            <v>1086</v>
          </cell>
          <cell r="V5697" t="str">
            <v>Available</v>
          </cell>
        </row>
        <row r="5698">
          <cell r="E5698">
            <v>10600002</v>
          </cell>
          <cell r="H5698">
            <v>425.77000000000004</v>
          </cell>
          <cell r="I5698">
            <v>17769.650000000001</v>
          </cell>
          <cell r="J5698">
            <v>0</v>
          </cell>
          <cell r="K5698">
            <v>0</v>
          </cell>
          <cell r="M5698">
            <v>0</v>
          </cell>
          <cell r="P5698">
            <v>16958</v>
          </cell>
          <cell r="V5698" t="str">
            <v>Available</v>
          </cell>
        </row>
        <row r="5699">
          <cell r="E5699">
            <v>10600004</v>
          </cell>
          <cell r="H5699">
            <v>12.03</v>
          </cell>
          <cell r="I5699">
            <v>929.37</v>
          </cell>
          <cell r="J5699">
            <v>0</v>
          </cell>
          <cell r="K5699">
            <v>0</v>
          </cell>
          <cell r="M5699">
            <v>0</v>
          </cell>
          <cell r="P5699">
            <v>0</v>
          </cell>
          <cell r="V5699" t="str">
            <v>Available</v>
          </cell>
        </row>
        <row r="5700">
          <cell r="E5700">
            <v>10600004</v>
          </cell>
          <cell r="H5700">
            <v>90.14</v>
          </cell>
          <cell r="I5700">
            <v>3676.91</v>
          </cell>
          <cell r="J5700">
            <v>0</v>
          </cell>
          <cell r="K5700">
            <v>0</v>
          </cell>
          <cell r="M5700">
            <v>1330</v>
          </cell>
          <cell r="P5700">
            <v>2347</v>
          </cell>
          <cell r="V5700" t="str">
            <v>Available</v>
          </cell>
        </row>
        <row r="5701">
          <cell r="E5701">
            <v>10600005</v>
          </cell>
          <cell r="H5701">
            <v>33.299999999999997</v>
          </cell>
          <cell r="I5701">
            <v>1337.66</v>
          </cell>
          <cell r="J5701">
            <v>0</v>
          </cell>
          <cell r="K5701">
            <v>0</v>
          </cell>
          <cell r="M5701">
            <v>1330</v>
          </cell>
          <cell r="P5701">
            <v>8</v>
          </cell>
          <cell r="V5701" t="str">
            <v>Available</v>
          </cell>
        </row>
        <row r="5702">
          <cell r="E5702">
            <v>10600008</v>
          </cell>
          <cell r="H5702">
            <v>40.6</v>
          </cell>
          <cell r="I5702">
            <v>1384.46</v>
          </cell>
          <cell r="J5702">
            <v>0</v>
          </cell>
          <cell r="K5702">
            <v>0</v>
          </cell>
          <cell r="M5702">
            <v>0</v>
          </cell>
          <cell r="P5702">
            <v>884</v>
          </cell>
          <cell r="V5702" t="str">
            <v>Available</v>
          </cell>
        </row>
        <row r="5703">
          <cell r="E5703">
            <v>10600009</v>
          </cell>
          <cell r="H5703">
            <v>29.64</v>
          </cell>
          <cell r="I5703">
            <v>1229.3699999999999</v>
          </cell>
          <cell r="J5703">
            <v>0</v>
          </cell>
          <cell r="K5703">
            <v>0</v>
          </cell>
          <cell r="M5703">
            <v>0</v>
          </cell>
          <cell r="P5703">
            <v>953</v>
          </cell>
          <cell r="V5703" t="str">
            <v>Available</v>
          </cell>
        </row>
        <row r="5704">
          <cell r="E5704">
            <v>10610001</v>
          </cell>
          <cell r="H5704">
            <v>3.5</v>
          </cell>
          <cell r="I5704">
            <v>163.03</v>
          </cell>
          <cell r="J5704">
            <v>0</v>
          </cell>
          <cell r="K5704">
            <v>163.03</v>
          </cell>
          <cell r="M5704">
            <v>0</v>
          </cell>
          <cell r="P5704">
            <v>0</v>
          </cell>
          <cell r="V5704" t="str">
            <v>Not Available</v>
          </cell>
        </row>
        <row r="5705">
          <cell r="E5705">
            <v>10610001</v>
          </cell>
          <cell r="H5705">
            <v>255.8</v>
          </cell>
          <cell r="I5705">
            <v>10474.92</v>
          </cell>
          <cell r="J5705">
            <v>0</v>
          </cell>
          <cell r="K5705">
            <v>0</v>
          </cell>
          <cell r="M5705">
            <v>10475</v>
          </cell>
          <cell r="P5705">
            <v>0</v>
          </cell>
          <cell r="V5705" t="str">
            <v>Available</v>
          </cell>
        </row>
        <row r="5706">
          <cell r="E5706">
            <v>10610001</v>
          </cell>
          <cell r="H5706">
            <v>258.60000000000002</v>
          </cell>
          <cell r="I5706">
            <v>13417.29</v>
          </cell>
          <cell r="J5706">
            <v>0</v>
          </cell>
          <cell r="K5706">
            <v>0</v>
          </cell>
          <cell r="M5706">
            <v>0</v>
          </cell>
          <cell r="P5706">
            <v>13417</v>
          </cell>
          <cell r="V5706" t="str">
            <v>Available</v>
          </cell>
        </row>
        <row r="5707">
          <cell r="E5707">
            <v>10610001</v>
          </cell>
          <cell r="H5707">
            <v>21.5</v>
          </cell>
          <cell r="I5707">
            <v>863.64</v>
          </cell>
          <cell r="J5707">
            <v>0</v>
          </cell>
          <cell r="K5707">
            <v>0</v>
          </cell>
          <cell r="M5707">
            <v>0</v>
          </cell>
          <cell r="P5707">
            <v>864</v>
          </cell>
          <cell r="V5707" t="str">
            <v>Available</v>
          </cell>
        </row>
        <row r="5708">
          <cell r="E5708">
            <v>10610001</v>
          </cell>
          <cell r="H5708">
            <v>13.400000000000002</v>
          </cell>
          <cell r="I5708">
            <v>1257.04</v>
          </cell>
          <cell r="J5708">
            <v>0</v>
          </cell>
          <cell r="K5708">
            <v>0</v>
          </cell>
          <cell r="M5708">
            <v>0</v>
          </cell>
          <cell r="P5708">
            <v>1257</v>
          </cell>
          <cell r="V5708" t="str">
            <v>Available</v>
          </cell>
        </row>
        <row r="5709">
          <cell r="E5709">
            <v>10610001</v>
          </cell>
          <cell r="H5709">
            <v>52.400000000000006</v>
          </cell>
          <cell r="I5709">
            <v>1900.4199999999998</v>
          </cell>
          <cell r="J5709">
            <v>0</v>
          </cell>
          <cell r="K5709">
            <v>0</v>
          </cell>
          <cell r="M5709">
            <v>0</v>
          </cell>
          <cell r="P5709">
            <v>1900</v>
          </cell>
          <cell r="V5709" t="str">
            <v>Available</v>
          </cell>
        </row>
        <row r="5710">
          <cell r="E5710">
            <v>10610001</v>
          </cell>
          <cell r="H5710">
            <v>31.1</v>
          </cell>
          <cell r="I5710">
            <v>1955.2499999999998</v>
          </cell>
          <cell r="J5710">
            <v>0</v>
          </cell>
          <cell r="K5710">
            <v>0</v>
          </cell>
          <cell r="M5710">
            <v>0</v>
          </cell>
          <cell r="P5710">
            <v>1955</v>
          </cell>
          <cell r="V5710" t="str">
            <v>Available</v>
          </cell>
        </row>
        <row r="5711">
          <cell r="E5711">
            <v>10610001</v>
          </cell>
          <cell r="H5711">
            <v>15.499999999999998</v>
          </cell>
          <cell r="I5711">
            <v>554.81999999999994</v>
          </cell>
          <cell r="J5711">
            <v>0</v>
          </cell>
          <cell r="K5711">
            <v>0</v>
          </cell>
          <cell r="M5711">
            <v>0</v>
          </cell>
          <cell r="P5711">
            <v>555</v>
          </cell>
          <cell r="V5711" t="str">
            <v>Available</v>
          </cell>
        </row>
        <row r="5712">
          <cell r="E5712">
            <v>10610001</v>
          </cell>
          <cell r="H5712">
            <v>15.299999999999999</v>
          </cell>
          <cell r="I5712">
            <v>598.41999999999996</v>
          </cell>
          <cell r="J5712">
            <v>0</v>
          </cell>
          <cell r="K5712">
            <v>0</v>
          </cell>
          <cell r="M5712">
            <v>0</v>
          </cell>
          <cell r="P5712">
            <v>598</v>
          </cell>
          <cell r="V5712" t="str">
            <v>Available</v>
          </cell>
        </row>
        <row r="5713">
          <cell r="E5713">
            <v>10610002</v>
          </cell>
          <cell r="H5713">
            <v>56.70000000000001</v>
          </cell>
          <cell r="I5713">
            <v>2374</v>
          </cell>
          <cell r="J5713">
            <v>0</v>
          </cell>
          <cell r="K5713">
            <v>0</v>
          </cell>
          <cell r="M5713">
            <v>0</v>
          </cell>
          <cell r="P5713">
            <v>1100</v>
          </cell>
          <cell r="V5713" t="str">
            <v>Available</v>
          </cell>
        </row>
        <row r="5714">
          <cell r="E5714">
            <v>10610002</v>
          </cell>
          <cell r="H5714">
            <v>63.800000000000004</v>
          </cell>
          <cell r="I5714">
            <v>3861.8500000000004</v>
          </cell>
          <cell r="J5714">
            <v>0</v>
          </cell>
          <cell r="K5714">
            <v>0</v>
          </cell>
          <cell r="M5714">
            <v>0</v>
          </cell>
          <cell r="P5714">
            <v>3862</v>
          </cell>
          <cell r="V5714" t="str">
            <v>Available</v>
          </cell>
        </row>
        <row r="5715">
          <cell r="E5715">
            <v>10610002</v>
          </cell>
          <cell r="H5715">
            <v>30.900000000000002</v>
          </cell>
          <cell r="I5715">
            <v>1278.0900000000001</v>
          </cell>
          <cell r="J5715">
            <v>0</v>
          </cell>
          <cell r="K5715">
            <v>0</v>
          </cell>
          <cell r="M5715">
            <v>0</v>
          </cell>
          <cell r="P5715">
            <v>1278</v>
          </cell>
          <cell r="V5715" t="str">
            <v>Available</v>
          </cell>
        </row>
        <row r="5716">
          <cell r="E5716">
            <v>10610002</v>
          </cell>
          <cell r="H5716">
            <v>4</v>
          </cell>
          <cell r="I5716">
            <v>296.04999999999995</v>
          </cell>
          <cell r="J5716">
            <v>0</v>
          </cell>
          <cell r="K5716">
            <v>0</v>
          </cell>
          <cell r="M5716">
            <v>0</v>
          </cell>
          <cell r="P5716">
            <v>296</v>
          </cell>
          <cell r="V5716" t="str">
            <v>Available</v>
          </cell>
        </row>
        <row r="5717">
          <cell r="E5717">
            <v>10610002</v>
          </cell>
          <cell r="H5717">
            <v>22.5</v>
          </cell>
          <cell r="I5717">
            <v>868.45</v>
          </cell>
          <cell r="J5717">
            <v>0</v>
          </cell>
          <cell r="K5717">
            <v>0</v>
          </cell>
          <cell r="M5717">
            <v>0</v>
          </cell>
          <cell r="P5717">
            <v>868</v>
          </cell>
          <cell r="V5717" t="str">
            <v>Available</v>
          </cell>
        </row>
        <row r="5718">
          <cell r="E5718">
            <v>10610002</v>
          </cell>
          <cell r="H5718">
            <v>125.30000000000001</v>
          </cell>
          <cell r="I5718">
            <v>6058.1499999999987</v>
          </cell>
          <cell r="J5718">
            <v>0</v>
          </cell>
          <cell r="K5718">
            <v>0</v>
          </cell>
          <cell r="M5718">
            <v>0</v>
          </cell>
          <cell r="P5718">
            <v>6058</v>
          </cell>
          <cell r="V5718" t="str">
            <v>Available</v>
          </cell>
        </row>
        <row r="5719">
          <cell r="E5719">
            <v>10610002</v>
          </cell>
          <cell r="H5719">
            <v>24.700000000000003</v>
          </cell>
          <cell r="I5719">
            <v>1510.3300000000002</v>
          </cell>
          <cell r="J5719">
            <v>0</v>
          </cell>
          <cell r="K5719">
            <v>0</v>
          </cell>
          <cell r="M5719">
            <v>0</v>
          </cell>
          <cell r="P5719">
            <v>1510</v>
          </cell>
          <cell r="V5719" t="str">
            <v>Available</v>
          </cell>
        </row>
        <row r="5720">
          <cell r="E5720">
            <v>10610002</v>
          </cell>
          <cell r="H5720">
            <v>87.1</v>
          </cell>
          <cell r="I5720">
            <v>3257.48</v>
          </cell>
          <cell r="J5720">
            <v>0</v>
          </cell>
          <cell r="K5720">
            <v>0</v>
          </cell>
          <cell r="M5720">
            <v>0</v>
          </cell>
          <cell r="P5720">
            <v>3257</v>
          </cell>
          <cell r="V5720" t="str">
            <v>Available</v>
          </cell>
        </row>
        <row r="5721">
          <cell r="E5721">
            <v>10610002</v>
          </cell>
          <cell r="H5721">
            <v>43.599999999999994</v>
          </cell>
          <cell r="I5721">
            <v>2562.9900000000002</v>
          </cell>
          <cell r="J5721">
            <v>0</v>
          </cell>
          <cell r="K5721">
            <v>0</v>
          </cell>
          <cell r="M5721">
            <v>0</v>
          </cell>
          <cell r="P5721">
            <v>2563</v>
          </cell>
          <cell r="V5721" t="str">
            <v>Available</v>
          </cell>
        </row>
        <row r="5722">
          <cell r="E5722">
            <v>10610002</v>
          </cell>
          <cell r="H5722">
            <v>19.900000000000002</v>
          </cell>
          <cell r="I5722">
            <v>1372.72</v>
          </cell>
          <cell r="J5722">
            <v>0</v>
          </cell>
          <cell r="K5722">
            <v>0</v>
          </cell>
          <cell r="M5722">
            <v>0</v>
          </cell>
          <cell r="P5722">
            <v>1373</v>
          </cell>
          <cell r="V5722" t="str">
            <v>Available</v>
          </cell>
        </row>
        <row r="5723">
          <cell r="E5723">
            <v>10610003</v>
          </cell>
          <cell r="H5723">
            <v>151.4</v>
          </cell>
          <cell r="I5723">
            <v>5744.17</v>
          </cell>
          <cell r="J5723">
            <v>0</v>
          </cell>
          <cell r="K5723">
            <v>0</v>
          </cell>
          <cell r="M5723">
            <v>0</v>
          </cell>
          <cell r="P5723">
            <v>5744</v>
          </cell>
          <cell r="V5723" t="str">
            <v>Available</v>
          </cell>
        </row>
        <row r="5724">
          <cell r="E5724">
            <v>10610003</v>
          </cell>
          <cell r="H5724">
            <v>56.1</v>
          </cell>
          <cell r="I5724">
            <v>2052.13</v>
          </cell>
          <cell r="J5724">
            <v>0</v>
          </cell>
          <cell r="K5724">
            <v>0</v>
          </cell>
          <cell r="M5724">
            <v>0</v>
          </cell>
          <cell r="P5724">
            <v>2052</v>
          </cell>
          <cell r="V5724" t="str">
            <v>Available</v>
          </cell>
        </row>
        <row r="5725">
          <cell r="E5725">
            <v>10610003</v>
          </cell>
          <cell r="H5725">
            <v>10.5</v>
          </cell>
          <cell r="I5725">
            <v>407.14000000000004</v>
          </cell>
          <cell r="J5725">
            <v>0</v>
          </cell>
          <cell r="K5725">
            <v>0</v>
          </cell>
          <cell r="M5725">
            <v>0</v>
          </cell>
          <cell r="P5725">
            <v>407</v>
          </cell>
          <cell r="V5725" t="str">
            <v>Available</v>
          </cell>
        </row>
        <row r="5726">
          <cell r="E5726">
            <v>10610004</v>
          </cell>
          <cell r="H5726">
            <v>7.2999999999999989</v>
          </cell>
          <cell r="I5726">
            <v>318.8</v>
          </cell>
          <cell r="J5726">
            <v>0</v>
          </cell>
          <cell r="K5726">
            <v>318.8</v>
          </cell>
          <cell r="M5726">
            <v>0</v>
          </cell>
          <cell r="P5726">
            <v>0</v>
          </cell>
          <cell r="V5726" t="str">
            <v>Not Available</v>
          </cell>
        </row>
        <row r="5727">
          <cell r="E5727">
            <v>10610004</v>
          </cell>
          <cell r="H5727">
            <v>45.1</v>
          </cell>
          <cell r="I5727">
            <v>1858.7400000000002</v>
          </cell>
          <cell r="J5727">
            <v>0</v>
          </cell>
          <cell r="K5727">
            <v>0</v>
          </cell>
          <cell r="M5727">
            <v>0</v>
          </cell>
          <cell r="P5727">
            <v>1602</v>
          </cell>
          <cell r="V5727" t="str">
            <v>Available</v>
          </cell>
        </row>
        <row r="5728">
          <cell r="E5728">
            <v>10610004</v>
          </cell>
          <cell r="H5728">
            <v>113.60000000000001</v>
          </cell>
          <cell r="I5728">
            <v>4245.99</v>
          </cell>
          <cell r="J5728">
            <v>0</v>
          </cell>
          <cell r="K5728">
            <v>0</v>
          </cell>
          <cell r="M5728">
            <v>1665</v>
          </cell>
          <cell r="P5728">
            <v>2581</v>
          </cell>
          <cell r="V5728" t="str">
            <v>Available</v>
          </cell>
        </row>
        <row r="5729">
          <cell r="E5729">
            <v>10610004</v>
          </cell>
          <cell r="H5729">
            <v>22.7</v>
          </cell>
          <cell r="I5729">
            <v>1652.1699999999998</v>
          </cell>
          <cell r="J5729">
            <v>0</v>
          </cell>
          <cell r="K5729">
            <v>0</v>
          </cell>
          <cell r="M5729">
            <v>0</v>
          </cell>
          <cell r="P5729">
            <v>1652</v>
          </cell>
          <cell r="V5729" t="str">
            <v>Available</v>
          </cell>
        </row>
        <row r="5730">
          <cell r="E5730">
            <v>10610004</v>
          </cell>
          <cell r="H5730">
            <v>43.599999999999994</v>
          </cell>
          <cell r="I5730">
            <v>2255.3200000000002</v>
          </cell>
          <cell r="J5730">
            <v>0</v>
          </cell>
          <cell r="K5730">
            <v>0</v>
          </cell>
          <cell r="M5730">
            <v>0</v>
          </cell>
          <cell r="P5730">
            <v>2255</v>
          </cell>
          <cell r="V5730" t="str">
            <v>Available</v>
          </cell>
        </row>
        <row r="5731">
          <cell r="E5731">
            <v>10610004</v>
          </cell>
          <cell r="H5731">
            <v>26.499999999999996</v>
          </cell>
          <cell r="I5731">
            <v>1170.8</v>
          </cell>
          <cell r="J5731">
            <v>0</v>
          </cell>
          <cell r="K5731">
            <v>0</v>
          </cell>
          <cell r="M5731">
            <v>0</v>
          </cell>
          <cell r="P5731">
            <v>1171</v>
          </cell>
          <cell r="V5731" t="str">
            <v>Available</v>
          </cell>
        </row>
        <row r="5732">
          <cell r="E5732">
            <v>10610004</v>
          </cell>
          <cell r="H5732">
            <v>41.4</v>
          </cell>
          <cell r="I5732">
            <v>1944.9400000000005</v>
          </cell>
          <cell r="J5732">
            <v>0</v>
          </cell>
          <cell r="K5732">
            <v>0</v>
          </cell>
          <cell r="M5732">
            <v>0</v>
          </cell>
          <cell r="P5732">
            <v>1945</v>
          </cell>
          <cell r="V5732" t="str">
            <v>Available</v>
          </cell>
        </row>
        <row r="5733">
          <cell r="E5733">
            <v>10610004</v>
          </cell>
          <cell r="H5733">
            <v>9.1999999999999993</v>
          </cell>
          <cell r="I5733">
            <v>453.52</v>
          </cell>
          <cell r="J5733">
            <v>0</v>
          </cell>
          <cell r="K5733">
            <v>0</v>
          </cell>
          <cell r="M5733">
            <v>0</v>
          </cell>
          <cell r="P5733">
            <v>454</v>
          </cell>
          <cell r="V5733" t="str">
            <v>Available</v>
          </cell>
        </row>
        <row r="5734">
          <cell r="E5734">
            <v>10610004</v>
          </cell>
          <cell r="H5734">
            <v>29.3</v>
          </cell>
          <cell r="I5734">
            <v>1416.21</v>
          </cell>
          <cell r="J5734">
            <v>0</v>
          </cell>
          <cell r="K5734">
            <v>0</v>
          </cell>
          <cell r="M5734">
            <v>0</v>
          </cell>
          <cell r="P5734">
            <v>1416</v>
          </cell>
          <cell r="V5734" t="str">
            <v>Available</v>
          </cell>
        </row>
        <row r="5735">
          <cell r="E5735">
            <v>10610005</v>
          </cell>
          <cell r="H5735">
            <v>0.5</v>
          </cell>
          <cell r="I5735">
            <v>19.25</v>
          </cell>
          <cell r="J5735">
            <v>0</v>
          </cell>
          <cell r="K5735">
            <v>19.25</v>
          </cell>
          <cell r="M5735">
            <v>0</v>
          </cell>
          <cell r="P5735">
            <v>0</v>
          </cell>
          <cell r="V5735" t="str">
            <v>Not Available</v>
          </cell>
        </row>
        <row r="5736">
          <cell r="E5736">
            <v>10610005</v>
          </cell>
          <cell r="H5736">
            <v>1123.8</v>
          </cell>
          <cell r="I5736">
            <v>52199.889999999992</v>
          </cell>
          <cell r="J5736">
            <v>0</v>
          </cell>
          <cell r="K5736">
            <v>0</v>
          </cell>
          <cell r="M5736">
            <v>3100</v>
          </cell>
          <cell r="P5736">
            <v>46335</v>
          </cell>
          <cell r="V5736" t="str">
            <v>Available</v>
          </cell>
        </row>
        <row r="5737">
          <cell r="E5737">
            <v>10610005</v>
          </cell>
          <cell r="H5737">
            <v>3.6</v>
          </cell>
          <cell r="I5737">
            <v>115.21000000000001</v>
          </cell>
          <cell r="J5737">
            <v>0</v>
          </cell>
          <cell r="K5737">
            <v>0</v>
          </cell>
          <cell r="M5737">
            <v>0</v>
          </cell>
          <cell r="P5737">
            <v>115</v>
          </cell>
          <cell r="V5737" t="str">
            <v>Available</v>
          </cell>
        </row>
        <row r="5738">
          <cell r="E5738">
            <v>10610005</v>
          </cell>
          <cell r="H5738">
            <v>42.2</v>
          </cell>
          <cell r="I5738">
            <v>1591.6799999999998</v>
          </cell>
          <cell r="J5738">
            <v>0</v>
          </cell>
          <cell r="K5738">
            <v>0</v>
          </cell>
          <cell r="M5738">
            <v>0</v>
          </cell>
          <cell r="P5738">
            <v>1592</v>
          </cell>
          <cell r="V5738" t="str">
            <v>Available</v>
          </cell>
        </row>
        <row r="5739">
          <cell r="E5739">
            <v>10610005</v>
          </cell>
          <cell r="H5739">
            <v>28.5</v>
          </cell>
          <cell r="I5739">
            <v>1067.47</v>
          </cell>
          <cell r="J5739">
            <v>0</v>
          </cell>
          <cell r="K5739">
            <v>0</v>
          </cell>
          <cell r="M5739">
            <v>0</v>
          </cell>
          <cell r="P5739">
            <v>1067</v>
          </cell>
          <cell r="V5739" t="str">
            <v>Available</v>
          </cell>
        </row>
        <row r="5740">
          <cell r="E5740">
            <v>10610005</v>
          </cell>
          <cell r="H5740">
            <v>22.1</v>
          </cell>
          <cell r="I5740">
            <v>925.29</v>
          </cell>
          <cell r="J5740">
            <v>0</v>
          </cell>
          <cell r="K5740">
            <v>0</v>
          </cell>
          <cell r="M5740">
            <v>0</v>
          </cell>
          <cell r="P5740">
            <v>925</v>
          </cell>
          <cell r="V5740" t="str">
            <v>Available</v>
          </cell>
        </row>
        <row r="5741">
          <cell r="E5741">
            <v>10610005</v>
          </cell>
          <cell r="H5741">
            <v>41.1</v>
          </cell>
          <cell r="I5741">
            <v>1527.7</v>
          </cell>
          <cell r="J5741">
            <v>0</v>
          </cell>
          <cell r="K5741">
            <v>0</v>
          </cell>
          <cell r="M5741">
            <v>0</v>
          </cell>
          <cell r="P5741">
            <v>1528</v>
          </cell>
          <cell r="V5741" t="str">
            <v>Available</v>
          </cell>
        </row>
        <row r="5742">
          <cell r="E5742">
            <v>10610005</v>
          </cell>
          <cell r="H5742">
            <v>21</v>
          </cell>
          <cell r="I5742">
            <v>834.35</v>
          </cell>
          <cell r="J5742">
            <v>0</v>
          </cell>
          <cell r="K5742">
            <v>0</v>
          </cell>
          <cell r="M5742">
            <v>0</v>
          </cell>
          <cell r="P5742">
            <v>834</v>
          </cell>
          <cell r="V5742" t="str">
            <v>Available</v>
          </cell>
        </row>
        <row r="5743">
          <cell r="E5743">
            <v>10610006</v>
          </cell>
          <cell r="H5743">
            <v>82.8</v>
          </cell>
          <cell r="I5743">
            <v>2885.8299999999995</v>
          </cell>
          <cell r="J5743">
            <v>0</v>
          </cell>
          <cell r="K5743">
            <v>0</v>
          </cell>
          <cell r="M5743">
            <v>0</v>
          </cell>
          <cell r="P5743">
            <v>2886</v>
          </cell>
          <cell r="V5743" t="str">
            <v>Available</v>
          </cell>
        </row>
        <row r="5744">
          <cell r="E5744">
            <v>10610006</v>
          </cell>
          <cell r="H5744">
            <v>31.599999999999994</v>
          </cell>
          <cell r="I5744">
            <v>1722.5199999999995</v>
          </cell>
          <cell r="J5744">
            <v>0</v>
          </cell>
          <cell r="K5744">
            <v>0</v>
          </cell>
          <cell r="M5744">
            <v>0</v>
          </cell>
          <cell r="P5744">
            <v>1723</v>
          </cell>
          <cell r="V5744" t="str">
            <v>Available</v>
          </cell>
        </row>
        <row r="5745">
          <cell r="E5745">
            <v>10610006</v>
          </cell>
          <cell r="H5745">
            <v>18.999999999999996</v>
          </cell>
          <cell r="I5745">
            <v>777.42</v>
          </cell>
          <cell r="J5745">
            <v>0</v>
          </cell>
          <cell r="K5745">
            <v>0</v>
          </cell>
          <cell r="M5745">
            <v>0</v>
          </cell>
          <cell r="P5745">
            <v>777</v>
          </cell>
          <cell r="V5745" t="str">
            <v>Available</v>
          </cell>
        </row>
        <row r="5746">
          <cell r="E5746">
            <v>10610006</v>
          </cell>
          <cell r="H5746">
            <v>9.2999999999999989</v>
          </cell>
          <cell r="I5746">
            <v>383.34999999999997</v>
          </cell>
          <cell r="J5746">
            <v>0</v>
          </cell>
          <cell r="K5746">
            <v>0</v>
          </cell>
          <cell r="M5746">
            <v>0</v>
          </cell>
          <cell r="P5746">
            <v>383</v>
          </cell>
          <cell r="V5746" t="str">
            <v>Available</v>
          </cell>
        </row>
        <row r="5747">
          <cell r="E5747">
            <v>10610006</v>
          </cell>
          <cell r="H5747">
            <v>20.400000000000002</v>
          </cell>
          <cell r="I5747">
            <v>1637.21</v>
          </cell>
          <cell r="J5747">
            <v>0</v>
          </cell>
          <cell r="K5747">
            <v>0</v>
          </cell>
          <cell r="M5747">
            <v>0</v>
          </cell>
          <cell r="P5747">
            <v>1637</v>
          </cell>
          <cell r="V5747" t="str">
            <v>Available</v>
          </cell>
        </row>
        <row r="5748">
          <cell r="E5748">
            <v>10610006</v>
          </cell>
          <cell r="H5748">
            <v>18.2</v>
          </cell>
          <cell r="I5748">
            <v>1427.11</v>
          </cell>
          <cell r="J5748">
            <v>0</v>
          </cell>
          <cell r="K5748">
            <v>0</v>
          </cell>
          <cell r="M5748">
            <v>0</v>
          </cell>
          <cell r="P5748">
            <v>1427</v>
          </cell>
          <cell r="V5748" t="str">
            <v>Available</v>
          </cell>
        </row>
        <row r="5749">
          <cell r="E5749">
            <v>10610006</v>
          </cell>
          <cell r="H5749">
            <v>75.699999999999989</v>
          </cell>
          <cell r="I5749">
            <v>4175.9999999999991</v>
          </cell>
          <cell r="J5749">
            <v>0</v>
          </cell>
          <cell r="K5749">
            <v>0</v>
          </cell>
          <cell r="M5749">
            <v>0</v>
          </cell>
          <cell r="P5749">
            <v>4176</v>
          </cell>
          <cell r="V5749" t="str">
            <v>Available</v>
          </cell>
        </row>
        <row r="5750">
          <cell r="E5750">
            <v>10610006</v>
          </cell>
          <cell r="H5750">
            <v>15.600000000000001</v>
          </cell>
          <cell r="I5750">
            <v>1247.47</v>
          </cell>
          <cell r="J5750">
            <v>0</v>
          </cell>
          <cell r="K5750">
            <v>0</v>
          </cell>
          <cell r="M5750">
            <v>0</v>
          </cell>
          <cell r="P5750">
            <v>1247</v>
          </cell>
          <cell r="V5750" t="str">
            <v>Available</v>
          </cell>
        </row>
        <row r="5751">
          <cell r="E5751">
            <v>10610006</v>
          </cell>
          <cell r="H5751">
            <v>39.899999999999991</v>
          </cell>
          <cell r="I5751">
            <v>1694.2999999999997</v>
          </cell>
          <cell r="J5751">
            <v>0</v>
          </cell>
          <cell r="K5751">
            <v>0</v>
          </cell>
          <cell r="M5751">
            <v>0</v>
          </cell>
          <cell r="P5751">
            <v>1694</v>
          </cell>
          <cell r="V5751" t="str">
            <v>Available</v>
          </cell>
        </row>
        <row r="5752">
          <cell r="E5752">
            <v>10610008</v>
          </cell>
          <cell r="H5752">
            <v>267.60000000000002</v>
          </cell>
          <cell r="I5752">
            <v>12736.460000000001</v>
          </cell>
          <cell r="J5752">
            <v>0</v>
          </cell>
          <cell r="K5752">
            <v>0</v>
          </cell>
          <cell r="M5752">
            <v>0</v>
          </cell>
          <cell r="P5752">
            <v>12736</v>
          </cell>
          <cell r="V5752" t="str">
            <v>Available</v>
          </cell>
        </row>
        <row r="5753">
          <cell r="E5753">
            <v>10610008</v>
          </cell>
          <cell r="H5753">
            <v>50.900000000000006</v>
          </cell>
          <cell r="I5753">
            <v>2027.6999999999998</v>
          </cell>
          <cell r="J5753">
            <v>0</v>
          </cell>
          <cell r="K5753">
            <v>0</v>
          </cell>
          <cell r="M5753">
            <v>0</v>
          </cell>
          <cell r="P5753">
            <v>2028</v>
          </cell>
          <cell r="V5753" t="str">
            <v>Available</v>
          </cell>
        </row>
        <row r="5754">
          <cell r="E5754">
            <v>10610009</v>
          </cell>
          <cell r="H5754">
            <v>16.099999999999998</v>
          </cell>
          <cell r="I5754">
            <v>731.95999999999981</v>
          </cell>
          <cell r="J5754">
            <v>0</v>
          </cell>
          <cell r="K5754">
            <v>731.95999999999981</v>
          </cell>
          <cell r="M5754">
            <v>0</v>
          </cell>
          <cell r="P5754">
            <v>0</v>
          </cell>
          <cell r="V5754" t="str">
            <v>Not Available</v>
          </cell>
        </row>
        <row r="5755">
          <cell r="E5755">
            <v>10610009</v>
          </cell>
          <cell r="H5755">
            <v>476.2</v>
          </cell>
          <cell r="I5755">
            <v>22825.119999999999</v>
          </cell>
          <cell r="J5755">
            <v>0</v>
          </cell>
          <cell r="K5755">
            <v>0</v>
          </cell>
          <cell r="M5755">
            <v>50</v>
          </cell>
          <cell r="P5755">
            <v>21521</v>
          </cell>
          <cell r="V5755" t="str">
            <v>Available</v>
          </cell>
        </row>
        <row r="5756">
          <cell r="E5756">
            <v>10610009</v>
          </cell>
          <cell r="H5756">
            <v>11</v>
          </cell>
          <cell r="I5756">
            <v>886.1</v>
          </cell>
          <cell r="J5756">
            <v>0</v>
          </cell>
          <cell r="K5756">
            <v>0</v>
          </cell>
          <cell r="M5756">
            <v>0</v>
          </cell>
          <cell r="P5756">
            <v>886</v>
          </cell>
          <cell r="V5756" t="str">
            <v>Available</v>
          </cell>
        </row>
        <row r="5757">
          <cell r="E5757">
            <v>10610009</v>
          </cell>
          <cell r="H5757">
            <v>30.400000000000002</v>
          </cell>
          <cell r="I5757">
            <v>1281.1300000000001</v>
          </cell>
          <cell r="J5757">
            <v>0</v>
          </cell>
          <cell r="K5757">
            <v>0</v>
          </cell>
          <cell r="M5757">
            <v>0</v>
          </cell>
          <cell r="P5757">
            <v>1281</v>
          </cell>
          <cell r="V5757" t="str">
            <v>Available</v>
          </cell>
        </row>
        <row r="5758">
          <cell r="E5758">
            <v>10610009</v>
          </cell>
          <cell r="H5758">
            <v>1.7</v>
          </cell>
          <cell r="I5758">
            <v>109.85</v>
          </cell>
          <cell r="J5758">
            <v>0</v>
          </cell>
          <cell r="K5758">
            <v>0</v>
          </cell>
          <cell r="M5758">
            <v>0</v>
          </cell>
          <cell r="P5758">
            <v>110</v>
          </cell>
          <cell r="V5758" t="str">
            <v>Available</v>
          </cell>
        </row>
        <row r="5759">
          <cell r="E5759">
            <v>10610009</v>
          </cell>
          <cell r="H5759">
            <v>5.6999999999999993</v>
          </cell>
          <cell r="I5759">
            <v>198.85000000000002</v>
          </cell>
          <cell r="J5759">
            <v>0</v>
          </cell>
          <cell r="K5759">
            <v>0</v>
          </cell>
          <cell r="M5759">
            <v>0</v>
          </cell>
          <cell r="P5759">
            <v>199</v>
          </cell>
          <cell r="V5759" t="str">
            <v>Available</v>
          </cell>
        </row>
        <row r="5760">
          <cell r="E5760">
            <v>10610009</v>
          </cell>
          <cell r="H5760">
            <v>49.4</v>
          </cell>
          <cell r="I5760">
            <v>1689.53</v>
          </cell>
          <cell r="J5760">
            <v>0</v>
          </cell>
          <cell r="K5760">
            <v>0</v>
          </cell>
          <cell r="M5760">
            <v>0</v>
          </cell>
          <cell r="P5760">
            <v>1690</v>
          </cell>
          <cell r="V5760" t="str">
            <v>Available</v>
          </cell>
        </row>
        <row r="5761">
          <cell r="E5761">
            <v>10610009</v>
          </cell>
          <cell r="H5761">
            <v>22.300000000000004</v>
          </cell>
          <cell r="I5761">
            <v>803.00999999999988</v>
          </cell>
          <cell r="J5761">
            <v>0</v>
          </cell>
          <cell r="K5761">
            <v>0</v>
          </cell>
          <cell r="M5761">
            <v>0</v>
          </cell>
          <cell r="P5761">
            <v>803</v>
          </cell>
          <cell r="V5761" t="str">
            <v>Available</v>
          </cell>
        </row>
        <row r="5762">
          <cell r="E5762">
            <v>10610009</v>
          </cell>
          <cell r="H5762">
            <v>45.6</v>
          </cell>
          <cell r="I5762">
            <v>1613.6600000000003</v>
          </cell>
          <cell r="J5762">
            <v>0</v>
          </cell>
          <cell r="K5762">
            <v>0</v>
          </cell>
          <cell r="M5762">
            <v>0</v>
          </cell>
          <cell r="P5762">
            <v>1614</v>
          </cell>
          <cell r="V5762" t="str">
            <v>Available</v>
          </cell>
        </row>
        <row r="5763">
          <cell r="E5763">
            <v>10610009</v>
          </cell>
          <cell r="H5763">
            <v>11.7</v>
          </cell>
          <cell r="I5763">
            <v>370.21000000000004</v>
          </cell>
          <cell r="J5763">
            <v>0</v>
          </cell>
          <cell r="K5763">
            <v>0</v>
          </cell>
          <cell r="M5763">
            <v>0</v>
          </cell>
          <cell r="P5763">
            <v>370</v>
          </cell>
          <cell r="V5763" t="str">
            <v>Available</v>
          </cell>
        </row>
        <row r="5764">
          <cell r="E5764">
            <v>10610009</v>
          </cell>
          <cell r="H5764">
            <v>15.5</v>
          </cell>
          <cell r="I5764">
            <v>764.29000000000008</v>
          </cell>
          <cell r="J5764">
            <v>0</v>
          </cell>
          <cell r="K5764">
            <v>0</v>
          </cell>
          <cell r="M5764">
            <v>0</v>
          </cell>
          <cell r="P5764">
            <v>764</v>
          </cell>
          <cell r="V5764" t="str">
            <v>Available</v>
          </cell>
        </row>
        <row r="5765">
          <cell r="E5765">
            <v>10610009</v>
          </cell>
          <cell r="H5765">
            <v>47.8</v>
          </cell>
          <cell r="I5765">
            <v>2307.8000000000002</v>
          </cell>
          <cell r="J5765">
            <v>0</v>
          </cell>
          <cell r="K5765">
            <v>0</v>
          </cell>
          <cell r="M5765">
            <v>0</v>
          </cell>
          <cell r="P5765">
            <v>2308</v>
          </cell>
          <cell r="V5765" t="str">
            <v>Available</v>
          </cell>
        </row>
        <row r="5766">
          <cell r="E5766">
            <v>10610009</v>
          </cell>
          <cell r="H5766">
            <v>21.4</v>
          </cell>
          <cell r="I5766">
            <v>1852.0600000000002</v>
          </cell>
          <cell r="J5766">
            <v>0</v>
          </cell>
          <cell r="K5766">
            <v>0</v>
          </cell>
          <cell r="M5766">
            <v>0</v>
          </cell>
          <cell r="P5766">
            <v>1852</v>
          </cell>
          <cell r="V5766" t="str">
            <v>Available</v>
          </cell>
        </row>
        <row r="5767">
          <cell r="E5767">
            <v>10610009</v>
          </cell>
          <cell r="H5767">
            <v>49.599999999999994</v>
          </cell>
          <cell r="I5767">
            <v>1907.6100000000001</v>
          </cell>
          <cell r="J5767">
            <v>0</v>
          </cell>
          <cell r="K5767">
            <v>0</v>
          </cell>
          <cell r="M5767">
            <v>0</v>
          </cell>
          <cell r="P5767">
            <v>1908</v>
          </cell>
          <cell r="V5767" t="str">
            <v>Available</v>
          </cell>
        </row>
        <row r="5768">
          <cell r="E5768">
            <v>10610009</v>
          </cell>
          <cell r="H5768">
            <v>23.2</v>
          </cell>
          <cell r="I5768">
            <v>924.19</v>
          </cell>
          <cell r="J5768">
            <v>0</v>
          </cell>
          <cell r="K5768">
            <v>0</v>
          </cell>
          <cell r="M5768">
            <v>0</v>
          </cell>
          <cell r="P5768">
            <v>924</v>
          </cell>
          <cell r="V5768" t="str">
            <v>Available</v>
          </cell>
        </row>
        <row r="5769">
          <cell r="E5769">
            <v>10610009</v>
          </cell>
          <cell r="H5769">
            <v>2.8</v>
          </cell>
          <cell r="I5769">
            <v>241.02</v>
          </cell>
          <cell r="J5769">
            <v>0</v>
          </cell>
          <cell r="K5769">
            <v>0</v>
          </cell>
          <cell r="M5769">
            <v>0</v>
          </cell>
          <cell r="P5769">
            <v>241</v>
          </cell>
          <cell r="V5769" t="str">
            <v>Available</v>
          </cell>
        </row>
        <row r="5770">
          <cell r="E5770">
            <v>10610009</v>
          </cell>
          <cell r="H5770">
            <v>108.99999999999999</v>
          </cell>
          <cell r="I5770">
            <v>6420.64</v>
          </cell>
          <cell r="J5770">
            <v>0</v>
          </cell>
          <cell r="K5770">
            <v>0</v>
          </cell>
          <cell r="M5770">
            <v>0</v>
          </cell>
          <cell r="P5770">
            <v>6421</v>
          </cell>
          <cell r="V5770" t="str">
            <v>Available</v>
          </cell>
        </row>
        <row r="5771">
          <cell r="E5771">
            <v>10610009</v>
          </cell>
          <cell r="H5771">
            <v>57.3</v>
          </cell>
          <cell r="I5771">
            <v>2687.1900000000005</v>
          </cell>
          <cell r="J5771">
            <v>0</v>
          </cell>
          <cell r="K5771">
            <v>0</v>
          </cell>
          <cell r="M5771">
            <v>0</v>
          </cell>
          <cell r="P5771">
            <v>2687</v>
          </cell>
          <cell r="V5771" t="str">
            <v>Available</v>
          </cell>
        </row>
        <row r="5772">
          <cell r="E5772">
            <v>10610009</v>
          </cell>
          <cell r="H5772">
            <v>14.7</v>
          </cell>
          <cell r="I5772">
            <v>988.82999999999993</v>
          </cell>
          <cell r="J5772">
            <v>0</v>
          </cell>
          <cell r="K5772">
            <v>0</v>
          </cell>
          <cell r="M5772">
            <v>0</v>
          </cell>
          <cell r="P5772">
            <v>989</v>
          </cell>
          <cell r="V5772" t="str">
            <v>Available</v>
          </cell>
        </row>
        <row r="5773">
          <cell r="E5773">
            <v>10610009</v>
          </cell>
          <cell r="H5773">
            <v>40.1</v>
          </cell>
          <cell r="I5773">
            <v>1495.1100000000001</v>
          </cell>
          <cell r="J5773">
            <v>0</v>
          </cell>
          <cell r="K5773">
            <v>0</v>
          </cell>
          <cell r="M5773">
            <v>0</v>
          </cell>
          <cell r="P5773">
            <v>1495</v>
          </cell>
          <cell r="V5773" t="str">
            <v>Available</v>
          </cell>
        </row>
        <row r="5774">
          <cell r="E5774">
            <v>10610009</v>
          </cell>
          <cell r="H5774">
            <v>25.300000000000004</v>
          </cell>
          <cell r="I5774">
            <v>1572.6699999999998</v>
          </cell>
          <cell r="J5774">
            <v>0</v>
          </cell>
          <cell r="K5774">
            <v>0</v>
          </cell>
          <cell r="M5774">
            <v>0</v>
          </cell>
          <cell r="P5774">
            <v>1573</v>
          </cell>
          <cell r="V5774" t="str">
            <v>Available</v>
          </cell>
        </row>
        <row r="5775">
          <cell r="E5775">
            <v>10610009</v>
          </cell>
          <cell r="H5775">
            <v>44.70000000000001</v>
          </cell>
          <cell r="I5775">
            <v>2444.0100000000002</v>
          </cell>
          <cell r="J5775">
            <v>0</v>
          </cell>
          <cell r="K5775">
            <v>0</v>
          </cell>
          <cell r="M5775">
            <v>0</v>
          </cell>
          <cell r="P5775">
            <v>2444</v>
          </cell>
          <cell r="V5775" t="str">
            <v>Available</v>
          </cell>
        </row>
        <row r="5776">
          <cell r="E5776">
            <v>10610009</v>
          </cell>
          <cell r="H5776">
            <v>40</v>
          </cell>
          <cell r="I5776">
            <v>1664.53</v>
          </cell>
          <cell r="J5776">
            <v>0</v>
          </cell>
          <cell r="K5776">
            <v>0</v>
          </cell>
          <cell r="M5776">
            <v>0</v>
          </cell>
          <cell r="P5776">
            <v>1665</v>
          </cell>
          <cell r="V5776" t="str">
            <v>Available</v>
          </cell>
        </row>
        <row r="5777">
          <cell r="E5777">
            <v>10610009</v>
          </cell>
          <cell r="H5777">
            <v>14.8</v>
          </cell>
          <cell r="I5777">
            <v>806.73</v>
          </cell>
          <cell r="J5777">
            <v>0</v>
          </cell>
          <cell r="K5777">
            <v>0</v>
          </cell>
          <cell r="M5777">
            <v>0</v>
          </cell>
          <cell r="P5777">
            <v>807</v>
          </cell>
          <cell r="V5777" t="str">
            <v>Available</v>
          </cell>
        </row>
        <row r="5778">
          <cell r="E5778">
            <v>10610009</v>
          </cell>
          <cell r="H5778">
            <v>87.09999999999998</v>
          </cell>
          <cell r="I5778">
            <v>3328.1299999999997</v>
          </cell>
          <cell r="J5778">
            <v>0</v>
          </cell>
          <cell r="K5778">
            <v>0</v>
          </cell>
          <cell r="M5778">
            <v>0</v>
          </cell>
          <cell r="P5778">
            <v>3328</v>
          </cell>
          <cell r="V5778" t="str">
            <v>Available</v>
          </cell>
        </row>
        <row r="5779">
          <cell r="E5779">
            <v>10610009</v>
          </cell>
          <cell r="H5779">
            <v>38.1</v>
          </cell>
          <cell r="I5779">
            <v>1994.9600000000005</v>
          </cell>
          <cell r="J5779">
            <v>0</v>
          </cell>
          <cell r="K5779">
            <v>0</v>
          </cell>
          <cell r="M5779">
            <v>0</v>
          </cell>
          <cell r="P5779">
            <v>1995</v>
          </cell>
          <cell r="V5779" t="str">
            <v>Available</v>
          </cell>
        </row>
        <row r="5780">
          <cell r="E5780">
            <v>10610009</v>
          </cell>
          <cell r="H5780">
            <v>24.8</v>
          </cell>
          <cell r="I5780">
            <v>986.9</v>
          </cell>
          <cell r="J5780">
            <v>0</v>
          </cell>
          <cell r="K5780">
            <v>0</v>
          </cell>
          <cell r="M5780">
            <v>0</v>
          </cell>
          <cell r="P5780">
            <v>987</v>
          </cell>
          <cell r="V5780" t="str">
            <v>Available</v>
          </cell>
        </row>
        <row r="5781">
          <cell r="E5781">
            <v>10610009</v>
          </cell>
          <cell r="H5781">
            <v>42.5</v>
          </cell>
          <cell r="I5781">
            <v>1510.33</v>
          </cell>
          <cell r="J5781">
            <v>0</v>
          </cell>
          <cell r="K5781">
            <v>0</v>
          </cell>
          <cell r="M5781">
            <v>0</v>
          </cell>
          <cell r="P5781">
            <v>1510</v>
          </cell>
          <cell r="V5781" t="str">
            <v>Available</v>
          </cell>
        </row>
        <row r="5782">
          <cell r="E5782">
            <v>10610010</v>
          </cell>
          <cell r="H5782">
            <v>97.000000000000014</v>
          </cell>
          <cell r="I5782">
            <v>4491.07</v>
          </cell>
          <cell r="J5782">
            <v>0</v>
          </cell>
          <cell r="K5782">
            <v>0</v>
          </cell>
          <cell r="M5782">
            <v>0</v>
          </cell>
          <cell r="P5782">
            <v>4452</v>
          </cell>
          <cell r="V5782" t="str">
            <v>Available</v>
          </cell>
        </row>
        <row r="5783">
          <cell r="E5783">
            <v>10610010</v>
          </cell>
          <cell r="H5783">
            <v>25.200000000000003</v>
          </cell>
          <cell r="I5783">
            <v>1123.8</v>
          </cell>
          <cell r="J5783">
            <v>0</v>
          </cell>
          <cell r="K5783">
            <v>0</v>
          </cell>
          <cell r="M5783">
            <v>0</v>
          </cell>
          <cell r="P5783">
            <v>1124</v>
          </cell>
          <cell r="V5783" t="str">
            <v>Available</v>
          </cell>
        </row>
        <row r="5784">
          <cell r="E5784">
            <v>10610010</v>
          </cell>
          <cell r="H5784">
            <v>11.1</v>
          </cell>
          <cell r="I5784">
            <v>1005.8399999999999</v>
          </cell>
          <cell r="J5784">
            <v>0</v>
          </cell>
          <cell r="K5784">
            <v>0</v>
          </cell>
          <cell r="M5784">
            <v>0</v>
          </cell>
          <cell r="P5784">
            <v>1006</v>
          </cell>
          <cell r="V5784" t="str">
            <v>Available</v>
          </cell>
        </row>
        <row r="5785">
          <cell r="E5785">
            <v>10610010</v>
          </cell>
          <cell r="H5785">
            <v>34.29999999999999</v>
          </cell>
          <cell r="I5785">
            <v>1382.58</v>
          </cell>
          <cell r="J5785">
            <v>0</v>
          </cell>
          <cell r="K5785">
            <v>0</v>
          </cell>
          <cell r="M5785">
            <v>0</v>
          </cell>
          <cell r="P5785">
            <v>1383</v>
          </cell>
          <cell r="V5785" t="str">
            <v>Available</v>
          </cell>
        </row>
        <row r="5786">
          <cell r="E5786">
            <v>10610010</v>
          </cell>
          <cell r="H5786">
            <v>26.400000000000002</v>
          </cell>
          <cell r="I5786">
            <v>1189.8</v>
          </cell>
          <cell r="J5786">
            <v>0</v>
          </cell>
          <cell r="K5786">
            <v>0</v>
          </cell>
          <cell r="M5786">
            <v>0</v>
          </cell>
          <cell r="P5786">
            <v>1190</v>
          </cell>
          <cell r="V5786" t="str">
            <v>Available</v>
          </cell>
        </row>
        <row r="5787">
          <cell r="E5787">
            <v>10610010</v>
          </cell>
          <cell r="H5787">
            <v>13.7</v>
          </cell>
          <cell r="I5787">
            <v>562.59</v>
          </cell>
          <cell r="J5787">
            <v>0</v>
          </cell>
          <cell r="K5787">
            <v>0</v>
          </cell>
          <cell r="M5787">
            <v>0</v>
          </cell>
          <cell r="P5787">
            <v>563</v>
          </cell>
          <cell r="V5787" t="str">
            <v>Available</v>
          </cell>
        </row>
        <row r="5788">
          <cell r="E5788">
            <v>10610010</v>
          </cell>
          <cell r="H5788">
            <v>23.3</v>
          </cell>
          <cell r="I5788">
            <v>962.14999999999986</v>
          </cell>
          <cell r="J5788">
            <v>0</v>
          </cell>
          <cell r="K5788">
            <v>0</v>
          </cell>
          <cell r="M5788">
            <v>0</v>
          </cell>
          <cell r="P5788">
            <v>962</v>
          </cell>
          <cell r="V5788" t="str">
            <v>Available</v>
          </cell>
        </row>
        <row r="5789">
          <cell r="E5789">
            <v>10610010</v>
          </cell>
          <cell r="H5789">
            <v>15.799999999999999</v>
          </cell>
          <cell r="I5789">
            <v>572.78</v>
          </cell>
          <cell r="J5789">
            <v>0</v>
          </cell>
          <cell r="K5789">
            <v>0</v>
          </cell>
          <cell r="M5789">
            <v>0</v>
          </cell>
          <cell r="P5789">
            <v>573</v>
          </cell>
          <cell r="V5789" t="str">
            <v>Available</v>
          </cell>
        </row>
        <row r="5790">
          <cell r="E5790">
            <v>10610010</v>
          </cell>
          <cell r="H5790">
            <v>61.100000000000009</v>
          </cell>
          <cell r="I5790">
            <v>2790.7100000000005</v>
          </cell>
          <cell r="J5790">
            <v>0</v>
          </cell>
          <cell r="K5790">
            <v>0</v>
          </cell>
          <cell r="M5790">
            <v>0</v>
          </cell>
          <cell r="P5790">
            <v>2791</v>
          </cell>
          <cell r="V5790" t="str">
            <v>Available</v>
          </cell>
        </row>
        <row r="5791">
          <cell r="E5791">
            <v>10610010</v>
          </cell>
          <cell r="H5791">
            <v>34.500000000000007</v>
          </cell>
          <cell r="I5791">
            <v>1412.34</v>
          </cell>
          <cell r="J5791">
            <v>0</v>
          </cell>
          <cell r="K5791">
            <v>0</v>
          </cell>
          <cell r="M5791">
            <v>0</v>
          </cell>
          <cell r="P5791">
            <v>1412</v>
          </cell>
          <cell r="V5791" t="str">
            <v>Available</v>
          </cell>
        </row>
        <row r="5792">
          <cell r="E5792">
            <v>10610010</v>
          </cell>
          <cell r="H5792">
            <v>28.1</v>
          </cell>
          <cell r="I5792">
            <v>1118.7600000000002</v>
          </cell>
          <cell r="J5792">
            <v>0</v>
          </cell>
          <cell r="K5792">
            <v>0</v>
          </cell>
          <cell r="M5792">
            <v>0</v>
          </cell>
          <cell r="P5792">
            <v>1119</v>
          </cell>
          <cell r="V5792" t="str">
            <v>Available</v>
          </cell>
        </row>
        <row r="5793">
          <cell r="E5793">
            <v>10610010</v>
          </cell>
          <cell r="H5793">
            <v>8.9</v>
          </cell>
          <cell r="I5793">
            <v>493.13</v>
          </cell>
          <cell r="J5793">
            <v>0</v>
          </cell>
          <cell r="K5793">
            <v>0</v>
          </cell>
          <cell r="M5793">
            <v>0</v>
          </cell>
          <cell r="P5793">
            <v>493</v>
          </cell>
          <cell r="V5793" t="str">
            <v>Available</v>
          </cell>
        </row>
        <row r="5794">
          <cell r="E5794">
            <v>10610010</v>
          </cell>
          <cell r="H5794">
            <v>1.8</v>
          </cell>
          <cell r="I5794">
            <v>56.88</v>
          </cell>
          <cell r="J5794">
            <v>0</v>
          </cell>
          <cell r="K5794">
            <v>0</v>
          </cell>
          <cell r="M5794">
            <v>0</v>
          </cell>
          <cell r="P5794">
            <v>57</v>
          </cell>
          <cell r="V5794" t="str">
            <v>Available</v>
          </cell>
        </row>
        <row r="5795">
          <cell r="E5795">
            <v>10610010</v>
          </cell>
          <cell r="H5795">
            <v>10.8</v>
          </cell>
          <cell r="I5795">
            <v>709.85</v>
          </cell>
          <cell r="J5795">
            <v>0</v>
          </cell>
          <cell r="K5795">
            <v>0</v>
          </cell>
          <cell r="M5795">
            <v>0</v>
          </cell>
          <cell r="P5795">
            <v>710</v>
          </cell>
          <cell r="V5795" t="str">
            <v>Available</v>
          </cell>
        </row>
        <row r="5796">
          <cell r="E5796">
            <v>10610010</v>
          </cell>
          <cell r="H5796">
            <v>24</v>
          </cell>
          <cell r="I5796">
            <v>983.75999999999988</v>
          </cell>
          <cell r="J5796">
            <v>0</v>
          </cell>
          <cell r="K5796">
            <v>0</v>
          </cell>
          <cell r="M5796">
            <v>0</v>
          </cell>
          <cell r="P5796">
            <v>984</v>
          </cell>
          <cell r="V5796" t="str">
            <v>Available</v>
          </cell>
        </row>
        <row r="5797">
          <cell r="E5797">
            <v>10610010</v>
          </cell>
          <cell r="H5797">
            <v>13.3</v>
          </cell>
          <cell r="I5797">
            <v>777.86000000000013</v>
          </cell>
          <cell r="J5797">
            <v>0</v>
          </cell>
          <cell r="K5797">
            <v>0</v>
          </cell>
          <cell r="M5797">
            <v>0</v>
          </cell>
          <cell r="P5797">
            <v>778</v>
          </cell>
          <cell r="V5797" t="str">
            <v>Available</v>
          </cell>
        </row>
        <row r="5798">
          <cell r="E5798">
            <v>10610010</v>
          </cell>
          <cell r="H5798">
            <v>4.7</v>
          </cell>
          <cell r="I5798">
            <v>369.54999999999995</v>
          </cell>
          <cell r="J5798">
            <v>0</v>
          </cell>
          <cell r="K5798">
            <v>0</v>
          </cell>
          <cell r="M5798">
            <v>0</v>
          </cell>
          <cell r="P5798">
            <v>370</v>
          </cell>
          <cell r="V5798" t="str">
            <v>Available</v>
          </cell>
        </row>
        <row r="5799">
          <cell r="E5799">
            <v>10610010</v>
          </cell>
          <cell r="H5799">
            <v>9.1999999999999993</v>
          </cell>
          <cell r="I5799">
            <v>767.74</v>
          </cell>
          <cell r="J5799">
            <v>0</v>
          </cell>
          <cell r="K5799">
            <v>0</v>
          </cell>
          <cell r="M5799">
            <v>0</v>
          </cell>
          <cell r="P5799">
            <v>768</v>
          </cell>
          <cell r="V5799" t="str">
            <v>Available</v>
          </cell>
        </row>
        <row r="5800">
          <cell r="E5800">
            <v>10610017</v>
          </cell>
          <cell r="H5800">
            <v>7.7999999999999989</v>
          </cell>
          <cell r="I5800">
            <v>342.99</v>
          </cell>
          <cell r="J5800">
            <v>0</v>
          </cell>
          <cell r="K5800">
            <v>0</v>
          </cell>
          <cell r="M5800">
            <v>0</v>
          </cell>
          <cell r="P5800">
            <v>343</v>
          </cell>
          <cell r="V5800" t="str">
            <v>Available</v>
          </cell>
        </row>
        <row r="5801">
          <cell r="E5801">
            <v>10610017</v>
          </cell>
          <cell r="H5801">
            <v>34.299999999999997</v>
          </cell>
          <cell r="I5801">
            <v>1598.9499999999998</v>
          </cell>
          <cell r="J5801">
            <v>0</v>
          </cell>
          <cell r="K5801">
            <v>0</v>
          </cell>
          <cell r="M5801">
            <v>0</v>
          </cell>
          <cell r="P5801">
            <v>1599</v>
          </cell>
          <cell r="V5801" t="str">
            <v>Available</v>
          </cell>
        </row>
        <row r="5802">
          <cell r="E5802">
            <v>10610017</v>
          </cell>
          <cell r="H5802">
            <v>33.6</v>
          </cell>
          <cell r="I5802">
            <v>1554.6699999999998</v>
          </cell>
          <cell r="J5802">
            <v>0</v>
          </cell>
          <cell r="K5802">
            <v>0</v>
          </cell>
          <cell r="M5802">
            <v>0</v>
          </cell>
          <cell r="P5802">
            <v>1555</v>
          </cell>
          <cell r="V5802" t="str">
            <v>Available</v>
          </cell>
        </row>
        <row r="5803">
          <cell r="E5803">
            <v>10610017</v>
          </cell>
          <cell r="H5803">
            <v>6.3</v>
          </cell>
          <cell r="I5803">
            <v>309.79999999999995</v>
          </cell>
          <cell r="J5803">
            <v>0</v>
          </cell>
          <cell r="K5803">
            <v>0</v>
          </cell>
          <cell r="M5803">
            <v>0</v>
          </cell>
          <cell r="P5803">
            <v>310</v>
          </cell>
          <cell r="V5803" t="str">
            <v>Available</v>
          </cell>
        </row>
        <row r="5804">
          <cell r="E5804">
            <v>10610017</v>
          </cell>
          <cell r="H5804">
            <v>111.39999999999999</v>
          </cell>
          <cell r="I5804">
            <v>5049.0600000000004</v>
          </cell>
          <cell r="J5804">
            <v>0</v>
          </cell>
          <cell r="K5804">
            <v>0</v>
          </cell>
          <cell r="M5804">
            <v>0</v>
          </cell>
          <cell r="P5804">
            <v>5049</v>
          </cell>
          <cell r="V5804" t="str">
            <v>Available</v>
          </cell>
        </row>
        <row r="5805">
          <cell r="E5805">
            <v>10610017</v>
          </cell>
          <cell r="H5805">
            <v>4.5999999999999996</v>
          </cell>
          <cell r="I5805">
            <v>160.38</v>
          </cell>
          <cell r="J5805">
            <v>0</v>
          </cell>
          <cell r="K5805">
            <v>0</v>
          </cell>
          <cell r="M5805">
            <v>0</v>
          </cell>
          <cell r="P5805">
            <v>160</v>
          </cell>
          <cell r="V5805" t="str">
            <v>Available</v>
          </cell>
        </row>
        <row r="5806">
          <cell r="E5806">
            <v>10610017</v>
          </cell>
          <cell r="H5806">
            <v>11</v>
          </cell>
          <cell r="I5806">
            <v>430.63000000000005</v>
          </cell>
          <cell r="J5806">
            <v>0</v>
          </cell>
          <cell r="K5806">
            <v>0</v>
          </cell>
          <cell r="M5806">
            <v>0</v>
          </cell>
          <cell r="P5806">
            <v>431</v>
          </cell>
          <cell r="V5806" t="str">
            <v>Available</v>
          </cell>
        </row>
        <row r="5807">
          <cell r="E5807">
            <v>10610017</v>
          </cell>
          <cell r="H5807">
            <v>20.5</v>
          </cell>
          <cell r="I5807">
            <v>712.53000000000009</v>
          </cell>
          <cell r="J5807">
            <v>0</v>
          </cell>
          <cell r="K5807">
            <v>0</v>
          </cell>
          <cell r="M5807">
            <v>0</v>
          </cell>
          <cell r="P5807">
            <v>713</v>
          </cell>
          <cell r="V5807" t="str">
            <v>Available</v>
          </cell>
        </row>
        <row r="5808">
          <cell r="E5808">
            <v>10610017</v>
          </cell>
          <cell r="H5808">
            <v>13</v>
          </cell>
          <cell r="I5808">
            <v>968.44</v>
          </cell>
          <cell r="J5808">
            <v>0</v>
          </cell>
          <cell r="K5808">
            <v>0</v>
          </cell>
          <cell r="M5808">
            <v>0</v>
          </cell>
          <cell r="P5808">
            <v>968</v>
          </cell>
          <cell r="V5808" t="str">
            <v>Available</v>
          </cell>
        </row>
        <row r="5809">
          <cell r="E5809">
            <v>10610017</v>
          </cell>
          <cell r="H5809">
            <v>10.8</v>
          </cell>
          <cell r="I5809">
            <v>393</v>
          </cell>
          <cell r="J5809">
            <v>0</v>
          </cell>
          <cell r="K5809">
            <v>0</v>
          </cell>
          <cell r="M5809">
            <v>0</v>
          </cell>
          <cell r="P5809">
            <v>393</v>
          </cell>
          <cell r="V5809" t="str">
            <v>Available</v>
          </cell>
        </row>
        <row r="5810">
          <cell r="E5810">
            <v>10610018</v>
          </cell>
          <cell r="H5810">
            <v>148.20000000000002</v>
          </cell>
          <cell r="I5810">
            <v>5820.2300000000005</v>
          </cell>
          <cell r="J5810">
            <v>0</v>
          </cell>
          <cell r="K5810">
            <v>0</v>
          </cell>
          <cell r="M5810">
            <v>5600</v>
          </cell>
          <cell r="P5810">
            <v>220</v>
          </cell>
          <cell r="V5810" t="str">
            <v>Available</v>
          </cell>
        </row>
        <row r="5811">
          <cell r="E5811">
            <v>10610018</v>
          </cell>
          <cell r="H5811">
            <v>16.100000000000001</v>
          </cell>
          <cell r="I5811">
            <v>1356.61</v>
          </cell>
          <cell r="J5811">
            <v>0</v>
          </cell>
          <cell r="K5811">
            <v>0</v>
          </cell>
          <cell r="M5811">
            <v>0</v>
          </cell>
          <cell r="P5811">
            <v>1357</v>
          </cell>
          <cell r="V5811" t="str">
            <v>Available</v>
          </cell>
        </row>
        <row r="5812">
          <cell r="E5812">
            <v>10610018</v>
          </cell>
          <cell r="H5812">
            <v>3.4000000000000004</v>
          </cell>
          <cell r="I5812">
            <v>294.82</v>
          </cell>
          <cell r="J5812">
            <v>0</v>
          </cell>
          <cell r="K5812">
            <v>0</v>
          </cell>
          <cell r="M5812">
            <v>0</v>
          </cell>
          <cell r="P5812">
            <v>295</v>
          </cell>
          <cell r="V5812" t="str">
            <v>Available</v>
          </cell>
        </row>
        <row r="5813">
          <cell r="E5813">
            <v>10610018</v>
          </cell>
          <cell r="H5813">
            <v>30</v>
          </cell>
          <cell r="I5813">
            <v>1238.1400000000001</v>
          </cell>
          <cell r="J5813">
            <v>0</v>
          </cell>
          <cell r="K5813">
            <v>0</v>
          </cell>
          <cell r="M5813">
            <v>1238</v>
          </cell>
          <cell r="P5813">
            <v>0</v>
          </cell>
          <cell r="V5813" t="str">
            <v>Available</v>
          </cell>
        </row>
        <row r="5814">
          <cell r="E5814">
            <v>10610018</v>
          </cell>
          <cell r="H5814">
            <v>22.7</v>
          </cell>
          <cell r="I5814">
            <v>895.71</v>
          </cell>
          <cell r="J5814">
            <v>0</v>
          </cell>
          <cell r="K5814">
            <v>0</v>
          </cell>
          <cell r="M5814">
            <v>0</v>
          </cell>
          <cell r="P5814">
            <v>896</v>
          </cell>
          <cell r="V5814" t="str">
            <v>Available</v>
          </cell>
        </row>
        <row r="5815">
          <cell r="E5815">
            <v>10610018</v>
          </cell>
          <cell r="H5815">
            <v>41.7</v>
          </cell>
          <cell r="I5815">
            <v>2505.46</v>
          </cell>
          <cell r="J5815">
            <v>0</v>
          </cell>
          <cell r="K5815">
            <v>0</v>
          </cell>
          <cell r="M5815">
            <v>0</v>
          </cell>
          <cell r="P5815">
            <v>2505</v>
          </cell>
          <cell r="V5815" t="str">
            <v>Available</v>
          </cell>
        </row>
        <row r="5816">
          <cell r="E5816">
            <v>10610018</v>
          </cell>
          <cell r="H5816">
            <v>1.9</v>
          </cell>
          <cell r="I5816">
            <v>130.4</v>
          </cell>
          <cell r="J5816">
            <v>0</v>
          </cell>
          <cell r="K5816">
            <v>0</v>
          </cell>
          <cell r="M5816">
            <v>0</v>
          </cell>
          <cell r="P5816">
            <v>130</v>
          </cell>
          <cell r="V5816" t="str">
            <v>Available</v>
          </cell>
        </row>
        <row r="5817">
          <cell r="E5817">
            <v>10610018</v>
          </cell>
          <cell r="H5817">
            <v>25</v>
          </cell>
          <cell r="I5817">
            <v>933.3</v>
          </cell>
          <cell r="J5817">
            <v>0</v>
          </cell>
          <cell r="K5817">
            <v>0</v>
          </cell>
          <cell r="M5817">
            <v>0</v>
          </cell>
          <cell r="P5817">
            <v>933</v>
          </cell>
          <cell r="V5817" t="str">
            <v>Available</v>
          </cell>
        </row>
        <row r="5818">
          <cell r="E5818">
            <v>10610018</v>
          </cell>
          <cell r="H5818">
            <v>27.5</v>
          </cell>
          <cell r="I5818">
            <v>999.64999999999986</v>
          </cell>
          <cell r="J5818">
            <v>0</v>
          </cell>
          <cell r="K5818">
            <v>0</v>
          </cell>
          <cell r="M5818">
            <v>0</v>
          </cell>
          <cell r="P5818">
            <v>1000</v>
          </cell>
          <cell r="V5818" t="str">
            <v>Not Available</v>
          </cell>
        </row>
        <row r="5819">
          <cell r="E5819">
            <v>10610018</v>
          </cell>
          <cell r="H5819">
            <v>31.900000000000002</v>
          </cell>
          <cell r="I5819">
            <v>1181.8599999999999</v>
          </cell>
          <cell r="J5819">
            <v>0</v>
          </cell>
          <cell r="K5819">
            <v>0</v>
          </cell>
          <cell r="M5819">
            <v>0</v>
          </cell>
          <cell r="P5819">
            <v>1182</v>
          </cell>
          <cell r="V5819" t="str">
            <v>Not Available</v>
          </cell>
        </row>
        <row r="5820">
          <cell r="E5820">
            <v>10610018</v>
          </cell>
          <cell r="H5820">
            <v>49.199999999999996</v>
          </cell>
          <cell r="I5820">
            <v>1898.5800000000002</v>
          </cell>
          <cell r="J5820">
            <v>0</v>
          </cell>
          <cell r="K5820">
            <v>0</v>
          </cell>
          <cell r="M5820">
            <v>0</v>
          </cell>
          <cell r="P5820">
            <v>1899</v>
          </cell>
          <cell r="V5820" t="str">
            <v>Not Available</v>
          </cell>
        </row>
        <row r="5821">
          <cell r="E5821">
            <v>10610018</v>
          </cell>
          <cell r="H5821">
            <v>18.600000000000001</v>
          </cell>
          <cell r="I5821">
            <v>681.95</v>
          </cell>
          <cell r="J5821">
            <v>0</v>
          </cell>
          <cell r="K5821">
            <v>0</v>
          </cell>
          <cell r="M5821">
            <v>0</v>
          </cell>
          <cell r="P5821">
            <v>682</v>
          </cell>
          <cell r="V5821" t="str">
            <v>Not Available</v>
          </cell>
        </row>
        <row r="5822">
          <cell r="E5822">
            <v>10610018</v>
          </cell>
          <cell r="H5822">
            <v>19.599999999999998</v>
          </cell>
          <cell r="I5822">
            <v>706.62</v>
          </cell>
          <cell r="J5822">
            <v>0</v>
          </cell>
          <cell r="K5822">
            <v>0</v>
          </cell>
          <cell r="M5822">
            <v>0</v>
          </cell>
          <cell r="P5822">
            <v>707</v>
          </cell>
          <cell r="V5822" t="str">
            <v>Not Available</v>
          </cell>
        </row>
        <row r="5823">
          <cell r="E5823">
            <v>10610018</v>
          </cell>
          <cell r="H5823">
            <v>6.1</v>
          </cell>
          <cell r="I5823">
            <v>501.34999999999997</v>
          </cell>
          <cell r="J5823">
            <v>0</v>
          </cell>
          <cell r="K5823">
            <v>0</v>
          </cell>
          <cell r="M5823">
            <v>0</v>
          </cell>
          <cell r="P5823">
            <v>501</v>
          </cell>
          <cell r="V5823" t="str">
            <v>Not Available</v>
          </cell>
        </row>
        <row r="5824">
          <cell r="E5824">
            <v>10610018</v>
          </cell>
          <cell r="H5824">
            <v>19.299999999999997</v>
          </cell>
          <cell r="I5824">
            <v>1319.4</v>
          </cell>
          <cell r="J5824">
            <v>0</v>
          </cell>
          <cell r="K5824">
            <v>0</v>
          </cell>
          <cell r="M5824">
            <v>1319</v>
          </cell>
          <cell r="P5824">
            <v>0</v>
          </cell>
          <cell r="V5824" t="str">
            <v>Available</v>
          </cell>
        </row>
        <row r="5825">
          <cell r="E5825">
            <v>10610018</v>
          </cell>
          <cell r="H5825">
            <v>86.399999999999991</v>
          </cell>
          <cell r="I5825">
            <v>3584.670000000001</v>
          </cell>
          <cell r="J5825">
            <v>0</v>
          </cell>
          <cell r="K5825">
            <v>0</v>
          </cell>
          <cell r="M5825">
            <v>0</v>
          </cell>
          <cell r="P5825">
            <v>3585</v>
          </cell>
          <cell r="V5825" t="str">
            <v>Not Available</v>
          </cell>
        </row>
        <row r="5826">
          <cell r="E5826">
            <v>10610018</v>
          </cell>
          <cell r="H5826">
            <v>65</v>
          </cell>
          <cell r="I5826">
            <v>2728.62</v>
          </cell>
          <cell r="J5826">
            <v>0</v>
          </cell>
          <cell r="K5826">
            <v>0</v>
          </cell>
          <cell r="M5826">
            <v>0</v>
          </cell>
          <cell r="P5826">
            <v>2729</v>
          </cell>
          <cell r="V5826" t="str">
            <v>Not Available</v>
          </cell>
        </row>
        <row r="5827">
          <cell r="E5827">
            <v>10610019</v>
          </cell>
          <cell r="H5827">
            <v>88.1</v>
          </cell>
          <cell r="I5827">
            <v>4232.33</v>
          </cell>
          <cell r="J5827">
            <v>0</v>
          </cell>
          <cell r="K5827">
            <v>0</v>
          </cell>
          <cell r="M5827">
            <v>0</v>
          </cell>
          <cell r="P5827">
            <v>4225</v>
          </cell>
          <cell r="V5827" t="str">
            <v>Available</v>
          </cell>
        </row>
        <row r="5828">
          <cell r="E5828">
            <v>10610020</v>
          </cell>
          <cell r="H5828">
            <v>5.6999999999999993</v>
          </cell>
          <cell r="I5828">
            <v>247.09</v>
          </cell>
          <cell r="J5828">
            <v>0</v>
          </cell>
          <cell r="K5828">
            <v>247.09</v>
          </cell>
          <cell r="M5828">
            <v>0</v>
          </cell>
          <cell r="P5828">
            <v>0</v>
          </cell>
          <cell r="V5828" t="str">
            <v>Not Available</v>
          </cell>
        </row>
        <row r="5829">
          <cell r="E5829">
            <v>10610020</v>
          </cell>
          <cell r="H5829">
            <v>68.499999999999986</v>
          </cell>
          <cell r="I5829">
            <v>2727.5900000000006</v>
          </cell>
          <cell r="J5829">
            <v>0</v>
          </cell>
          <cell r="K5829">
            <v>0</v>
          </cell>
          <cell r="M5829">
            <v>0</v>
          </cell>
          <cell r="P5829">
            <v>2728</v>
          </cell>
          <cell r="V5829" t="str">
            <v>Available</v>
          </cell>
        </row>
        <row r="5830">
          <cell r="E5830">
            <v>10610020</v>
          </cell>
          <cell r="H5830">
            <v>39.500000000000007</v>
          </cell>
          <cell r="I5830">
            <v>1348.27</v>
          </cell>
          <cell r="J5830">
            <v>0</v>
          </cell>
          <cell r="K5830">
            <v>0</v>
          </cell>
          <cell r="M5830">
            <v>0</v>
          </cell>
          <cell r="P5830">
            <v>1348</v>
          </cell>
          <cell r="V5830" t="str">
            <v>Available</v>
          </cell>
        </row>
        <row r="5831">
          <cell r="E5831">
            <v>10610020</v>
          </cell>
          <cell r="H5831">
            <v>14.1</v>
          </cell>
          <cell r="I5831">
            <v>564.75</v>
          </cell>
          <cell r="J5831">
            <v>0</v>
          </cell>
          <cell r="K5831">
            <v>0</v>
          </cell>
          <cell r="M5831">
            <v>0</v>
          </cell>
          <cell r="P5831">
            <v>565</v>
          </cell>
          <cell r="V5831" t="str">
            <v>Available</v>
          </cell>
        </row>
        <row r="5832">
          <cell r="E5832">
            <v>10610020</v>
          </cell>
          <cell r="H5832">
            <v>29.500000000000004</v>
          </cell>
          <cell r="I5832">
            <v>1111.29</v>
          </cell>
          <cell r="J5832">
            <v>0</v>
          </cell>
          <cell r="K5832">
            <v>0</v>
          </cell>
          <cell r="M5832">
            <v>0</v>
          </cell>
          <cell r="P5832">
            <v>1111</v>
          </cell>
          <cell r="V5832" t="str">
            <v>Available</v>
          </cell>
        </row>
        <row r="5833">
          <cell r="E5833">
            <v>10610020</v>
          </cell>
          <cell r="H5833">
            <v>27.900000000000002</v>
          </cell>
          <cell r="I5833">
            <v>1808.06</v>
          </cell>
          <cell r="J5833">
            <v>0</v>
          </cell>
          <cell r="K5833">
            <v>0</v>
          </cell>
          <cell r="M5833">
            <v>0</v>
          </cell>
          <cell r="P5833">
            <v>1808</v>
          </cell>
          <cell r="V5833" t="str">
            <v>Available</v>
          </cell>
        </row>
        <row r="5834">
          <cell r="E5834">
            <v>10610020</v>
          </cell>
          <cell r="H5834">
            <v>8.4</v>
          </cell>
          <cell r="I5834">
            <v>591.5</v>
          </cell>
          <cell r="J5834">
            <v>0</v>
          </cell>
          <cell r="K5834">
            <v>0</v>
          </cell>
          <cell r="M5834">
            <v>0</v>
          </cell>
          <cell r="P5834">
            <v>592</v>
          </cell>
          <cell r="V5834" t="str">
            <v>Available</v>
          </cell>
        </row>
        <row r="5835">
          <cell r="E5835">
            <v>10610020</v>
          </cell>
          <cell r="H5835">
            <v>9.4</v>
          </cell>
          <cell r="I5835">
            <v>522.92999999999995</v>
          </cell>
          <cell r="J5835">
            <v>0</v>
          </cell>
          <cell r="K5835">
            <v>0</v>
          </cell>
          <cell r="M5835">
            <v>0</v>
          </cell>
          <cell r="P5835">
            <v>523</v>
          </cell>
          <cell r="V5835" t="str">
            <v>Available</v>
          </cell>
        </row>
        <row r="5836">
          <cell r="E5836">
            <v>10610020</v>
          </cell>
          <cell r="H5836">
            <v>18.600000000000001</v>
          </cell>
          <cell r="I5836">
            <v>770.08</v>
          </cell>
          <cell r="J5836">
            <v>0</v>
          </cell>
          <cell r="K5836">
            <v>0</v>
          </cell>
          <cell r="M5836">
            <v>0</v>
          </cell>
          <cell r="P5836">
            <v>770</v>
          </cell>
          <cell r="V5836" t="str">
            <v>Available</v>
          </cell>
        </row>
        <row r="5837">
          <cell r="E5837">
            <v>10610020</v>
          </cell>
          <cell r="H5837">
            <v>46.099999999999994</v>
          </cell>
          <cell r="I5837">
            <v>1905.75</v>
          </cell>
          <cell r="J5837">
            <v>0</v>
          </cell>
          <cell r="K5837">
            <v>0</v>
          </cell>
          <cell r="M5837">
            <v>0</v>
          </cell>
          <cell r="P5837">
            <v>1906</v>
          </cell>
          <cell r="V5837" t="str">
            <v>Available</v>
          </cell>
        </row>
        <row r="5838">
          <cell r="E5838">
            <v>10610020</v>
          </cell>
          <cell r="H5838">
            <v>24.300000000000004</v>
          </cell>
          <cell r="I5838">
            <v>1080.99</v>
          </cell>
          <cell r="J5838">
            <v>0</v>
          </cell>
          <cell r="K5838">
            <v>0</v>
          </cell>
          <cell r="M5838">
            <v>0</v>
          </cell>
          <cell r="P5838">
            <v>1081</v>
          </cell>
          <cell r="V5838" t="str">
            <v>Available</v>
          </cell>
        </row>
        <row r="5839">
          <cell r="E5839">
            <v>10610022</v>
          </cell>
          <cell r="H5839">
            <v>108.60000000000001</v>
          </cell>
          <cell r="I5839">
            <v>6330.6800000000012</v>
          </cell>
          <cell r="J5839">
            <v>0</v>
          </cell>
          <cell r="K5839">
            <v>0</v>
          </cell>
          <cell r="M5839">
            <v>0</v>
          </cell>
          <cell r="P5839">
            <v>6309</v>
          </cell>
          <cell r="V5839" t="str">
            <v>Available</v>
          </cell>
        </row>
        <row r="5840">
          <cell r="E5840">
            <v>10610022</v>
          </cell>
          <cell r="H5840">
            <v>3</v>
          </cell>
          <cell r="I5840">
            <v>126.82</v>
          </cell>
          <cell r="J5840">
            <v>0</v>
          </cell>
          <cell r="K5840">
            <v>0</v>
          </cell>
          <cell r="M5840">
            <v>0</v>
          </cell>
          <cell r="P5840">
            <v>127</v>
          </cell>
          <cell r="V5840" t="str">
            <v>Available</v>
          </cell>
        </row>
        <row r="5841">
          <cell r="E5841">
            <v>10610022</v>
          </cell>
          <cell r="H5841">
            <v>4.8</v>
          </cell>
          <cell r="I5841">
            <v>330.06</v>
          </cell>
          <cell r="J5841">
            <v>0</v>
          </cell>
          <cell r="K5841">
            <v>0</v>
          </cell>
          <cell r="M5841">
            <v>0</v>
          </cell>
          <cell r="P5841">
            <v>330</v>
          </cell>
          <cell r="V5841" t="str">
            <v>Available</v>
          </cell>
        </row>
        <row r="5842">
          <cell r="E5842">
            <v>10610022</v>
          </cell>
          <cell r="H5842">
            <v>3.4</v>
          </cell>
          <cell r="I5842">
            <v>126.75</v>
          </cell>
          <cell r="J5842">
            <v>0</v>
          </cell>
          <cell r="K5842">
            <v>0</v>
          </cell>
          <cell r="M5842">
            <v>0</v>
          </cell>
          <cell r="P5842">
            <v>127</v>
          </cell>
          <cell r="V5842" t="str">
            <v>Available</v>
          </cell>
        </row>
        <row r="5843">
          <cell r="E5843">
            <v>10610022</v>
          </cell>
          <cell r="H5843">
            <v>101.7</v>
          </cell>
          <cell r="I5843">
            <v>4193.0700000000006</v>
          </cell>
          <cell r="J5843">
            <v>0</v>
          </cell>
          <cell r="K5843">
            <v>0</v>
          </cell>
          <cell r="M5843">
            <v>0</v>
          </cell>
          <cell r="P5843">
            <v>4193</v>
          </cell>
          <cell r="V5843" t="str">
            <v>Available</v>
          </cell>
        </row>
        <row r="5844">
          <cell r="E5844">
            <v>10610024</v>
          </cell>
          <cell r="H5844">
            <v>3.3</v>
          </cell>
          <cell r="I5844">
            <v>132.18</v>
          </cell>
          <cell r="J5844">
            <v>0</v>
          </cell>
          <cell r="K5844">
            <v>132.18</v>
          </cell>
          <cell r="M5844">
            <v>0</v>
          </cell>
          <cell r="P5844">
            <v>0</v>
          </cell>
          <cell r="V5844" t="str">
            <v>Not Available</v>
          </cell>
        </row>
        <row r="5845">
          <cell r="E5845">
            <v>10610024</v>
          </cell>
          <cell r="H5845">
            <v>121.3</v>
          </cell>
          <cell r="I5845">
            <v>4799.880000000001</v>
          </cell>
          <cell r="J5845">
            <v>0</v>
          </cell>
          <cell r="K5845">
            <v>0</v>
          </cell>
          <cell r="M5845">
            <v>0</v>
          </cell>
          <cell r="P5845">
            <v>4800</v>
          </cell>
          <cell r="V5845" t="str">
            <v>Available</v>
          </cell>
        </row>
        <row r="5846">
          <cell r="E5846">
            <v>10610024</v>
          </cell>
          <cell r="H5846">
            <v>10.5</v>
          </cell>
          <cell r="I5846">
            <v>499.57999999999993</v>
          </cell>
          <cell r="J5846">
            <v>0</v>
          </cell>
          <cell r="K5846">
            <v>0</v>
          </cell>
          <cell r="M5846">
            <v>0</v>
          </cell>
          <cell r="P5846">
            <v>500</v>
          </cell>
          <cell r="V5846" t="str">
            <v>Available</v>
          </cell>
        </row>
        <row r="5847">
          <cell r="E5847">
            <v>10610024</v>
          </cell>
          <cell r="H5847">
            <v>13.1</v>
          </cell>
          <cell r="I5847">
            <v>502.37000000000006</v>
          </cell>
          <cell r="J5847">
            <v>0</v>
          </cell>
          <cell r="K5847">
            <v>0</v>
          </cell>
          <cell r="M5847">
            <v>0</v>
          </cell>
          <cell r="P5847">
            <v>502</v>
          </cell>
          <cell r="V5847" t="str">
            <v>Available</v>
          </cell>
        </row>
        <row r="5848">
          <cell r="E5848">
            <v>10610024</v>
          </cell>
          <cell r="H5848">
            <v>57.900000000000006</v>
          </cell>
          <cell r="I5848">
            <v>1985.75</v>
          </cell>
          <cell r="J5848">
            <v>0</v>
          </cell>
          <cell r="K5848">
            <v>0</v>
          </cell>
          <cell r="M5848">
            <v>0</v>
          </cell>
          <cell r="P5848">
            <v>1986</v>
          </cell>
          <cell r="V5848" t="str">
            <v>Available</v>
          </cell>
        </row>
        <row r="5849">
          <cell r="E5849">
            <v>10610024</v>
          </cell>
          <cell r="H5849">
            <v>5.6</v>
          </cell>
          <cell r="I5849">
            <v>232.66000000000003</v>
          </cell>
          <cell r="J5849">
            <v>0</v>
          </cell>
          <cell r="K5849">
            <v>0</v>
          </cell>
          <cell r="M5849">
            <v>0</v>
          </cell>
          <cell r="P5849">
            <v>233</v>
          </cell>
          <cell r="V5849" t="str">
            <v>Available</v>
          </cell>
        </row>
        <row r="5850">
          <cell r="E5850">
            <v>10610024</v>
          </cell>
          <cell r="H5850">
            <v>25.299999999999997</v>
          </cell>
          <cell r="I5850">
            <v>1005.01</v>
          </cell>
          <cell r="J5850">
            <v>0</v>
          </cell>
          <cell r="K5850">
            <v>0</v>
          </cell>
          <cell r="M5850">
            <v>0</v>
          </cell>
          <cell r="P5850">
            <v>1005</v>
          </cell>
          <cell r="V5850" t="str">
            <v>Available</v>
          </cell>
        </row>
        <row r="5851">
          <cell r="E5851">
            <v>10610024</v>
          </cell>
          <cell r="H5851">
            <v>6.1</v>
          </cell>
          <cell r="I5851">
            <v>235.1</v>
          </cell>
          <cell r="J5851">
            <v>0</v>
          </cell>
          <cell r="K5851">
            <v>0</v>
          </cell>
          <cell r="M5851">
            <v>0</v>
          </cell>
          <cell r="P5851">
            <v>235</v>
          </cell>
          <cell r="V5851" t="str">
            <v>Available</v>
          </cell>
        </row>
        <row r="5852">
          <cell r="E5852">
            <v>10610024</v>
          </cell>
          <cell r="H5852">
            <v>9.7000000000000011</v>
          </cell>
          <cell r="I5852">
            <v>298.37</v>
          </cell>
          <cell r="J5852">
            <v>0</v>
          </cell>
          <cell r="K5852">
            <v>0</v>
          </cell>
          <cell r="M5852">
            <v>0</v>
          </cell>
          <cell r="P5852">
            <v>298</v>
          </cell>
          <cell r="V5852" t="str">
            <v>Available</v>
          </cell>
        </row>
        <row r="5853">
          <cell r="E5853">
            <v>10610026</v>
          </cell>
          <cell r="H5853">
            <v>149</v>
          </cell>
          <cell r="I5853">
            <v>6365.2799999999979</v>
          </cell>
          <cell r="J5853">
            <v>0</v>
          </cell>
          <cell r="K5853">
            <v>0</v>
          </cell>
          <cell r="M5853">
            <v>0</v>
          </cell>
          <cell r="P5853">
            <v>6365</v>
          </cell>
          <cell r="V5853" t="str">
            <v>Available</v>
          </cell>
        </row>
        <row r="5854">
          <cell r="E5854">
            <v>10610026</v>
          </cell>
          <cell r="H5854">
            <v>4.1999999999999993</v>
          </cell>
          <cell r="I5854">
            <v>290.79999999999995</v>
          </cell>
          <cell r="J5854">
            <v>0</v>
          </cell>
          <cell r="K5854">
            <v>0</v>
          </cell>
          <cell r="M5854">
            <v>0</v>
          </cell>
          <cell r="P5854">
            <v>291</v>
          </cell>
          <cell r="V5854" t="str">
            <v>Available</v>
          </cell>
        </row>
        <row r="5855">
          <cell r="E5855">
            <v>10610026</v>
          </cell>
          <cell r="H5855">
            <v>13.8</v>
          </cell>
          <cell r="I5855">
            <v>1020.77</v>
          </cell>
          <cell r="J5855">
            <v>0</v>
          </cell>
          <cell r="K5855">
            <v>0</v>
          </cell>
          <cell r="M5855">
            <v>0</v>
          </cell>
          <cell r="P5855">
            <v>1021</v>
          </cell>
          <cell r="V5855" t="str">
            <v>Available</v>
          </cell>
        </row>
        <row r="5856">
          <cell r="E5856">
            <v>10610026</v>
          </cell>
          <cell r="H5856">
            <v>19.899999999999995</v>
          </cell>
          <cell r="I5856">
            <v>1234.74</v>
          </cell>
          <cell r="J5856">
            <v>0</v>
          </cell>
          <cell r="K5856">
            <v>0</v>
          </cell>
          <cell r="M5856">
            <v>0</v>
          </cell>
          <cell r="P5856">
            <v>1235</v>
          </cell>
          <cell r="V5856" t="str">
            <v>Available</v>
          </cell>
        </row>
        <row r="5857">
          <cell r="E5857">
            <v>10610026</v>
          </cell>
          <cell r="H5857">
            <v>12.999999999999998</v>
          </cell>
          <cell r="I5857">
            <v>1068.5900000000001</v>
          </cell>
          <cell r="J5857">
            <v>0</v>
          </cell>
          <cell r="K5857">
            <v>0</v>
          </cell>
          <cell r="M5857">
            <v>0</v>
          </cell>
          <cell r="P5857">
            <v>1069</v>
          </cell>
          <cell r="V5857" t="str">
            <v>Available</v>
          </cell>
        </row>
        <row r="5858">
          <cell r="E5858">
            <v>10610026</v>
          </cell>
          <cell r="H5858">
            <v>9.4</v>
          </cell>
          <cell r="I5858">
            <v>388.73</v>
          </cell>
          <cell r="J5858">
            <v>0</v>
          </cell>
          <cell r="K5858">
            <v>0</v>
          </cell>
          <cell r="M5858">
            <v>0</v>
          </cell>
          <cell r="P5858">
            <v>389</v>
          </cell>
          <cell r="V5858" t="str">
            <v>Available</v>
          </cell>
        </row>
        <row r="5859">
          <cell r="E5859">
            <v>10610026</v>
          </cell>
          <cell r="H5859">
            <v>16</v>
          </cell>
          <cell r="I5859">
            <v>673.6099999999999</v>
          </cell>
          <cell r="J5859">
            <v>0</v>
          </cell>
          <cell r="K5859">
            <v>0</v>
          </cell>
          <cell r="M5859">
            <v>0</v>
          </cell>
          <cell r="P5859">
            <v>674</v>
          </cell>
          <cell r="V5859" t="str">
            <v>Available</v>
          </cell>
        </row>
        <row r="5860">
          <cell r="E5860">
            <v>10610054</v>
          </cell>
          <cell r="H5860">
            <v>175.79999999999998</v>
          </cell>
          <cell r="I5860">
            <v>6624.98</v>
          </cell>
          <cell r="J5860">
            <v>0</v>
          </cell>
          <cell r="K5860">
            <v>0</v>
          </cell>
          <cell r="M5860">
            <v>0</v>
          </cell>
          <cell r="P5860">
            <v>6625</v>
          </cell>
          <cell r="V5860" t="str">
            <v>Available</v>
          </cell>
        </row>
        <row r="5861">
          <cell r="E5861">
            <v>10610054</v>
          </cell>
          <cell r="H5861">
            <v>85</v>
          </cell>
          <cell r="I5861">
            <v>3216.48</v>
          </cell>
          <cell r="J5861">
            <v>0</v>
          </cell>
          <cell r="K5861">
            <v>0</v>
          </cell>
          <cell r="M5861">
            <v>0</v>
          </cell>
          <cell r="P5861">
            <v>3216</v>
          </cell>
          <cell r="V5861" t="str">
            <v>Available</v>
          </cell>
        </row>
        <row r="5862">
          <cell r="E5862">
            <v>10610054</v>
          </cell>
          <cell r="H5862">
            <v>74.600000000000009</v>
          </cell>
          <cell r="I5862">
            <v>2799.6200000000003</v>
          </cell>
          <cell r="J5862">
            <v>0</v>
          </cell>
          <cell r="K5862">
            <v>0</v>
          </cell>
          <cell r="M5862">
            <v>0</v>
          </cell>
          <cell r="P5862">
            <v>2800</v>
          </cell>
          <cell r="V5862" t="str">
            <v>Available</v>
          </cell>
        </row>
        <row r="5863">
          <cell r="E5863">
            <v>10610054</v>
          </cell>
          <cell r="H5863">
            <v>114.6</v>
          </cell>
          <cell r="I5863">
            <v>4397.24</v>
          </cell>
          <cell r="J5863">
            <v>0</v>
          </cell>
          <cell r="K5863">
            <v>0</v>
          </cell>
          <cell r="M5863">
            <v>0</v>
          </cell>
          <cell r="P5863">
            <v>4397</v>
          </cell>
          <cell r="V5863" t="str">
            <v>Available</v>
          </cell>
        </row>
        <row r="5864">
          <cell r="E5864">
            <v>10610054</v>
          </cell>
          <cell r="H5864">
            <v>100.2</v>
          </cell>
          <cell r="I5864">
            <v>3831.12</v>
          </cell>
          <cell r="J5864">
            <v>0</v>
          </cell>
          <cell r="K5864">
            <v>0</v>
          </cell>
          <cell r="M5864">
            <v>0</v>
          </cell>
          <cell r="P5864">
            <v>3831</v>
          </cell>
          <cell r="V5864" t="str">
            <v>Available</v>
          </cell>
        </row>
        <row r="5865">
          <cell r="E5865">
            <v>10610055</v>
          </cell>
          <cell r="H5865">
            <v>26.400000000000006</v>
          </cell>
          <cell r="I5865">
            <v>1326.4700000000003</v>
          </cell>
          <cell r="J5865">
            <v>0</v>
          </cell>
          <cell r="K5865">
            <v>0</v>
          </cell>
          <cell r="M5865">
            <v>0</v>
          </cell>
          <cell r="P5865">
            <v>1128</v>
          </cell>
          <cell r="V5865" t="str">
            <v>Available</v>
          </cell>
        </row>
        <row r="5866">
          <cell r="E5866">
            <v>10610055</v>
          </cell>
          <cell r="H5866">
            <v>20.9</v>
          </cell>
          <cell r="I5866">
            <v>1465.74</v>
          </cell>
          <cell r="J5866">
            <v>0</v>
          </cell>
          <cell r="K5866">
            <v>0</v>
          </cell>
          <cell r="M5866">
            <v>0</v>
          </cell>
          <cell r="P5866">
            <v>1466</v>
          </cell>
          <cell r="V5866" t="str">
            <v>Available</v>
          </cell>
        </row>
        <row r="5867">
          <cell r="E5867">
            <v>10610055</v>
          </cell>
          <cell r="H5867">
            <v>15.099999999999998</v>
          </cell>
          <cell r="I5867">
            <v>649.61</v>
          </cell>
          <cell r="J5867">
            <v>0</v>
          </cell>
          <cell r="K5867">
            <v>0</v>
          </cell>
          <cell r="M5867">
            <v>0</v>
          </cell>
          <cell r="P5867">
            <v>650</v>
          </cell>
          <cell r="V5867" t="str">
            <v>Available</v>
          </cell>
        </row>
        <row r="5868">
          <cell r="E5868">
            <v>10610055</v>
          </cell>
          <cell r="H5868">
            <v>6.7</v>
          </cell>
          <cell r="I5868">
            <v>450.64</v>
          </cell>
          <cell r="J5868">
            <v>0</v>
          </cell>
          <cell r="K5868">
            <v>0</v>
          </cell>
          <cell r="M5868">
            <v>0</v>
          </cell>
          <cell r="P5868">
            <v>451</v>
          </cell>
          <cell r="V5868" t="str">
            <v>Available</v>
          </cell>
        </row>
        <row r="5869">
          <cell r="E5869">
            <v>10610055</v>
          </cell>
          <cell r="H5869">
            <v>19.8</v>
          </cell>
          <cell r="I5869">
            <v>1100.33</v>
          </cell>
          <cell r="J5869">
            <v>0</v>
          </cell>
          <cell r="K5869">
            <v>0</v>
          </cell>
          <cell r="M5869">
            <v>0</v>
          </cell>
          <cell r="P5869">
            <v>1100</v>
          </cell>
          <cell r="V5869" t="str">
            <v>Available</v>
          </cell>
        </row>
        <row r="5870">
          <cell r="E5870">
            <v>10610055</v>
          </cell>
          <cell r="H5870">
            <v>13.6</v>
          </cell>
          <cell r="I5870">
            <v>827.45999999999981</v>
          </cell>
          <cell r="J5870">
            <v>0</v>
          </cell>
          <cell r="K5870">
            <v>0</v>
          </cell>
          <cell r="M5870">
            <v>0</v>
          </cell>
          <cell r="P5870">
            <v>827</v>
          </cell>
          <cell r="V5870" t="str">
            <v>Available</v>
          </cell>
        </row>
        <row r="5871">
          <cell r="E5871">
            <v>10610055</v>
          </cell>
          <cell r="H5871">
            <v>14</v>
          </cell>
          <cell r="I5871">
            <v>525.3900000000001</v>
          </cell>
          <cell r="J5871">
            <v>0</v>
          </cell>
          <cell r="K5871">
            <v>0</v>
          </cell>
          <cell r="M5871">
            <v>0</v>
          </cell>
          <cell r="P5871">
            <v>525</v>
          </cell>
          <cell r="V5871" t="str">
            <v>Available</v>
          </cell>
        </row>
        <row r="5872">
          <cell r="E5872">
            <v>10610055</v>
          </cell>
          <cell r="H5872">
            <v>50.8</v>
          </cell>
          <cell r="I5872">
            <v>1993.3099999999997</v>
          </cell>
          <cell r="J5872">
            <v>0</v>
          </cell>
          <cell r="K5872">
            <v>0</v>
          </cell>
          <cell r="M5872">
            <v>0</v>
          </cell>
          <cell r="P5872">
            <v>1993</v>
          </cell>
          <cell r="V5872" t="str">
            <v>Available</v>
          </cell>
        </row>
        <row r="5873">
          <cell r="E5873">
            <v>10610055</v>
          </cell>
          <cell r="H5873">
            <v>14.1</v>
          </cell>
          <cell r="I5873">
            <v>624.04999999999995</v>
          </cell>
          <cell r="J5873">
            <v>0</v>
          </cell>
          <cell r="K5873">
            <v>0</v>
          </cell>
          <cell r="M5873">
            <v>0</v>
          </cell>
          <cell r="P5873">
            <v>624</v>
          </cell>
          <cell r="V5873" t="str">
            <v>Available</v>
          </cell>
        </row>
        <row r="5874">
          <cell r="E5874">
            <v>10610055</v>
          </cell>
          <cell r="H5874">
            <v>23.9</v>
          </cell>
          <cell r="I5874">
            <v>1447.56</v>
          </cell>
          <cell r="J5874">
            <v>0</v>
          </cell>
          <cell r="K5874">
            <v>0</v>
          </cell>
          <cell r="M5874">
            <v>588</v>
          </cell>
          <cell r="P5874">
            <v>860</v>
          </cell>
          <cell r="V5874" t="str">
            <v>Not Available</v>
          </cell>
        </row>
        <row r="5875">
          <cell r="E5875">
            <v>10610055</v>
          </cell>
          <cell r="H5875">
            <v>23.4</v>
          </cell>
          <cell r="I5875">
            <v>1441.17</v>
          </cell>
          <cell r="J5875">
            <v>0</v>
          </cell>
          <cell r="K5875">
            <v>0</v>
          </cell>
          <cell r="M5875">
            <v>0</v>
          </cell>
          <cell r="P5875">
            <v>1441</v>
          </cell>
          <cell r="V5875" t="str">
            <v>Available</v>
          </cell>
        </row>
        <row r="5876">
          <cell r="E5876">
            <v>10610055</v>
          </cell>
          <cell r="H5876">
            <v>17.7</v>
          </cell>
          <cell r="I5876">
            <v>596.91999999999996</v>
          </cell>
          <cell r="J5876">
            <v>0</v>
          </cell>
          <cell r="K5876">
            <v>0</v>
          </cell>
          <cell r="M5876">
            <v>0</v>
          </cell>
          <cell r="P5876">
            <v>597</v>
          </cell>
          <cell r="V5876" t="str">
            <v>Available</v>
          </cell>
        </row>
        <row r="5877">
          <cell r="E5877">
            <v>10610055</v>
          </cell>
          <cell r="H5877">
            <v>8.5</v>
          </cell>
          <cell r="I5877">
            <v>428.14</v>
          </cell>
          <cell r="J5877">
            <v>0</v>
          </cell>
          <cell r="K5877">
            <v>0</v>
          </cell>
          <cell r="M5877">
            <v>0</v>
          </cell>
          <cell r="P5877">
            <v>428</v>
          </cell>
          <cell r="V5877" t="str">
            <v>Available</v>
          </cell>
        </row>
        <row r="5878">
          <cell r="E5878">
            <v>10630002</v>
          </cell>
          <cell r="H5878">
            <v>1</v>
          </cell>
          <cell r="I5878">
            <v>44.95</v>
          </cell>
          <cell r="J5878">
            <v>0</v>
          </cell>
          <cell r="K5878">
            <v>44.95</v>
          </cell>
          <cell r="M5878">
            <v>0</v>
          </cell>
          <cell r="P5878">
            <v>0</v>
          </cell>
          <cell r="V5878" t="str">
            <v>Not Available</v>
          </cell>
        </row>
        <row r="5879">
          <cell r="E5879">
            <v>10630002</v>
          </cell>
          <cell r="H5879">
            <v>3</v>
          </cell>
          <cell r="I5879">
            <v>134.85</v>
          </cell>
          <cell r="J5879">
            <v>0</v>
          </cell>
          <cell r="K5879">
            <v>0</v>
          </cell>
          <cell r="M5879">
            <v>0</v>
          </cell>
          <cell r="P5879">
            <v>135</v>
          </cell>
          <cell r="V5879" t="str">
            <v>Available</v>
          </cell>
        </row>
        <row r="5880">
          <cell r="E5880">
            <v>10630002</v>
          </cell>
          <cell r="H5880">
            <v>3</v>
          </cell>
          <cell r="I5880">
            <v>134.85</v>
          </cell>
          <cell r="J5880">
            <v>0</v>
          </cell>
          <cell r="K5880">
            <v>0</v>
          </cell>
          <cell r="M5880">
            <v>0</v>
          </cell>
          <cell r="P5880">
            <v>135</v>
          </cell>
          <cell r="V5880" t="str">
            <v>Not Available</v>
          </cell>
        </row>
        <row r="5881">
          <cell r="E5881">
            <v>10630002</v>
          </cell>
          <cell r="H5881">
            <v>12.6</v>
          </cell>
          <cell r="I5881">
            <v>427.45999999999992</v>
          </cell>
          <cell r="J5881">
            <v>0</v>
          </cell>
          <cell r="K5881">
            <v>0</v>
          </cell>
          <cell r="M5881">
            <v>0</v>
          </cell>
          <cell r="P5881">
            <v>427</v>
          </cell>
          <cell r="V5881" t="str">
            <v>Not Available</v>
          </cell>
        </row>
        <row r="5882">
          <cell r="E5882">
            <v>10630002</v>
          </cell>
          <cell r="H5882">
            <v>3</v>
          </cell>
          <cell r="I5882">
            <v>134.85</v>
          </cell>
          <cell r="J5882">
            <v>0</v>
          </cell>
          <cell r="K5882">
            <v>0</v>
          </cell>
          <cell r="M5882">
            <v>0</v>
          </cell>
          <cell r="P5882">
            <v>135</v>
          </cell>
          <cell r="V5882" t="str">
            <v>Not Available</v>
          </cell>
        </row>
        <row r="5883">
          <cell r="E5883">
            <v>10630002</v>
          </cell>
          <cell r="H5883">
            <v>3</v>
          </cell>
          <cell r="I5883">
            <v>134.85</v>
          </cell>
          <cell r="J5883">
            <v>0</v>
          </cell>
          <cell r="K5883">
            <v>0</v>
          </cell>
          <cell r="M5883">
            <v>0</v>
          </cell>
          <cell r="P5883">
            <v>135</v>
          </cell>
          <cell r="V5883" t="str">
            <v>Not Available</v>
          </cell>
        </row>
        <row r="5884">
          <cell r="E5884">
            <v>10630002</v>
          </cell>
          <cell r="H5884">
            <v>40.100000000000009</v>
          </cell>
          <cell r="I5884">
            <v>1757.44</v>
          </cell>
          <cell r="J5884">
            <v>0</v>
          </cell>
          <cell r="K5884">
            <v>0</v>
          </cell>
          <cell r="M5884">
            <v>0</v>
          </cell>
          <cell r="P5884">
            <v>1757</v>
          </cell>
          <cell r="V5884" t="str">
            <v>Not Available</v>
          </cell>
        </row>
        <row r="5885">
          <cell r="E5885">
            <v>10630002</v>
          </cell>
          <cell r="H5885">
            <v>5.4</v>
          </cell>
          <cell r="I5885">
            <v>228.64999999999998</v>
          </cell>
          <cell r="J5885">
            <v>0</v>
          </cell>
          <cell r="K5885">
            <v>0</v>
          </cell>
          <cell r="M5885">
            <v>0</v>
          </cell>
          <cell r="P5885">
            <v>229</v>
          </cell>
          <cell r="V5885" t="str">
            <v>Not Available</v>
          </cell>
        </row>
        <row r="5886">
          <cell r="E5886">
            <v>10630002</v>
          </cell>
          <cell r="H5886">
            <v>18.7</v>
          </cell>
          <cell r="I5886">
            <v>695.58999999999992</v>
          </cell>
          <cell r="J5886">
            <v>0</v>
          </cell>
          <cell r="K5886">
            <v>0</v>
          </cell>
          <cell r="M5886">
            <v>0</v>
          </cell>
          <cell r="P5886">
            <v>696</v>
          </cell>
          <cell r="V5886" t="str">
            <v>Not Available</v>
          </cell>
        </row>
        <row r="5887">
          <cell r="E5887">
            <v>10630002</v>
          </cell>
          <cell r="H5887">
            <v>43.1</v>
          </cell>
          <cell r="I5887">
            <v>1724.35</v>
          </cell>
          <cell r="J5887">
            <v>0</v>
          </cell>
          <cell r="K5887">
            <v>0</v>
          </cell>
          <cell r="M5887">
            <v>0</v>
          </cell>
          <cell r="P5887">
            <v>1724</v>
          </cell>
          <cell r="V5887" t="str">
            <v>Not Available</v>
          </cell>
        </row>
        <row r="5888">
          <cell r="E5888">
            <v>10630002</v>
          </cell>
          <cell r="H5888">
            <v>35.5</v>
          </cell>
          <cell r="I5888">
            <v>1838.73</v>
          </cell>
          <cell r="J5888">
            <v>0</v>
          </cell>
          <cell r="K5888">
            <v>0</v>
          </cell>
          <cell r="M5888">
            <v>0</v>
          </cell>
          <cell r="P5888">
            <v>1839</v>
          </cell>
          <cell r="V5888" t="str">
            <v>Not Available</v>
          </cell>
        </row>
        <row r="5889">
          <cell r="E5889">
            <v>10630004</v>
          </cell>
          <cell r="H5889">
            <v>0.5</v>
          </cell>
          <cell r="I5889">
            <v>25.35</v>
          </cell>
          <cell r="J5889">
            <v>0</v>
          </cell>
          <cell r="K5889">
            <v>25.35</v>
          </cell>
          <cell r="M5889">
            <v>0</v>
          </cell>
          <cell r="P5889">
            <v>0</v>
          </cell>
          <cell r="V5889" t="str">
            <v>Not Available</v>
          </cell>
        </row>
        <row r="5890">
          <cell r="E5890">
            <v>10630004</v>
          </cell>
          <cell r="H5890">
            <v>148.60000000000002</v>
          </cell>
          <cell r="I5890">
            <v>7477.9099999999989</v>
          </cell>
          <cell r="J5890">
            <v>0</v>
          </cell>
          <cell r="K5890">
            <v>0</v>
          </cell>
          <cell r="M5890">
            <v>0</v>
          </cell>
          <cell r="P5890">
            <v>7478</v>
          </cell>
          <cell r="V5890" t="str">
            <v>Available</v>
          </cell>
        </row>
        <row r="5891">
          <cell r="E5891">
            <v>10630004</v>
          </cell>
          <cell r="H5891">
            <v>91.800000000000011</v>
          </cell>
          <cell r="I5891">
            <v>3920.55</v>
          </cell>
          <cell r="J5891">
            <v>0</v>
          </cell>
          <cell r="K5891">
            <v>0</v>
          </cell>
          <cell r="M5891">
            <v>0</v>
          </cell>
          <cell r="P5891">
            <v>3921</v>
          </cell>
          <cell r="V5891" t="str">
            <v>Available</v>
          </cell>
        </row>
        <row r="5892">
          <cell r="E5892">
            <v>10630004</v>
          </cell>
          <cell r="H5892">
            <v>3</v>
          </cell>
          <cell r="I5892">
            <v>152.85</v>
          </cell>
          <cell r="J5892">
            <v>0</v>
          </cell>
          <cell r="K5892">
            <v>0</v>
          </cell>
          <cell r="M5892">
            <v>0</v>
          </cell>
          <cell r="P5892">
            <v>153</v>
          </cell>
          <cell r="V5892" t="str">
            <v>Available</v>
          </cell>
        </row>
        <row r="5893">
          <cell r="E5893">
            <v>10630009</v>
          </cell>
          <cell r="H5893">
            <v>1.2000000000000002</v>
          </cell>
          <cell r="I5893">
            <v>116.25999999999999</v>
          </cell>
          <cell r="J5893">
            <v>0</v>
          </cell>
          <cell r="K5893">
            <v>116.25999999999999</v>
          </cell>
          <cell r="M5893">
            <v>0</v>
          </cell>
          <cell r="P5893">
            <v>0</v>
          </cell>
          <cell r="V5893" t="str">
            <v>Not Available</v>
          </cell>
        </row>
        <row r="5894">
          <cell r="E5894">
            <v>10630009</v>
          </cell>
          <cell r="H5894">
            <v>232.69999999999996</v>
          </cell>
          <cell r="I5894">
            <v>18563.29</v>
          </cell>
          <cell r="J5894">
            <v>0</v>
          </cell>
          <cell r="K5894">
            <v>0</v>
          </cell>
          <cell r="M5894">
            <v>0</v>
          </cell>
          <cell r="P5894">
            <v>18563</v>
          </cell>
          <cell r="V5894" t="str">
            <v>Available</v>
          </cell>
        </row>
        <row r="5895">
          <cell r="E5895">
            <v>10630009</v>
          </cell>
          <cell r="H5895">
            <v>180.04999999999998</v>
          </cell>
          <cell r="I5895">
            <v>15715.14</v>
          </cell>
          <cell r="J5895">
            <v>0</v>
          </cell>
          <cell r="K5895">
            <v>0</v>
          </cell>
          <cell r="M5895">
            <v>0</v>
          </cell>
          <cell r="P5895">
            <v>15715</v>
          </cell>
          <cell r="V5895" t="str">
            <v>Available</v>
          </cell>
        </row>
        <row r="5896">
          <cell r="E5896">
            <v>10630009</v>
          </cell>
          <cell r="H5896">
            <v>263.08</v>
          </cell>
          <cell r="I5896">
            <v>19583.59</v>
          </cell>
          <cell r="J5896">
            <v>0</v>
          </cell>
          <cell r="K5896">
            <v>0</v>
          </cell>
          <cell r="M5896">
            <v>0</v>
          </cell>
          <cell r="P5896">
            <v>19584</v>
          </cell>
          <cell r="V5896" t="str">
            <v>Available</v>
          </cell>
        </row>
        <row r="5897">
          <cell r="E5897">
            <v>10630009</v>
          </cell>
          <cell r="H5897">
            <v>129.95000000000002</v>
          </cell>
          <cell r="I5897">
            <v>12234.91</v>
          </cell>
          <cell r="J5897">
            <v>0</v>
          </cell>
          <cell r="K5897">
            <v>0</v>
          </cell>
          <cell r="M5897">
            <v>0</v>
          </cell>
          <cell r="P5897">
            <v>12235</v>
          </cell>
          <cell r="V5897" t="str">
            <v>Available</v>
          </cell>
        </row>
        <row r="5898">
          <cell r="E5898">
            <v>10630009</v>
          </cell>
          <cell r="H5898">
            <v>24.15</v>
          </cell>
          <cell r="I5898">
            <v>2602.65</v>
          </cell>
          <cell r="J5898">
            <v>0</v>
          </cell>
          <cell r="K5898">
            <v>0</v>
          </cell>
          <cell r="M5898">
            <v>0</v>
          </cell>
          <cell r="P5898">
            <v>2603</v>
          </cell>
          <cell r="V5898" t="str">
            <v>Available</v>
          </cell>
        </row>
        <row r="5899">
          <cell r="E5899">
            <v>10630014</v>
          </cell>
          <cell r="H5899">
            <v>0.5</v>
          </cell>
          <cell r="I5899">
            <v>21.55</v>
          </cell>
          <cell r="J5899">
            <v>0</v>
          </cell>
          <cell r="K5899">
            <v>21.55</v>
          </cell>
          <cell r="M5899">
            <v>0</v>
          </cell>
          <cell r="P5899">
            <v>0</v>
          </cell>
          <cell r="V5899" t="str">
            <v>Not Available</v>
          </cell>
        </row>
        <row r="5900">
          <cell r="E5900">
            <v>10630014</v>
          </cell>
          <cell r="H5900">
            <v>57.499999999999993</v>
          </cell>
          <cell r="I5900">
            <v>2330.5099999999998</v>
          </cell>
          <cell r="J5900">
            <v>0</v>
          </cell>
          <cell r="K5900">
            <v>0</v>
          </cell>
          <cell r="M5900">
            <v>0</v>
          </cell>
          <cell r="P5900">
            <v>2331</v>
          </cell>
          <cell r="V5900" t="str">
            <v>Available</v>
          </cell>
        </row>
        <row r="5901">
          <cell r="E5901">
            <v>10630014</v>
          </cell>
          <cell r="H5901">
            <v>40.9</v>
          </cell>
          <cell r="I5901">
            <v>1710.32</v>
          </cell>
          <cell r="J5901">
            <v>0</v>
          </cell>
          <cell r="K5901">
            <v>0</v>
          </cell>
          <cell r="M5901">
            <v>0</v>
          </cell>
          <cell r="P5901">
            <v>1710</v>
          </cell>
          <cell r="V5901" t="str">
            <v>Available</v>
          </cell>
        </row>
        <row r="5902">
          <cell r="E5902">
            <v>10630014</v>
          </cell>
          <cell r="H5902">
            <v>38.5</v>
          </cell>
          <cell r="I5902">
            <v>1559.2599999999998</v>
          </cell>
          <cell r="J5902">
            <v>0</v>
          </cell>
          <cell r="K5902">
            <v>0</v>
          </cell>
          <cell r="M5902">
            <v>0</v>
          </cell>
          <cell r="P5902">
            <v>1559</v>
          </cell>
          <cell r="V5902" t="str">
            <v>Available</v>
          </cell>
        </row>
        <row r="5903">
          <cell r="E5903">
            <v>10630014</v>
          </cell>
          <cell r="H5903">
            <v>145.30000000000001</v>
          </cell>
          <cell r="I5903">
            <v>5756.2</v>
          </cell>
          <cell r="J5903">
            <v>0</v>
          </cell>
          <cell r="K5903">
            <v>0</v>
          </cell>
          <cell r="M5903">
            <v>0</v>
          </cell>
          <cell r="P5903">
            <v>5756</v>
          </cell>
          <cell r="V5903" t="str">
            <v>Available</v>
          </cell>
        </row>
        <row r="5904">
          <cell r="E5904">
            <v>10630014</v>
          </cell>
          <cell r="H5904">
            <v>69.899999999999991</v>
          </cell>
          <cell r="I5904">
            <v>2785.7999999999997</v>
          </cell>
          <cell r="J5904">
            <v>0</v>
          </cell>
          <cell r="K5904">
            <v>0</v>
          </cell>
          <cell r="M5904">
            <v>0</v>
          </cell>
          <cell r="P5904">
            <v>2786</v>
          </cell>
          <cell r="V5904" t="str">
            <v>Available</v>
          </cell>
        </row>
        <row r="5905">
          <cell r="E5905">
            <v>10630014</v>
          </cell>
          <cell r="H5905">
            <v>51.699999999999996</v>
          </cell>
          <cell r="I5905">
            <v>2318.73</v>
          </cell>
          <cell r="J5905">
            <v>0</v>
          </cell>
          <cell r="K5905">
            <v>0</v>
          </cell>
          <cell r="M5905">
            <v>0</v>
          </cell>
          <cell r="P5905">
            <v>2319</v>
          </cell>
          <cell r="V5905" t="str">
            <v>Available</v>
          </cell>
        </row>
        <row r="5906">
          <cell r="E5906">
            <v>10630014</v>
          </cell>
          <cell r="H5906">
            <v>40</v>
          </cell>
          <cell r="I5906">
            <v>1537.94</v>
          </cell>
          <cell r="J5906">
            <v>0</v>
          </cell>
          <cell r="K5906">
            <v>0</v>
          </cell>
          <cell r="M5906">
            <v>0</v>
          </cell>
          <cell r="P5906">
            <v>1538</v>
          </cell>
          <cell r="V5906" t="str">
            <v>Available</v>
          </cell>
        </row>
        <row r="5907">
          <cell r="E5907">
            <v>10630014</v>
          </cell>
          <cell r="H5907">
            <v>2.5</v>
          </cell>
          <cell r="I5907">
            <v>109.13</v>
          </cell>
          <cell r="J5907">
            <v>0</v>
          </cell>
          <cell r="K5907">
            <v>0</v>
          </cell>
          <cell r="M5907">
            <v>0</v>
          </cell>
          <cell r="P5907">
            <v>109</v>
          </cell>
          <cell r="V5907" t="str">
            <v>Available</v>
          </cell>
        </row>
        <row r="5908">
          <cell r="E5908">
            <v>10630024</v>
          </cell>
          <cell r="H5908">
            <v>1.1000000000000001</v>
          </cell>
          <cell r="I5908">
            <v>45.45</v>
          </cell>
          <cell r="J5908">
            <v>0</v>
          </cell>
          <cell r="K5908">
            <v>45.45</v>
          </cell>
          <cell r="M5908">
            <v>0</v>
          </cell>
          <cell r="P5908">
            <v>0</v>
          </cell>
          <cell r="V5908" t="str">
            <v>Not Available</v>
          </cell>
        </row>
        <row r="5909">
          <cell r="E5909">
            <v>10630024</v>
          </cell>
          <cell r="H5909">
            <v>143.6</v>
          </cell>
          <cell r="I5909">
            <v>6437.7799999999988</v>
          </cell>
          <cell r="J5909">
            <v>0</v>
          </cell>
          <cell r="K5909">
            <v>0</v>
          </cell>
          <cell r="M5909">
            <v>0</v>
          </cell>
          <cell r="P5909">
            <v>6438</v>
          </cell>
          <cell r="V5909" t="str">
            <v>Available</v>
          </cell>
        </row>
        <row r="5910">
          <cell r="E5910">
            <v>10630025</v>
          </cell>
          <cell r="H5910">
            <v>0.88</v>
          </cell>
          <cell r="I5910">
            <v>44.62</v>
          </cell>
          <cell r="J5910">
            <v>0</v>
          </cell>
          <cell r="K5910">
            <v>44.62</v>
          </cell>
          <cell r="M5910">
            <v>0</v>
          </cell>
          <cell r="P5910">
            <v>0</v>
          </cell>
          <cell r="V5910" t="str">
            <v>Not Available</v>
          </cell>
        </row>
        <row r="5911">
          <cell r="E5911">
            <v>10630025</v>
          </cell>
          <cell r="H5911">
            <v>170.29999999999998</v>
          </cell>
          <cell r="I5911">
            <v>6716.43</v>
          </cell>
          <cell r="J5911">
            <v>0</v>
          </cell>
          <cell r="K5911">
            <v>0</v>
          </cell>
          <cell r="M5911">
            <v>0</v>
          </cell>
          <cell r="P5911">
            <v>6715</v>
          </cell>
          <cell r="V5911" t="str">
            <v>Available</v>
          </cell>
        </row>
        <row r="5912">
          <cell r="E5912">
            <v>10630025</v>
          </cell>
          <cell r="H5912">
            <v>1</v>
          </cell>
          <cell r="I5912">
            <v>50.7</v>
          </cell>
          <cell r="J5912">
            <v>0</v>
          </cell>
          <cell r="K5912">
            <v>0</v>
          </cell>
          <cell r="M5912">
            <v>0</v>
          </cell>
          <cell r="P5912">
            <v>51</v>
          </cell>
          <cell r="V5912" t="str">
            <v>Available</v>
          </cell>
        </row>
        <row r="5913">
          <cell r="E5913">
            <v>10630025</v>
          </cell>
          <cell r="H5913">
            <v>1</v>
          </cell>
          <cell r="I5913">
            <v>50.7</v>
          </cell>
          <cell r="J5913">
            <v>0</v>
          </cell>
          <cell r="K5913">
            <v>0</v>
          </cell>
          <cell r="M5913">
            <v>0</v>
          </cell>
          <cell r="P5913">
            <v>51</v>
          </cell>
          <cell r="V5913" t="str">
            <v>Available</v>
          </cell>
        </row>
        <row r="5914">
          <cell r="E5914">
            <v>10630025</v>
          </cell>
          <cell r="H5914">
            <v>67</v>
          </cell>
          <cell r="I5914">
            <v>3396.9</v>
          </cell>
          <cell r="J5914">
            <v>0</v>
          </cell>
          <cell r="K5914">
            <v>0</v>
          </cell>
          <cell r="M5914">
            <v>0</v>
          </cell>
          <cell r="P5914">
            <v>3397</v>
          </cell>
          <cell r="V5914" t="str">
            <v>Available</v>
          </cell>
        </row>
        <row r="5915">
          <cell r="E5915">
            <v>10630025</v>
          </cell>
          <cell r="H5915">
            <v>1</v>
          </cell>
          <cell r="I5915">
            <v>50.7</v>
          </cell>
          <cell r="J5915">
            <v>0</v>
          </cell>
          <cell r="K5915">
            <v>0</v>
          </cell>
          <cell r="M5915">
            <v>0</v>
          </cell>
          <cell r="P5915">
            <v>51</v>
          </cell>
          <cell r="V5915" t="str">
            <v>Available</v>
          </cell>
        </row>
        <row r="5916">
          <cell r="E5916">
            <v>10630027</v>
          </cell>
          <cell r="H5916">
            <v>1</v>
          </cell>
          <cell r="I5916">
            <v>43.09</v>
          </cell>
          <cell r="J5916">
            <v>0</v>
          </cell>
          <cell r="K5916">
            <v>43.09</v>
          </cell>
          <cell r="M5916">
            <v>0</v>
          </cell>
          <cell r="P5916">
            <v>0</v>
          </cell>
          <cell r="V5916" t="str">
            <v>Not Available</v>
          </cell>
        </row>
        <row r="5917">
          <cell r="E5917">
            <v>10630027</v>
          </cell>
          <cell r="H5917">
            <v>96.539999999999978</v>
          </cell>
          <cell r="I5917">
            <v>4169.2800000000007</v>
          </cell>
          <cell r="J5917">
            <v>0</v>
          </cell>
          <cell r="K5917">
            <v>0</v>
          </cell>
          <cell r="M5917">
            <v>0</v>
          </cell>
          <cell r="P5917">
            <v>4167</v>
          </cell>
          <cell r="V5917" t="str">
            <v>Available</v>
          </cell>
        </row>
        <row r="5918">
          <cell r="E5918">
            <v>10640001</v>
          </cell>
          <cell r="H5918">
            <v>691.50000000000011</v>
          </cell>
          <cell r="I5918">
            <v>27320.099999999991</v>
          </cell>
          <cell r="J5918">
            <v>0</v>
          </cell>
          <cell r="K5918">
            <v>0</v>
          </cell>
          <cell r="M5918">
            <v>0</v>
          </cell>
          <cell r="P5918">
            <v>27320</v>
          </cell>
          <cell r="V5918" t="str">
            <v>Available</v>
          </cell>
        </row>
        <row r="5919">
          <cell r="E5919">
            <v>10640001</v>
          </cell>
          <cell r="H5919">
            <v>433.3</v>
          </cell>
          <cell r="I5919">
            <v>17722.110000000004</v>
          </cell>
          <cell r="J5919">
            <v>0</v>
          </cell>
          <cell r="K5919">
            <v>0</v>
          </cell>
          <cell r="M5919">
            <v>0</v>
          </cell>
          <cell r="P5919">
            <v>17722</v>
          </cell>
          <cell r="V5919" t="str">
            <v>Available</v>
          </cell>
        </row>
        <row r="5920">
          <cell r="E5920">
            <v>10640001</v>
          </cell>
          <cell r="H5920">
            <v>23.7</v>
          </cell>
          <cell r="I5920">
            <v>881.90000000000009</v>
          </cell>
          <cell r="J5920">
            <v>0</v>
          </cell>
          <cell r="K5920">
            <v>0</v>
          </cell>
          <cell r="M5920">
            <v>0</v>
          </cell>
          <cell r="P5920">
            <v>882</v>
          </cell>
          <cell r="V5920" t="str">
            <v>Available</v>
          </cell>
        </row>
        <row r="5921">
          <cell r="E5921">
            <v>10640001</v>
          </cell>
          <cell r="H5921">
            <v>24.900000000000002</v>
          </cell>
          <cell r="I5921">
            <v>991.01999999999987</v>
          </cell>
          <cell r="J5921">
            <v>0</v>
          </cell>
          <cell r="K5921">
            <v>0</v>
          </cell>
          <cell r="M5921">
            <v>0</v>
          </cell>
          <cell r="P5921">
            <v>991</v>
          </cell>
          <cell r="V5921" t="str">
            <v>Available</v>
          </cell>
        </row>
        <row r="5922">
          <cell r="E5922">
            <v>10640001</v>
          </cell>
          <cell r="H5922">
            <v>16.399999999999999</v>
          </cell>
          <cell r="I5922">
            <v>639.61</v>
          </cell>
          <cell r="J5922">
            <v>0</v>
          </cell>
          <cell r="K5922">
            <v>0</v>
          </cell>
          <cell r="M5922">
            <v>0</v>
          </cell>
          <cell r="P5922">
            <v>640</v>
          </cell>
          <cell r="V5922" t="str">
            <v>Available</v>
          </cell>
        </row>
        <row r="5923">
          <cell r="E5923">
            <v>10640003</v>
          </cell>
          <cell r="H5923">
            <v>16</v>
          </cell>
          <cell r="I5923">
            <v>708.15</v>
          </cell>
          <cell r="J5923">
            <v>0</v>
          </cell>
          <cell r="K5923">
            <v>708.15</v>
          </cell>
          <cell r="M5923">
            <v>0</v>
          </cell>
          <cell r="P5923">
            <v>0</v>
          </cell>
          <cell r="V5923" t="str">
            <v>Not Available</v>
          </cell>
        </row>
        <row r="5924">
          <cell r="E5924">
            <v>10640003</v>
          </cell>
          <cell r="H5924">
            <v>197.69999999999996</v>
          </cell>
          <cell r="I5924">
            <v>10142.209999999999</v>
          </cell>
          <cell r="J5924">
            <v>0</v>
          </cell>
          <cell r="K5924">
            <v>0</v>
          </cell>
          <cell r="M5924">
            <v>0</v>
          </cell>
          <cell r="P5924">
            <v>7256</v>
          </cell>
          <cell r="V5924" t="str">
            <v>Available</v>
          </cell>
        </row>
        <row r="5925">
          <cell r="E5925">
            <v>10640003</v>
          </cell>
          <cell r="H5925">
            <v>759.70000000000039</v>
          </cell>
          <cell r="I5925">
            <v>36647.409999999996</v>
          </cell>
          <cell r="J5925">
            <v>0</v>
          </cell>
          <cell r="K5925">
            <v>0</v>
          </cell>
          <cell r="M5925">
            <v>0</v>
          </cell>
          <cell r="P5925">
            <v>36647</v>
          </cell>
          <cell r="V5925" t="str">
            <v>Available</v>
          </cell>
        </row>
        <row r="5926">
          <cell r="E5926">
            <v>10640003</v>
          </cell>
          <cell r="H5926">
            <v>89.100000000000023</v>
          </cell>
          <cell r="I5926">
            <v>3477.39</v>
          </cell>
          <cell r="J5926">
            <v>0</v>
          </cell>
          <cell r="K5926">
            <v>0</v>
          </cell>
          <cell r="M5926">
            <v>0</v>
          </cell>
          <cell r="P5926">
            <v>3477</v>
          </cell>
          <cell r="V5926" t="str">
            <v>Available</v>
          </cell>
        </row>
        <row r="5927">
          <cell r="E5927">
            <v>10640003</v>
          </cell>
          <cell r="H5927">
            <v>29.5</v>
          </cell>
          <cell r="I5927">
            <v>1151.1400000000003</v>
          </cell>
          <cell r="J5927">
            <v>0</v>
          </cell>
          <cell r="K5927">
            <v>0</v>
          </cell>
          <cell r="M5927">
            <v>0</v>
          </cell>
          <cell r="P5927">
            <v>1151</v>
          </cell>
          <cell r="V5927" t="str">
            <v>Available</v>
          </cell>
        </row>
        <row r="5928">
          <cell r="E5928">
            <v>10640003</v>
          </cell>
          <cell r="H5928">
            <v>16.2</v>
          </cell>
          <cell r="I5928">
            <v>698.16000000000008</v>
          </cell>
          <cell r="J5928">
            <v>0</v>
          </cell>
          <cell r="K5928">
            <v>0</v>
          </cell>
          <cell r="M5928">
            <v>0</v>
          </cell>
          <cell r="P5928">
            <v>698</v>
          </cell>
          <cell r="V5928" t="str">
            <v>Available</v>
          </cell>
        </row>
        <row r="5929">
          <cell r="E5929">
            <v>10640003</v>
          </cell>
          <cell r="H5929">
            <v>18.400000000000002</v>
          </cell>
          <cell r="I5929">
            <v>619.51</v>
          </cell>
          <cell r="J5929">
            <v>0</v>
          </cell>
          <cell r="K5929">
            <v>0</v>
          </cell>
          <cell r="M5929">
            <v>0</v>
          </cell>
          <cell r="P5929">
            <v>620</v>
          </cell>
          <cell r="V5929" t="str">
            <v>Available</v>
          </cell>
        </row>
        <row r="5930">
          <cell r="E5930">
            <v>10640003</v>
          </cell>
          <cell r="H5930">
            <v>78.799999999999983</v>
          </cell>
          <cell r="I5930">
            <v>2995.09</v>
          </cell>
          <cell r="J5930">
            <v>0</v>
          </cell>
          <cell r="K5930">
            <v>0</v>
          </cell>
          <cell r="M5930">
            <v>0</v>
          </cell>
          <cell r="P5930">
            <v>2995</v>
          </cell>
          <cell r="V5930" t="str">
            <v>Available</v>
          </cell>
        </row>
        <row r="5931">
          <cell r="E5931">
            <v>10640003</v>
          </cell>
          <cell r="H5931">
            <v>21.4</v>
          </cell>
          <cell r="I5931">
            <v>843.83999999999992</v>
          </cell>
          <cell r="J5931">
            <v>0</v>
          </cell>
          <cell r="K5931">
            <v>0</v>
          </cell>
          <cell r="M5931">
            <v>0</v>
          </cell>
          <cell r="P5931">
            <v>844</v>
          </cell>
          <cell r="V5931" t="str">
            <v>Available</v>
          </cell>
        </row>
        <row r="5932">
          <cell r="E5932">
            <v>10640003</v>
          </cell>
          <cell r="H5932">
            <v>639.29999999999995</v>
          </cell>
          <cell r="I5932">
            <v>32222.540000000012</v>
          </cell>
          <cell r="J5932">
            <v>0</v>
          </cell>
          <cell r="K5932">
            <v>0</v>
          </cell>
          <cell r="M5932">
            <v>0</v>
          </cell>
          <cell r="P5932">
            <v>32223</v>
          </cell>
          <cell r="V5932" t="str">
            <v>Available</v>
          </cell>
        </row>
        <row r="5933">
          <cell r="E5933">
            <v>10640003</v>
          </cell>
          <cell r="H5933">
            <v>75.599999999999994</v>
          </cell>
          <cell r="I5933">
            <v>3073.17</v>
          </cell>
          <cell r="J5933">
            <v>0</v>
          </cell>
          <cell r="K5933">
            <v>0</v>
          </cell>
          <cell r="M5933">
            <v>0</v>
          </cell>
          <cell r="P5933">
            <v>3073</v>
          </cell>
          <cell r="V5933" t="str">
            <v>Available</v>
          </cell>
        </row>
        <row r="5934">
          <cell r="E5934">
            <v>10640003</v>
          </cell>
          <cell r="H5934">
            <v>7.8000000000000007</v>
          </cell>
          <cell r="I5934">
            <v>266.26</v>
          </cell>
          <cell r="J5934">
            <v>0</v>
          </cell>
          <cell r="K5934">
            <v>0</v>
          </cell>
          <cell r="M5934">
            <v>0</v>
          </cell>
          <cell r="P5934">
            <v>266</v>
          </cell>
          <cell r="V5934" t="str">
            <v>Available</v>
          </cell>
        </row>
        <row r="5935">
          <cell r="E5935">
            <v>10640003</v>
          </cell>
          <cell r="H5935">
            <v>19.3</v>
          </cell>
          <cell r="I5935">
            <v>1737.34</v>
          </cell>
          <cell r="J5935">
            <v>0</v>
          </cell>
          <cell r="K5935">
            <v>0</v>
          </cell>
          <cell r="M5935">
            <v>0</v>
          </cell>
          <cell r="P5935">
            <v>1737</v>
          </cell>
          <cell r="V5935" t="str">
            <v>Available</v>
          </cell>
        </row>
        <row r="5936">
          <cell r="E5936">
            <v>10640003</v>
          </cell>
          <cell r="H5936">
            <v>13.100000000000001</v>
          </cell>
          <cell r="I5936">
            <v>672.13000000000011</v>
          </cell>
          <cell r="J5936">
            <v>0</v>
          </cell>
          <cell r="K5936">
            <v>0</v>
          </cell>
          <cell r="M5936">
            <v>0</v>
          </cell>
          <cell r="P5936">
            <v>672</v>
          </cell>
          <cell r="V5936" t="str">
            <v>Available</v>
          </cell>
        </row>
        <row r="5937">
          <cell r="E5937">
            <v>10640003</v>
          </cell>
          <cell r="H5937">
            <v>29.300000000000004</v>
          </cell>
          <cell r="I5937">
            <v>1288.3499999999999</v>
          </cell>
          <cell r="J5937">
            <v>0</v>
          </cell>
          <cell r="K5937">
            <v>0</v>
          </cell>
          <cell r="M5937">
            <v>0</v>
          </cell>
          <cell r="P5937">
            <v>1288</v>
          </cell>
          <cell r="V5937" t="str">
            <v>Available</v>
          </cell>
        </row>
        <row r="5938">
          <cell r="E5938">
            <v>10640003</v>
          </cell>
          <cell r="H5938">
            <v>14</v>
          </cell>
          <cell r="I5938">
            <v>713.72</v>
          </cell>
          <cell r="J5938">
            <v>0</v>
          </cell>
          <cell r="K5938">
            <v>0</v>
          </cell>
          <cell r="M5938">
            <v>0</v>
          </cell>
          <cell r="P5938">
            <v>714</v>
          </cell>
          <cell r="V5938" t="str">
            <v>Available</v>
          </cell>
        </row>
        <row r="5939">
          <cell r="E5939">
            <v>10640003</v>
          </cell>
          <cell r="H5939">
            <v>15.900000000000002</v>
          </cell>
          <cell r="I5939">
            <v>730.05</v>
          </cell>
          <cell r="J5939">
            <v>0</v>
          </cell>
          <cell r="K5939">
            <v>0</v>
          </cell>
          <cell r="M5939">
            <v>0</v>
          </cell>
          <cell r="P5939">
            <v>730</v>
          </cell>
          <cell r="V5939" t="str">
            <v>Available</v>
          </cell>
        </row>
        <row r="5940">
          <cell r="E5940">
            <v>10640003</v>
          </cell>
          <cell r="H5940">
            <v>15.799999999999999</v>
          </cell>
          <cell r="I5940">
            <v>752.70999999999992</v>
          </cell>
          <cell r="J5940">
            <v>0</v>
          </cell>
          <cell r="K5940">
            <v>0</v>
          </cell>
          <cell r="M5940">
            <v>0</v>
          </cell>
          <cell r="P5940">
            <v>753</v>
          </cell>
          <cell r="V5940" t="str">
            <v>Available</v>
          </cell>
        </row>
        <row r="5941">
          <cell r="E5941">
            <v>10640003</v>
          </cell>
          <cell r="H5941">
            <v>20.7</v>
          </cell>
          <cell r="I5941">
            <v>836.58</v>
          </cell>
          <cell r="J5941">
            <v>0</v>
          </cell>
          <cell r="K5941">
            <v>0</v>
          </cell>
          <cell r="M5941">
            <v>0</v>
          </cell>
          <cell r="P5941">
            <v>837</v>
          </cell>
          <cell r="V5941" t="str">
            <v>Available</v>
          </cell>
        </row>
        <row r="5942">
          <cell r="E5942">
            <v>10640003</v>
          </cell>
          <cell r="H5942">
            <v>103.49999999999999</v>
          </cell>
          <cell r="I5942">
            <v>3840.9700000000003</v>
          </cell>
          <cell r="J5942">
            <v>0</v>
          </cell>
          <cell r="K5942">
            <v>0</v>
          </cell>
          <cell r="M5942">
            <v>0</v>
          </cell>
          <cell r="P5942">
            <v>3841</v>
          </cell>
          <cell r="V5942" t="str">
            <v>Available</v>
          </cell>
        </row>
        <row r="5943">
          <cell r="E5943">
            <v>10640003</v>
          </cell>
          <cell r="H5943">
            <v>57.4</v>
          </cell>
          <cell r="I5943">
            <v>1956.91</v>
          </cell>
          <cell r="J5943">
            <v>0</v>
          </cell>
          <cell r="K5943">
            <v>0</v>
          </cell>
          <cell r="M5943">
            <v>0</v>
          </cell>
          <cell r="P5943">
            <v>1957</v>
          </cell>
          <cell r="V5943" t="str">
            <v>Available</v>
          </cell>
        </row>
        <row r="5944">
          <cell r="E5944">
            <v>10640003</v>
          </cell>
          <cell r="H5944">
            <v>20.2</v>
          </cell>
          <cell r="I5944">
            <v>710.55</v>
          </cell>
          <cell r="J5944">
            <v>0</v>
          </cell>
          <cell r="K5944">
            <v>0</v>
          </cell>
          <cell r="M5944">
            <v>0</v>
          </cell>
          <cell r="P5944">
            <v>711</v>
          </cell>
          <cell r="V5944" t="str">
            <v>Available</v>
          </cell>
        </row>
        <row r="5945">
          <cell r="E5945">
            <v>10640003</v>
          </cell>
          <cell r="H5945">
            <v>33.6</v>
          </cell>
          <cell r="I5945">
            <v>1187.7499999999998</v>
          </cell>
          <cell r="J5945">
            <v>0</v>
          </cell>
          <cell r="K5945">
            <v>0</v>
          </cell>
          <cell r="M5945">
            <v>0</v>
          </cell>
          <cell r="P5945">
            <v>1188</v>
          </cell>
          <cell r="V5945" t="str">
            <v>Available</v>
          </cell>
        </row>
        <row r="5946">
          <cell r="E5946">
            <v>10640003</v>
          </cell>
          <cell r="H5946">
            <v>40.400000000000006</v>
          </cell>
          <cell r="I5946">
            <v>1483.2400000000002</v>
          </cell>
          <cell r="J5946">
            <v>0</v>
          </cell>
          <cell r="K5946">
            <v>0</v>
          </cell>
          <cell r="M5946">
            <v>0</v>
          </cell>
          <cell r="P5946">
            <v>1483</v>
          </cell>
          <cell r="V5946" t="str">
            <v>Available</v>
          </cell>
        </row>
        <row r="5947">
          <cell r="E5947">
            <v>10640003</v>
          </cell>
          <cell r="H5947">
            <v>16.3</v>
          </cell>
          <cell r="I5947">
            <v>1184.06</v>
          </cell>
          <cell r="J5947">
            <v>0</v>
          </cell>
          <cell r="K5947">
            <v>0</v>
          </cell>
          <cell r="M5947">
            <v>0</v>
          </cell>
          <cell r="P5947">
            <v>1184</v>
          </cell>
          <cell r="V5947" t="str">
            <v>Available</v>
          </cell>
        </row>
        <row r="5948">
          <cell r="E5948">
            <v>10640003</v>
          </cell>
          <cell r="H5948">
            <v>10.600000000000001</v>
          </cell>
          <cell r="I5948">
            <v>833.49000000000012</v>
          </cell>
          <cell r="J5948">
            <v>0</v>
          </cell>
          <cell r="K5948">
            <v>0</v>
          </cell>
          <cell r="M5948">
            <v>0</v>
          </cell>
          <cell r="P5948">
            <v>833</v>
          </cell>
          <cell r="V5948" t="str">
            <v>Available</v>
          </cell>
        </row>
        <row r="5949">
          <cell r="E5949">
            <v>10640005</v>
          </cell>
          <cell r="H5949">
            <v>1.2</v>
          </cell>
          <cell r="I5949">
            <v>50.27000000000001</v>
          </cell>
          <cell r="J5949">
            <v>0</v>
          </cell>
          <cell r="K5949">
            <v>50.27000000000001</v>
          </cell>
          <cell r="M5949">
            <v>0</v>
          </cell>
          <cell r="P5949">
            <v>0</v>
          </cell>
          <cell r="V5949" t="str">
            <v>Not Available</v>
          </cell>
        </row>
        <row r="5950">
          <cell r="E5950">
            <v>10640005</v>
          </cell>
          <cell r="H5950">
            <v>253</v>
          </cell>
          <cell r="I5950">
            <v>10615.68</v>
          </cell>
          <cell r="J5950">
            <v>0</v>
          </cell>
          <cell r="K5950">
            <v>0</v>
          </cell>
          <cell r="M5950">
            <v>0</v>
          </cell>
          <cell r="P5950">
            <v>10616</v>
          </cell>
          <cell r="V5950" t="str">
            <v>Available</v>
          </cell>
        </row>
        <row r="5951">
          <cell r="E5951">
            <v>10640006</v>
          </cell>
          <cell r="H5951">
            <v>10</v>
          </cell>
          <cell r="I5951">
            <v>479.62</v>
          </cell>
          <cell r="J5951">
            <v>0</v>
          </cell>
          <cell r="K5951">
            <v>479.62</v>
          </cell>
          <cell r="M5951">
            <v>0</v>
          </cell>
          <cell r="P5951">
            <v>0</v>
          </cell>
          <cell r="V5951" t="str">
            <v>Not Available</v>
          </cell>
        </row>
        <row r="5952">
          <cell r="E5952">
            <v>10640006</v>
          </cell>
          <cell r="H5952">
            <v>252.59999999999985</v>
          </cell>
          <cell r="I5952">
            <v>12268.9</v>
          </cell>
          <cell r="J5952">
            <v>0</v>
          </cell>
          <cell r="K5952">
            <v>0</v>
          </cell>
          <cell r="M5952">
            <v>0</v>
          </cell>
          <cell r="P5952">
            <v>9648</v>
          </cell>
          <cell r="V5952" t="str">
            <v>Available</v>
          </cell>
        </row>
        <row r="5953">
          <cell r="E5953">
            <v>10640006</v>
          </cell>
          <cell r="H5953">
            <v>94.59999999999998</v>
          </cell>
          <cell r="I5953">
            <v>4355.5199999999995</v>
          </cell>
          <cell r="J5953">
            <v>0</v>
          </cell>
          <cell r="K5953">
            <v>0</v>
          </cell>
          <cell r="M5953">
            <v>0</v>
          </cell>
          <cell r="P5953">
            <v>4356</v>
          </cell>
          <cell r="V5953" t="str">
            <v>Available</v>
          </cell>
        </row>
        <row r="5954">
          <cell r="E5954">
            <v>10640006</v>
          </cell>
          <cell r="H5954">
            <v>51.300000000000004</v>
          </cell>
          <cell r="I5954">
            <v>2768.7599999999998</v>
          </cell>
          <cell r="J5954">
            <v>0</v>
          </cell>
          <cell r="K5954">
            <v>0</v>
          </cell>
          <cell r="M5954">
            <v>0</v>
          </cell>
          <cell r="P5954">
            <v>2769</v>
          </cell>
          <cell r="V5954" t="str">
            <v>Available</v>
          </cell>
        </row>
        <row r="5955">
          <cell r="E5955">
            <v>10640006</v>
          </cell>
          <cell r="H5955">
            <v>13.2</v>
          </cell>
          <cell r="I5955">
            <v>997.96</v>
          </cell>
          <cell r="J5955">
            <v>0</v>
          </cell>
          <cell r="K5955">
            <v>0</v>
          </cell>
          <cell r="M5955">
            <v>0</v>
          </cell>
          <cell r="P5955">
            <v>998</v>
          </cell>
          <cell r="V5955" t="str">
            <v>Available</v>
          </cell>
        </row>
        <row r="5956">
          <cell r="E5956">
            <v>10640006</v>
          </cell>
          <cell r="H5956">
            <v>29.5</v>
          </cell>
          <cell r="I5956">
            <v>1124.3500000000001</v>
          </cell>
          <cell r="J5956">
            <v>0</v>
          </cell>
          <cell r="K5956">
            <v>0</v>
          </cell>
          <cell r="M5956">
            <v>0</v>
          </cell>
          <cell r="P5956">
            <v>1124</v>
          </cell>
          <cell r="V5956" t="str">
            <v>Available</v>
          </cell>
        </row>
        <row r="5957">
          <cell r="E5957">
            <v>10640006</v>
          </cell>
          <cell r="H5957">
            <v>15.900000000000002</v>
          </cell>
          <cell r="I5957">
            <v>973.97</v>
          </cell>
          <cell r="J5957">
            <v>0</v>
          </cell>
          <cell r="K5957">
            <v>0</v>
          </cell>
          <cell r="M5957">
            <v>0</v>
          </cell>
          <cell r="P5957">
            <v>974</v>
          </cell>
          <cell r="V5957" t="str">
            <v>Available</v>
          </cell>
        </row>
        <row r="5958">
          <cell r="E5958">
            <v>10640006</v>
          </cell>
          <cell r="H5958">
            <v>25.599999999999998</v>
          </cell>
          <cell r="I5958">
            <v>1273.24</v>
          </cell>
          <cell r="J5958">
            <v>0</v>
          </cell>
          <cell r="K5958">
            <v>0</v>
          </cell>
          <cell r="M5958">
            <v>0</v>
          </cell>
          <cell r="P5958">
            <v>1273</v>
          </cell>
          <cell r="V5958" t="str">
            <v>Available</v>
          </cell>
        </row>
        <row r="5959">
          <cell r="E5959">
            <v>10640006</v>
          </cell>
          <cell r="H5959">
            <v>22.1</v>
          </cell>
          <cell r="I5959">
            <v>804.76999999999987</v>
          </cell>
          <cell r="J5959">
            <v>0</v>
          </cell>
          <cell r="K5959">
            <v>0</v>
          </cell>
          <cell r="M5959">
            <v>0</v>
          </cell>
          <cell r="P5959">
            <v>805</v>
          </cell>
          <cell r="V5959" t="str">
            <v>Available</v>
          </cell>
        </row>
        <row r="5960">
          <cell r="E5960">
            <v>10640008</v>
          </cell>
          <cell r="H5960">
            <v>299.09999999999997</v>
          </cell>
          <cell r="I5960">
            <v>12527.98</v>
          </cell>
          <cell r="J5960">
            <v>0</v>
          </cell>
          <cell r="K5960">
            <v>0</v>
          </cell>
          <cell r="M5960">
            <v>0</v>
          </cell>
          <cell r="P5960">
            <v>12324</v>
          </cell>
          <cell r="V5960" t="str">
            <v>Available</v>
          </cell>
        </row>
        <row r="5961">
          <cell r="E5961">
            <v>10640009</v>
          </cell>
          <cell r="H5961">
            <v>356.50000000000006</v>
          </cell>
          <cell r="I5961">
            <v>15717.380000000001</v>
          </cell>
          <cell r="J5961">
            <v>0</v>
          </cell>
          <cell r="K5961">
            <v>0</v>
          </cell>
          <cell r="M5961">
            <v>0</v>
          </cell>
          <cell r="P5961">
            <v>15717</v>
          </cell>
          <cell r="V5961" t="str">
            <v>Available</v>
          </cell>
        </row>
        <row r="5962">
          <cell r="E5962">
            <v>10650001</v>
          </cell>
          <cell r="H5962">
            <v>300.60000000000008</v>
          </cell>
          <cell r="I5962">
            <v>12264.250000000005</v>
          </cell>
          <cell r="J5962">
            <v>0</v>
          </cell>
          <cell r="K5962">
            <v>0</v>
          </cell>
          <cell r="M5962">
            <v>0</v>
          </cell>
          <cell r="P5962">
            <v>11428</v>
          </cell>
          <cell r="V5962" t="str">
            <v>Available</v>
          </cell>
        </row>
        <row r="5963">
          <cell r="E5963">
            <v>10650001</v>
          </cell>
          <cell r="H5963">
            <v>43</v>
          </cell>
          <cell r="I5963">
            <v>1815.34</v>
          </cell>
          <cell r="J5963">
            <v>0</v>
          </cell>
          <cell r="K5963">
            <v>0</v>
          </cell>
          <cell r="M5963">
            <v>0</v>
          </cell>
          <cell r="P5963">
            <v>1815</v>
          </cell>
          <cell r="V5963" t="str">
            <v>Available</v>
          </cell>
        </row>
        <row r="5964">
          <cell r="E5964">
            <v>10650001</v>
          </cell>
          <cell r="H5964">
            <v>12.7</v>
          </cell>
          <cell r="I5964">
            <v>432.43</v>
          </cell>
          <cell r="J5964">
            <v>0</v>
          </cell>
          <cell r="K5964">
            <v>0</v>
          </cell>
          <cell r="M5964">
            <v>0</v>
          </cell>
          <cell r="P5964">
            <v>432</v>
          </cell>
          <cell r="V5964" t="str">
            <v>Available</v>
          </cell>
        </row>
        <row r="5965">
          <cell r="E5965">
            <v>10650003</v>
          </cell>
          <cell r="H5965">
            <v>133.89999999999998</v>
          </cell>
          <cell r="I5965">
            <v>5401.33</v>
          </cell>
          <cell r="J5965">
            <v>0</v>
          </cell>
          <cell r="K5965">
            <v>0</v>
          </cell>
          <cell r="M5965">
            <v>0</v>
          </cell>
          <cell r="P5965">
            <v>4853</v>
          </cell>
          <cell r="V5965" t="str">
            <v>Available</v>
          </cell>
        </row>
        <row r="5966">
          <cell r="E5966">
            <v>10650003</v>
          </cell>
          <cell r="H5966">
            <v>26.900000000000002</v>
          </cell>
          <cell r="I5966">
            <v>1125.1600000000001</v>
          </cell>
          <cell r="J5966">
            <v>0</v>
          </cell>
          <cell r="K5966">
            <v>0</v>
          </cell>
          <cell r="M5966">
            <v>0</v>
          </cell>
          <cell r="P5966">
            <v>1125</v>
          </cell>
          <cell r="V5966" t="str">
            <v>Available</v>
          </cell>
        </row>
        <row r="5967">
          <cell r="E5967">
            <v>10650003</v>
          </cell>
          <cell r="H5967">
            <v>65.8</v>
          </cell>
          <cell r="I5967">
            <v>2675.7200000000003</v>
          </cell>
          <cell r="J5967">
            <v>0</v>
          </cell>
          <cell r="K5967">
            <v>0</v>
          </cell>
          <cell r="M5967">
            <v>0</v>
          </cell>
          <cell r="P5967">
            <v>2676</v>
          </cell>
          <cell r="V5967" t="str">
            <v>Available</v>
          </cell>
        </row>
        <row r="5968">
          <cell r="E5968">
            <v>10650003</v>
          </cell>
          <cell r="H5968">
            <v>32.799999999999997</v>
          </cell>
          <cell r="I5968">
            <v>1265.04</v>
          </cell>
          <cell r="J5968">
            <v>0</v>
          </cell>
          <cell r="K5968">
            <v>0</v>
          </cell>
          <cell r="M5968">
            <v>0</v>
          </cell>
          <cell r="P5968">
            <v>1265</v>
          </cell>
          <cell r="V5968" t="str">
            <v>Available</v>
          </cell>
        </row>
        <row r="5969">
          <cell r="E5969">
            <v>10650003</v>
          </cell>
          <cell r="H5969">
            <v>44.199999999999996</v>
          </cell>
          <cell r="I5969">
            <v>1825.44</v>
          </cell>
          <cell r="J5969">
            <v>0</v>
          </cell>
          <cell r="K5969">
            <v>0</v>
          </cell>
          <cell r="M5969">
            <v>0</v>
          </cell>
          <cell r="P5969">
            <v>1825</v>
          </cell>
          <cell r="V5969" t="str">
            <v>Available</v>
          </cell>
        </row>
        <row r="5970">
          <cell r="E5970">
            <v>10650003</v>
          </cell>
          <cell r="H5970">
            <v>67.7</v>
          </cell>
          <cell r="I5970">
            <v>2544.7700000000004</v>
          </cell>
          <cell r="J5970">
            <v>0</v>
          </cell>
          <cell r="K5970">
            <v>0</v>
          </cell>
          <cell r="M5970">
            <v>0</v>
          </cell>
          <cell r="P5970">
            <v>2545</v>
          </cell>
          <cell r="V5970" t="str">
            <v>Available</v>
          </cell>
        </row>
        <row r="5971">
          <cell r="E5971">
            <v>10650003</v>
          </cell>
          <cell r="H5971">
            <v>43.1</v>
          </cell>
          <cell r="I5971">
            <v>1592.4400000000003</v>
          </cell>
          <cell r="J5971">
            <v>0</v>
          </cell>
          <cell r="K5971">
            <v>0</v>
          </cell>
          <cell r="M5971">
            <v>0</v>
          </cell>
          <cell r="P5971">
            <v>1592</v>
          </cell>
          <cell r="V5971" t="str">
            <v>Available</v>
          </cell>
        </row>
        <row r="5972">
          <cell r="E5972">
            <v>10650003</v>
          </cell>
          <cell r="H5972">
            <v>79.100000000000009</v>
          </cell>
          <cell r="I5972">
            <v>3451.7400000000007</v>
          </cell>
          <cell r="J5972">
            <v>0</v>
          </cell>
          <cell r="K5972">
            <v>0</v>
          </cell>
          <cell r="M5972">
            <v>0</v>
          </cell>
          <cell r="P5972">
            <v>3452</v>
          </cell>
          <cell r="V5972" t="str">
            <v>Available</v>
          </cell>
        </row>
        <row r="5973">
          <cell r="E5973">
            <v>10650003</v>
          </cell>
          <cell r="H5973">
            <v>21.9</v>
          </cell>
          <cell r="I5973">
            <v>1645.42</v>
          </cell>
          <cell r="J5973">
            <v>0</v>
          </cell>
          <cell r="K5973">
            <v>0</v>
          </cell>
          <cell r="M5973">
            <v>0</v>
          </cell>
          <cell r="P5973">
            <v>1645</v>
          </cell>
          <cell r="V5973" t="str">
            <v>Available</v>
          </cell>
        </row>
        <row r="5974">
          <cell r="E5974">
            <v>10650003</v>
          </cell>
          <cell r="H5974">
            <v>10.299999999999999</v>
          </cell>
          <cell r="I5974">
            <v>443.25999999999993</v>
          </cell>
          <cell r="J5974">
            <v>0</v>
          </cell>
          <cell r="K5974">
            <v>0</v>
          </cell>
          <cell r="M5974">
            <v>0</v>
          </cell>
          <cell r="P5974">
            <v>443</v>
          </cell>
          <cell r="V5974" t="str">
            <v>Available</v>
          </cell>
        </row>
        <row r="5975">
          <cell r="E5975">
            <v>10650003</v>
          </cell>
          <cell r="H5975">
            <v>44.500000000000007</v>
          </cell>
          <cell r="I5975">
            <v>1825.6699999999998</v>
          </cell>
          <cell r="J5975">
            <v>0</v>
          </cell>
          <cell r="K5975">
            <v>0</v>
          </cell>
          <cell r="M5975">
            <v>0</v>
          </cell>
          <cell r="P5975">
            <v>1826</v>
          </cell>
          <cell r="V5975" t="str">
            <v>Available</v>
          </cell>
        </row>
        <row r="5976">
          <cell r="E5976">
            <v>10650003</v>
          </cell>
          <cell r="H5976">
            <v>42.6</v>
          </cell>
          <cell r="I5976">
            <v>1742.3200000000002</v>
          </cell>
          <cell r="J5976">
            <v>0</v>
          </cell>
          <cell r="K5976">
            <v>0</v>
          </cell>
          <cell r="M5976">
            <v>0</v>
          </cell>
          <cell r="P5976">
            <v>1742</v>
          </cell>
          <cell r="V5976" t="str">
            <v>Available</v>
          </cell>
        </row>
        <row r="5977">
          <cell r="E5977">
            <v>10650003</v>
          </cell>
          <cell r="H5977">
            <v>121.3</v>
          </cell>
          <cell r="I5977">
            <v>4434.5899999999992</v>
          </cell>
          <cell r="J5977">
            <v>0</v>
          </cell>
          <cell r="K5977">
            <v>0</v>
          </cell>
          <cell r="M5977">
            <v>0</v>
          </cell>
          <cell r="P5977">
            <v>4435</v>
          </cell>
          <cell r="V5977" t="str">
            <v>Available</v>
          </cell>
        </row>
        <row r="5978">
          <cell r="E5978">
            <v>10650003</v>
          </cell>
          <cell r="H5978">
            <v>137.49999999999997</v>
          </cell>
          <cell r="I5978">
            <v>6046.8</v>
          </cell>
          <cell r="J5978">
            <v>0</v>
          </cell>
          <cell r="K5978">
            <v>0</v>
          </cell>
          <cell r="M5978">
            <v>0</v>
          </cell>
          <cell r="P5978">
            <v>6047</v>
          </cell>
          <cell r="V5978" t="str">
            <v>Available</v>
          </cell>
        </row>
        <row r="5979">
          <cell r="E5979">
            <v>10650003</v>
          </cell>
          <cell r="H5979">
            <v>56.9</v>
          </cell>
          <cell r="I5979">
            <v>2327.4500000000003</v>
          </cell>
          <cell r="J5979">
            <v>0</v>
          </cell>
          <cell r="K5979">
            <v>0</v>
          </cell>
          <cell r="M5979">
            <v>0</v>
          </cell>
          <cell r="P5979">
            <v>2327</v>
          </cell>
          <cell r="V5979" t="str">
            <v>Available</v>
          </cell>
        </row>
        <row r="5980">
          <cell r="E5980">
            <v>10650003</v>
          </cell>
          <cell r="H5980">
            <v>13.8</v>
          </cell>
          <cell r="I5980">
            <v>807.07999999999993</v>
          </cell>
          <cell r="J5980">
            <v>0</v>
          </cell>
          <cell r="K5980">
            <v>0</v>
          </cell>
          <cell r="M5980">
            <v>0</v>
          </cell>
          <cell r="P5980">
            <v>807</v>
          </cell>
          <cell r="V5980" t="str">
            <v>Available</v>
          </cell>
        </row>
        <row r="5981">
          <cell r="E5981">
            <v>10650003</v>
          </cell>
          <cell r="H5981">
            <v>12.3</v>
          </cell>
          <cell r="I5981">
            <v>587.30999999999995</v>
          </cell>
          <cell r="J5981">
            <v>0</v>
          </cell>
          <cell r="K5981">
            <v>0</v>
          </cell>
          <cell r="M5981">
            <v>0</v>
          </cell>
          <cell r="P5981">
            <v>587</v>
          </cell>
          <cell r="V5981" t="str">
            <v>Available</v>
          </cell>
        </row>
        <row r="5982">
          <cell r="E5982">
            <v>10650003</v>
          </cell>
          <cell r="H5982">
            <v>14</v>
          </cell>
          <cell r="I5982">
            <v>1084.4100000000001</v>
          </cell>
          <cell r="J5982">
            <v>0</v>
          </cell>
          <cell r="K5982">
            <v>0</v>
          </cell>
          <cell r="M5982">
            <v>0</v>
          </cell>
          <cell r="P5982">
            <v>1084</v>
          </cell>
          <cell r="V5982" t="str">
            <v>Available</v>
          </cell>
        </row>
        <row r="5983">
          <cell r="E5983">
            <v>10650003</v>
          </cell>
          <cell r="H5983">
            <v>46</v>
          </cell>
          <cell r="I5983">
            <v>2064.3200000000006</v>
          </cell>
          <cell r="J5983">
            <v>0</v>
          </cell>
          <cell r="K5983">
            <v>0</v>
          </cell>
          <cell r="M5983">
            <v>0</v>
          </cell>
          <cell r="P5983">
            <v>2064</v>
          </cell>
          <cell r="V5983" t="str">
            <v>Available</v>
          </cell>
        </row>
        <row r="5984">
          <cell r="E5984">
            <v>10650003</v>
          </cell>
          <cell r="H5984">
            <v>26.100000000000005</v>
          </cell>
          <cell r="I5984">
            <v>1111.8</v>
          </cell>
          <cell r="J5984">
            <v>0</v>
          </cell>
          <cell r="K5984">
            <v>0</v>
          </cell>
          <cell r="M5984">
            <v>0</v>
          </cell>
          <cell r="P5984">
            <v>1112</v>
          </cell>
          <cell r="V5984" t="str">
            <v>Available</v>
          </cell>
        </row>
        <row r="5985">
          <cell r="E5985">
            <v>10650003</v>
          </cell>
          <cell r="H5985">
            <v>69.500000000000014</v>
          </cell>
          <cell r="I5985">
            <v>2719.1599999999994</v>
          </cell>
          <cell r="J5985">
            <v>0</v>
          </cell>
          <cell r="K5985">
            <v>0</v>
          </cell>
          <cell r="M5985">
            <v>0</v>
          </cell>
          <cell r="P5985">
            <v>2719</v>
          </cell>
          <cell r="V5985" t="str">
            <v>Available</v>
          </cell>
        </row>
        <row r="5986">
          <cell r="E5986">
            <v>10650003</v>
          </cell>
          <cell r="H5986">
            <v>53</v>
          </cell>
          <cell r="I5986">
            <v>2299.4</v>
          </cell>
          <cell r="J5986">
            <v>0</v>
          </cell>
          <cell r="K5986">
            <v>0</v>
          </cell>
          <cell r="M5986">
            <v>0</v>
          </cell>
          <cell r="P5986">
            <v>2299</v>
          </cell>
          <cell r="V5986" t="str">
            <v>Available</v>
          </cell>
        </row>
        <row r="5987">
          <cell r="E5987">
            <v>10650003</v>
          </cell>
          <cell r="H5987">
            <v>50.29999999999999</v>
          </cell>
          <cell r="I5987">
            <v>2492.9499999999998</v>
          </cell>
          <cell r="J5987">
            <v>0</v>
          </cell>
          <cell r="K5987">
            <v>0</v>
          </cell>
          <cell r="M5987">
            <v>0</v>
          </cell>
          <cell r="P5987">
            <v>2493</v>
          </cell>
          <cell r="V5987" t="str">
            <v>Available</v>
          </cell>
        </row>
        <row r="5988">
          <cell r="E5988">
            <v>10650004</v>
          </cell>
          <cell r="H5988">
            <v>334.60000000000008</v>
          </cell>
          <cell r="I5988">
            <v>13755.019999999997</v>
          </cell>
          <cell r="J5988">
            <v>0</v>
          </cell>
          <cell r="K5988">
            <v>0</v>
          </cell>
          <cell r="M5988">
            <v>0</v>
          </cell>
          <cell r="P5988">
            <v>12611</v>
          </cell>
          <cell r="V5988" t="str">
            <v>Available</v>
          </cell>
        </row>
        <row r="5989">
          <cell r="E5989">
            <v>10650004</v>
          </cell>
          <cell r="H5989">
            <v>17.900000000000002</v>
          </cell>
          <cell r="I5989">
            <v>686.86999999999989</v>
          </cell>
          <cell r="J5989">
            <v>0</v>
          </cell>
          <cell r="K5989">
            <v>0</v>
          </cell>
          <cell r="M5989">
            <v>0</v>
          </cell>
          <cell r="P5989">
            <v>687</v>
          </cell>
          <cell r="V5989" t="str">
            <v>Not Available</v>
          </cell>
        </row>
        <row r="5990">
          <cell r="E5990">
            <v>10650004</v>
          </cell>
          <cell r="H5990">
            <v>57.9</v>
          </cell>
          <cell r="I5990">
            <v>2292.9299999999998</v>
          </cell>
          <cell r="J5990">
            <v>0</v>
          </cell>
          <cell r="K5990">
            <v>0</v>
          </cell>
          <cell r="M5990">
            <v>0</v>
          </cell>
          <cell r="P5990">
            <v>2293</v>
          </cell>
          <cell r="V5990" t="str">
            <v>Not Available</v>
          </cell>
        </row>
        <row r="5991">
          <cell r="E5991">
            <v>10650004</v>
          </cell>
          <cell r="H5991">
            <v>38.700000000000003</v>
          </cell>
          <cell r="I5991">
            <v>1587.2200000000003</v>
          </cell>
          <cell r="J5991">
            <v>0</v>
          </cell>
          <cell r="K5991">
            <v>0</v>
          </cell>
          <cell r="M5991">
            <v>0</v>
          </cell>
          <cell r="P5991">
            <v>1587</v>
          </cell>
          <cell r="V5991" t="str">
            <v>Not Available</v>
          </cell>
        </row>
        <row r="5992">
          <cell r="E5992">
            <v>10650004</v>
          </cell>
          <cell r="H5992">
            <v>40.900000000000006</v>
          </cell>
          <cell r="I5992">
            <v>1785.4699999999998</v>
          </cell>
          <cell r="J5992">
            <v>0</v>
          </cell>
          <cell r="K5992">
            <v>0</v>
          </cell>
          <cell r="M5992">
            <v>0</v>
          </cell>
          <cell r="P5992">
            <v>1785</v>
          </cell>
          <cell r="V5992" t="str">
            <v>Not Available</v>
          </cell>
        </row>
        <row r="5993">
          <cell r="E5993">
            <v>10650004</v>
          </cell>
          <cell r="H5993">
            <v>34.799999999999997</v>
          </cell>
          <cell r="I5993">
            <v>1364.03</v>
          </cell>
          <cell r="J5993">
            <v>0</v>
          </cell>
          <cell r="K5993">
            <v>0</v>
          </cell>
          <cell r="M5993">
            <v>0</v>
          </cell>
          <cell r="P5993">
            <v>1364</v>
          </cell>
          <cell r="V5993" t="str">
            <v>Not Available</v>
          </cell>
        </row>
        <row r="5994">
          <cell r="E5994">
            <v>10650011</v>
          </cell>
          <cell r="H5994">
            <v>83.2</v>
          </cell>
          <cell r="I5994">
            <v>3703.7699999999995</v>
          </cell>
          <cell r="J5994">
            <v>0</v>
          </cell>
          <cell r="K5994">
            <v>0</v>
          </cell>
          <cell r="M5994">
            <v>0</v>
          </cell>
          <cell r="P5994">
            <v>1580</v>
          </cell>
          <cell r="V5994" t="str">
            <v>Available</v>
          </cell>
        </row>
        <row r="5995">
          <cell r="E5995">
            <v>10650011</v>
          </cell>
          <cell r="H5995">
            <v>13.9</v>
          </cell>
          <cell r="I5995">
            <v>585.42999999999995</v>
          </cell>
          <cell r="J5995">
            <v>0</v>
          </cell>
          <cell r="K5995">
            <v>0</v>
          </cell>
          <cell r="M5995">
            <v>0</v>
          </cell>
          <cell r="P5995">
            <v>585</v>
          </cell>
          <cell r="V5995" t="str">
            <v>Available</v>
          </cell>
        </row>
        <row r="5996">
          <cell r="E5996">
            <v>10650011</v>
          </cell>
          <cell r="H5996">
            <v>50.699999999999996</v>
          </cell>
          <cell r="I5996">
            <v>2159.88</v>
          </cell>
          <cell r="J5996">
            <v>0</v>
          </cell>
          <cell r="K5996">
            <v>0</v>
          </cell>
          <cell r="M5996">
            <v>0</v>
          </cell>
          <cell r="P5996">
            <v>2160</v>
          </cell>
          <cell r="V5996" t="str">
            <v>Available</v>
          </cell>
        </row>
        <row r="5997">
          <cell r="E5997">
            <v>10650011</v>
          </cell>
          <cell r="H5997">
            <v>65.5</v>
          </cell>
          <cell r="I5997">
            <v>2929.1400000000003</v>
          </cell>
          <cell r="J5997">
            <v>0</v>
          </cell>
          <cell r="K5997">
            <v>0</v>
          </cell>
          <cell r="M5997">
            <v>0</v>
          </cell>
          <cell r="P5997">
            <v>2929</v>
          </cell>
          <cell r="V5997" t="str">
            <v>Available</v>
          </cell>
        </row>
        <row r="5998">
          <cell r="E5998">
            <v>10650011</v>
          </cell>
          <cell r="H5998">
            <v>137.1</v>
          </cell>
          <cell r="I5998">
            <v>5532.0199999999995</v>
          </cell>
          <cell r="J5998">
            <v>0</v>
          </cell>
          <cell r="K5998">
            <v>0</v>
          </cell>
          <cell r="M5998">
            <v>0</v>
          </cell>
          <cell r="P5998">
            <v>5532</v>
          </cell>
          <cell r="V5998" t="str">
            <v>Available</v>
          </cell>
        </row>
        <row r="5999">
          <cell r="E5999">
            <v>10650011</v>
          </cell>
          <cell r="H5999">
            <v>59</v>
          </cell>
          <cell r="I5999">
            <v>2516.4299999999994</v>
          </cell>
          <cell r="J5999">
            <v>0</v>
          </cell>
          <cell r="K5999">
            <v>0</v>
          </cell>
          <cell r="M5999">
            <v>0</v>
          </cell>
          <cell r="P5999">
            <v>2516</v>
          </cell>
          <cell r="V5999" t="str">
            <v>Available</v>
          </cell>
        </row>
        <row r="6000">
          <cell r="E6000">
            <v>10650011</v>
          </cell>
          <cell r="H6000">
            <v>44.999999999999993</v>
          </cell>
          <cell r="I6000">
            <v>1812.79</v>
          </cell>
          <cell r="J6000">
            <v>0</v>
          </cell>
          <cell r="K6000">
            <v>0</v>
          </cell>
          <cell r="M6000">
            <v>0</v>
          </cell>
          <cell r="P6000">
            <v>1813</v>
          </cell>
          <cell r="V6000" t="str">
            <v>Available</v>
          </cell>
        </row>
        <row r="6001">
          <cell r="E6001">
            <v>10650011</v>
          </cell>
          <cell r="H6001">
            <v>36.700000000000003</v>
          </cell>
          <cell r="I6001">
            <v>1647.78</v>
          </cell>
          <cell r="J6001">
            <v>0</v>
          </cell>
          <cell r="K6001">
            <v>0</v>
          </cell>
          <cell r="M6001">
            <v>0</v>
          </cell>
          <cell r="P6001">
            <v>1648</v>
          </cell>
          <cell r="V6001" t="str">
            <v>Available</v>
          </cell>
        </row>
        <row r="6002">
          <cell r="E6002">
            <v>10650011</v>
          </cell>
          <cell r="H6002">
            <v>92.399999999999991</v>
          </cell>
          <cell r="I6002">
            <v>3682.74</v>
          </cell>
          <cell r="J6002">
            <v>0</v>
          </cell>
          <cell r="K6002">
            <v>0</v>
          </cell>
          <cell r="M6002">
            <v>0</v>
          </cell>
          <cell r="P6002">
            <v>3683</v>
          </cell>
          <cell r="V6002" t="str">
            <v>Available</v>
          </cell>
        </row>
        <row r="6003">
          <cell r="E6003">
            <v>10650013</v>
          </cell>
          <cell r="H6003">
            <v>220.99999999999994</v>
          </cell>
          <cell r="I6003">
            <v>8417.2500000000036</v>
          </cell>
          <cell r="J6003">
            <v>0</v>
          </cell>
          <cell r="K6003">
            <v>0</v>
          </cell>
          <cell r="M6003">
            <v>0</v>
          </cell>
          <cell r="P6003">
            <v>8409</v>
          </cell>
          <cell r="V6003" t="str">
            <v>Available</v>
          </cell>
        </row>
        <row r="6004">
          <cell r="E6004">
            <v>10650013</v>
          </cell>
          <cell r="H6004">
            <v>32.299999999999997</v>
          </cell>
          <cell r="I6004">
            <v>1317.3899999999999</v>
          </cell>
          <cell r="J6004">
            <v>0</v>
          </cell>
          <cell r="K6004">
            <v>0</v>
          </cell>
          <cell r="M6004">
            <v>0</v>
          </cell>
          <cell r="P6004">
            <v>1317</v>
          </cell>
          <cell r="V6004" t="str">
            <v>Available</v>
          </cell>
        </row>
        <row r="6005">
          <cell r="E6005">
            <v>10650013</v>
          </cell>
          <cell r="H6005">
            <v>206</v>
          </cell>
          <cell r="I6005">
            <v>7936.1200000000008</v>
          </cell>
          <cell r="J6005">
            <v>0</v>
          </cell>
          <cell r="K6005">
            <v>0</v>
          </cell>
          <cell r="M6005">
            <v>0</v>
          </cell>
          <cell r="P6005">
            <v>7936</v>
          </cell>
          <cell r="V6005" t="str">
            <v>Available</v>
          </cell>
        </row>
        <row r="6006">
          <cell r="E6006">
            <v>10650014</v>
          </cell>
          <cell r="H6006">
            <v>655.50000000000023</v>
          </cell>
          <cell r="I6006">
            <v>27657.87999999999</v>
          </cell>
          <cell r="J6006">
            <v>0</v>
          </cell>
          <cell r="K6006">
            <v>0</v>
          </cell>
          <cell r="M6006">
            <v>0</v>
          </cell>
          <cell r="P6006">
            <v>25615</v>
          </cell>
          <cell r="V6006" t="str">
            <v>Available</v>
          </cell>
        </row>
        <row r="6007">
          <cell r="E6007">
            <v>10650016</v>
          </cell>
          <cell r="H6007">
            <v>110.39999999999999</v>
          </cell>
          <cell r="I6007">
            <v>4125.3</v>
          </cell>
          <cell r="J6007">
            <v>0</v>
          </cell>
          <cell r="K6007">
            <v>0</v>
          </cell>
          <cell r="M6007">
            <v>0</v>
          </cell>
          <cell r="P6007">
            <v>4125</v>
          </cell>
          <cell r="V6007" t="str">
            <v>Available</v>
          </cell>
        </row>
        <row r="6008">
          <cell r="E6008">
            <v>10650016</v>
          </cell>
          <cell r="H6008">
            <v>74.7</v>
          </cell>
          <cell r="I6008">
            <v>2612.3199999999997</v>
          </cell>
          <cell r="J6008">
            <v>0</v>
          </cell>
          <cell r="K6008">
            <v>0</v>
          </cell>
          <cell r="M6008">
            <v>0</v>
          </cell>
          <cell r="P6008">
            <v>2612</v>
          </cell>
          <cell r="V6008" t="str">
            <v>Available</v>
          </cell>
        </row>
        <row r="6009">
          <cell r="E6009">
            <v>10650016</v>
          </cell>
          <cell r="H6009">
            <v>53.099999999999987</v>
          </cell>
          <cell r="I6009">
            <v>1958.3799999999999</v>
          </cell>
          <cell r="J6009">
            <v>0</v>
          </cell>
          <cell r="K6009">
            <v>0</v>
          </cell>
          <cell r="M6009">
            <v>0</v>
          </cell>
          <cell r="P6009">
            <v>1958</v>
          </cell>
          <cell r="V6009" t="str">
            <v>Not Available</v>
          </cell>
        </row>
        <row r="6010">
          <cell r="E6010">
            <v>10650016</v>
          </cell>
          <cell r="H6010">
            <v>55.099999999999994</v>
          </cell>
          <cell r="I6010">
            <v>1779.3999999999996</v>
          </cell>
          <cell r="J6010">
            <v>0</v>
          </cell>
          <cell r="K6010">
            <v>0</v>
          </cell>
          <cell r="M6010">
            <v>0</v>
          </cell>
          <cell r="P6010">
            <v>1779</v>
          </cell>
          <cell r="V6010" t="str">
            <v>Not Available</v>
          </cell>
        </row>
        <row r="6011">
          <cell r="E6011">
            <v>10650016</v>
          </cell>
          <cell r="H6011">
            <v>23.200000000000003</v>
          </cell>
          <cell r="I6011">
            <v>983.64</v>
          </cell>
          <cell r="J6011">
            <v>0</v>
          </cell>
          <cell r="K6011">
            <v>0</v>
          </cell>
          <cell r="M6011">
            <v>0</v>
          </cell>
          <cell r="P6011">
            <v>984</v>
          </cell>
          <cell r="V6011" t="str">
            <v>Available</v>
          </cell>
        </row>
        <row r="6012">
          <cell r="E6012">
            <v>10650023</v>
          </cell>
          <cell r="H6012">
            <v>10.59</v>
          </cell>
          <cell r="I6012">
            <v>445.77000000000004</v>
          </cell>
          <cell r="J6012">
            <v>0</v>
          </cell>
          <cell r="K6012">
            <v>445.77000000000004</v>
          </cell>
          <cell r="M6012">
            <v>0</v>
          </cell>
          <cell r="P6012">
            <v>0</v>
          </cell>
          <cell r="V6012" t="str">
            <v>Not Available</v>
          </cell>
        </row>
        <row r="6013">
          <cell r="E6013">
            <v>10650023</v>
          </cell>
          <cell r="H6013">
            <v>72.900000000000006</v>
          </cell>
          <cell r="I6013">
            <v>3084.3199999999997</v>
          </cell>
          <cell r="J6013">
            <v>0</v>
          </cell>
          <cell r="K6013">
            <v>0</v>
          </cell>
          <cell r="M6013">
            <v>0</v>
          </cell>
          <cell r="P6013">
            <v>1957</v>
          </cell>
          <cell r="V6013" t="str">
            <v>Available</v>
          </cell>
        </row>
        <row r="6014">
          <cell r="E6014">
            <v>10650029</v>
          </cell>
          <cell r="H6014">
            <v>83.44</v>
          </cell>
          <cell r="I6014">
            <v>3394.99</v>
          </cell>
          <cell r="J6014">
            <v>0</v>
          </cell>
          <cell r="K6014">
            <v>0</v>
          </cell>
          <cell r="M6014">
            <v>0</v>
          </cell>
          <cell r="P6014">
            <v>3395</v>
          </cell>
          <cell r="V6014" t="str">
            <v>Available</v>
          </cell>
        </row>
        <row r="6015">
          <cell r="E6015">
            <v>10660001</v>
          </cell>
          <cell r="H6015">
            <v>15.000000000000004</v>
          </cell>
          <cell r="I6015">
            <v>768.02</v>
          </cell>
          <cell r="J6015">
            <v>0</v>
          </cell>
          <cell r="K6015">
            <v>768.02</v>
          </cell>
          <cell r="M6015">
            <v>0</v>
          </cell>
          <cell r="P6015">
            <v>0</v>
          </cell>
          <cell r="V6015" t="str">
            <v>Not Available</v>
          </cell>
        </row>
        <row r="6016">
          <cell r="E6016">
            <v>10660001</v>
          </cell>
          <cell r="H6016">
            <v>334.1</v>
          </cell>
          <cell r="I6016">
            <v>19016.830000000002</v>
          </cell>
          <cell r="J6016">
            <v>0</v>
          </cell>
          <cell r="K6016">
            <v>0</v>
          </cell>
          <cell r="M6016">
            <v>1550</v>
          </cell>
          <cell r="P6016">
            <v>17467</v>
          </cell>
          <cell r="V6016" t="str">
            <v>Available</v>
          </cell>
        </row>
        <row r="6017">
          <cell r="E6017">
            <v>10660001</v>
          </cell>
          <cell r="H6017">
            <v>72.5</v>
          </cell>
          <cell r="I6017">
            <v>3918.4800000000005</v>
          </cell>
          <cell r="J6017">
            <v>0</v>
          </cell>
          <cell r="K6017">
            <v>0</v>
          </cell>
          <cell r="M6017">
            <v>1550</v>
          </cell>
          <cell r="P6017">
            <v>2368</v>
          </cell>
          <cell r="V6017" t="str">
            <v>Available</v>
          </cell>
        </row>
        <row r="6018">
          <cell r="E6018">
            <v>10660001</v>
          </cell>
          <cell r="H6018">
            <v>440.4</v>
          </cell>
          <cell r="I6018">
            <v>25169.609999999997</v>
          </cell>
          <cell r="J6018">
            <v>0</v>
          </cell>
          <cell r="K6018">
            <v>0</v>
          </cell>
          <cell r="M6018">
            <v>0</v>
          </cell>
          <cell r="P6018">
            <v>25170</v>
          </cell>
          <cell r="V6018" t="str">
            <v>Available</v>
          </cell>
        </row>
        <row r="6019">
          <cell r="E6019">
            <v>10660001</v>
          </cell>
          <cell r="H6019">
            <v>154.9</v>
          </cell>
          <cell r="I6019">
            <v>9806.66</v>
          </cell>
          <cell r="J6019">
            <v>0</v>
          </cell>
          <cell r="K6019">
            <v>0</v>
          </cell>
          <cell r="M6019">
            <v>0</v>
          </cell>
          <cell r="P6019">
            <v>9807</v>
          </cell>
          <cell r="V6019" t="str">
            <v>Available</v>
          </cell>
        </row>
        <row r="6020">
          <cell r="E6020">
            <v>10660001</v>
          </cell>
          <cell r="H6020">
            <v>22.600000000000005</v>
          </cell>
          <cell r="I6020">
            <v>1020.2199999999998</v>
          </cell>
          <cell r="J6020">
            <v>0</v>
          </cell>
          <cell r="K6020">
            <v>0</v>
          </cell>
          <cell r="M6020">
            <v>0</v>
          </cell>
          <cell r="P6020">
            <v>1020</v>
          </cell>
          <cell r="V6020" t="str">
            <v>Available</v>
          </cell>
        </row>
        <row r="6021">
          <cell r="E6021">
            <v>10660001</v>
          </cell>
          <cell r="H6021">
            <v>22.900000000000002</v>
          </cell>
          <cell r="I6021">
            <v>1747.4300000000003</v>
          </cell>
          <cell r="J6021">
            <v>0</v>
          </cell>
          <cell r="K6021">
            <v>0</v>
          </cell>
          <cell r="M6021">
            <v>0</v>
          </cell>
          <cell r="P6021">
            <v>1747</v>
          </cell>
          <cell r="V6021" t="str">
            <v>Available</v>
          </cell>
        </row>
        <row r="6022">
          <cell r="E6022">
            <v>10660001</v>
          </cell>
          <cell r="H6022">
            <v>92.000000000000014</v>
          </cell>
          <cell r="I6022">
            <v>4235.5700000000006</v>
          </cell>
          <cell r="J6022">
            <v>0</v>
          </cell>
          <cell r="K6022">
            <v>0</v>
          </cell>
          <cell r="M6022">
            <v>1550</v>
          </cell>
          <cell r="P6022">
            <v>2686</v>
          </cell>
          <cell r="V6022" t="str">
            <v>Available</v>
          </cell>
        </row>
        <row r="6023">
          <cell r="E6023">
            <v>10660001</v>
          </cell>
          <cell r="H6023">
            <v>70.400000000000006</v>
          </cell>
          <cell r="I6023">
            <v>3646.9900000000002</v>
          </cell>
          <cell r="J6023">
            <v>0</v>
          </cell>
          <cell r="K6023">
            <v>0</v>
          </cell>
          <cell r="M6023">
            <v>0</v>
          </cell>
          <cell r="P6023">
            <v>3647</v>
          </cell>
          <cell r="V6023" t="str">
            <v>Available</v>
          </cell>
        </row>
        <row r="6024">
          <cell r="E6024">
            <v>10660001</v>
          </cell>
          <cell r="H6024">
            <v>99.6</v>
          </cell>
          <cell r="I6024">
            <v>4809.82</v>
          </cell>
          <cell r="J6024">
            <v>0</v>
          </cell>
          <cell r="K6024">
            <v>0</v>
          </cell>
          <cell r="M6024">
            <v>0</v>
          </cell>
          <cell r="P6024">
            <v>4810</v>
          </cell>
          <cell r="V6024" t="str">
            <v>Available</v>
          </cell>
        </row>
        <row r="6025">
          <cell r="E6025">
            <v>10660001</v>
          </cell>
          <cell r="H6025">
            <v>7.9</v>
          </cell>
          <cell r="I6025">
            <v>445.99</v>
          </cell>
          <cell r="J6025">
            <v>0</v>
          </cell>
          <cell r="K6025">
            <v>0</v>
          </cell>
          <cell r="M6025">
            <v>0</v>
          </cell>
          <cell r="P6025">
            <v>446</v>
          </cell>
          <cell r="V6025" t="str">
            <v>Available</v>
          </cell>
        </row>
        <row r="6026">
          <cell r="E6026">
            <v>10660001</v>
          </cell>
          <cell r="H6026">
            <v>13.5</v>
          </cell>
          <cell r="I6026">
            <v>615.16000000000008</v>
          </cell>
          <cell r="J6026">
            <v>0</v>
          </cell>
          <cell r="K6026">
            <v>0</v>
          </cell>
          <cell r="M6026">
            <v>615</v>
          </cell>
          <cell r="P6026">
            <v>0</v>
          </cell>
          <cell r="V6026" t="str">
            <v>Available</v>
          </cell>
        </row>
        <row r="6027">
          <cell r="E6027">
            <v>10660001</v>
          </cell>
          <cell r="H6027">
            <v>9.4</v>
          </cell>
          <cell r="I6027">
            <v>693.2600000000001</v>
          </cell>
          <cell r="J6027">
            <v>0</v>
          </cell>
          <cell r="K6027">
            <v>0</v>
          </cell>
          <cell r="M6027">
            <v>0</v>
          </cell>
          <cell r="P6027">
            <v>693</v>
          </cell>
          <cell r="V6027" t="str">
            <v>Available</v>
          </cell>
        </row>
        <row r="6028">
          <cell r="E6028">
            <v>10660001</v>
          </cell>
          <cell r="H6028">
            <v>14.399999999999999</v>
          </cell>
          <cell r="I6028">
            <v>843.8599999999999</v>
          </cell>
          <cell r="J6028">
            <v>0</v>
          </cell>
          <cell r="K6028">
            <v>0</v>
          </cell>
          <cell r="M6028">
            <v>0</v>
          </cell>
          <cell r="P6028">
            <v>844</v>
          </cell>
          <cell r="V6028" t="str">
            <v>Available</v>
          </cell>
        </row>
        <row r="6029">
          <cell r="E6029">
            <v>10660001</v>
          </cell>
          <cell r="H6029">
            <v>6.4</v>
          </cell>
          <cell r="I6029">
            <v>516.69000000000005</v>
          </cell>
          <cell r="J6029">
            <v>0</v>
          </cell>
          <cell r="K6029">
            <v>0</v>
          </cell>
          <cell r="M6029">
            <v>0</v>
          </cell>
          <cell r="P6029">
            <v>517</v>
          </cell>
          <cell r="V6029" t="str">
            <v>Available</v>
          </cell>
        </row>
        <row r="6030">
          <cell r="E6030">
            <v>10660001</v>
          </cell>
          <cell r="H6030">
            <v>9.6</v>
          </cell>
          <cell r="I6030">
            <v>485.37</v>
          </cell>
          <cell r="J6030">
            <v>0</v>
          </cell>
          <cell r="K6030">
            <v>0</v>
          </cell>
          <cell r="M6030">
            <v>0</v>
          </cell>
          <cell r="P6030">
            <v>485</v>
          </cell>
          <cell r="V6030" t="str">
            <v>Available</v>
          </cell>
        </row>
        <row r="6031">
          <cell r="E6031">
            <v>10660001</v>
          </cell>
          <cell r="H6031">
            <v>65.400000000000006</v>
          </cell>
          <cell r="I6031">
            <v>3728.8500000000004</v>
          </cell>
          <cell r="J6031">
            <v>0</v>
          </cell>
          <cell r="K6031">
            <v>0</v>
          </cell>
          <cell r="M6031">
            <v>0</v>
          </cell>
          <cell r="P6031">
            <v>3729</v>
          </cell>
          <cell r="V6031" t="str">
            <v>Available</v>
          </cell>
        </row>
        <row r="6032">
          <cell r="E6032">
            <v>10660002</v>
          </cell>
          <cell r="H6032">
            <v>13.9</v>
          </cell>
          <cell r="I6032">
            <v>622.68999999999983</v>
          </cell>
          <cell r="J6032">
            <v>0</v>
          </cell>
          <cell r="K6032">
            <v>622.68999999999983</v>
          </cell>
          <cell r="M6032">
            <v>0</v>
          </cell>
          <cell r="P6032">
            <v>0</v>
          </cell>
          <cell r="V6032" t="str">
            <v>Not Available</v>
          </cell>
        </row>
        <row r="6033">
          <cell r="E6033">
            <v>10660002</v>
          </cell>
          <cell r="H6033">
            <v>237.79999999999995</v>
          </cell>
          <cell r="I6033">
            <v>11471.179999999997</v>
          </cell>
          <cell r="J6033">
            <v>0</v>
          </cell>
          <cell r="K6033">
            <v>0</v>
          </cell>
          <cell r="M6033">
            <v>2590</v>
          </cell>
          <cell r="P6033">
            <v>8636</v>
          </cell>
          <cell r="V6033" t="str">
            <v>Available</v>
          </cell>
        </row>
        <row r="6034">
          <cell r="E6034">
            <v>10660002</v>
          </cell>
          <cell r="H6034">
            <v>85.699999999999989</v>
          </cell>
          <cell r="I6034">
            <v>3811.5299999999997</v>
          </cell>
          <cell r="J6034">
            <v>0</v>
          </cell>
          <cell r="K6034">
            <v>0</v>
          </cell>
          <cell r="M6034">
            <v>0</v>
          </cell>
          <cell r="P6034">
            <v>3812</v>
          </cell>
          <cell r="V6034" t="str">
            <v>Available</v>
          </cell>
        </row>
        <row r="6035">
          <cell r="E6035">
            <v>10660002</v>
          </cell>
          <cell r="H6035">
            <v>7.8</v>
          </cell>
          <cell r="I6035">
            <v>338.62</v>
          </cell>
          <cell r="J6035">
            <v>0</v>
          </cell>
          <cell r="K6035">
            <v>0</v>
          </cell>
          <cell r="M6035">
            <v>0</v>
          </cell>
          <cell r="P6035">
            <v>339</v>
          </cell>
          <cell r="V6035" t="str">
            <v>Available</v>
          </cell>
        </row>
        <row r="6036">
          <cell r="E6036">
            <v>10660002</v>
          </cell>
          <cell r="H6036">
            <v>102.60000000000001</v>
          </cell>
          <cell r="I6036">
            <v>4813.7599999999984</v>
          </cell>
          <cell r="J6036">
            <v>0</v>
          </cell>
          <cell r="K6036">
            <v>0</v>
          </cell>
          <cell r="M6036">
            <v>0</v>
          </cell>
          <cell r="P6036">
            <v>4814</v>
          </cell>
          <cell r="V6036" t="str">
            <v>Available</v>
          </cell>
        </row>
        <row r="6037">
          <cell r="E6037">
            <v>10660002</v>
          </cell>
          <cell r="H6037">
            <v>42.600000000000009</v>
          </cell>
          <cell r="I6037">
            <v>1664.13</v>
          </cell>
          <cell r="J6037">
            <v>0</v>
          </cell>
          <cell r="K6037">
            <v>0</v>
          </cell>
          <cell r="M6037">
            <v>0</v>
          </cell>
          <cell r="P6037">
            <v>1664</v>
          </cell>
          <cell r="V6037" t="str">
            <v>Available</v>
          </cell>
        </row>
        <row r="6038">
          <cell r="E6038">
            <v>10660002</v>
          </cell>
          <cell r="H6038">
            <v>49.4</v>
          </cell>
          <cell r="I6038">
            <v>1889.81</v>
          </cell>
          <cell r="J6038">
            <v>0</v>
          </cell>
          <cell r="K6038">
            <v>0</v>
          </cell>
          <cell r="M6038">
            <v>0</v>
          </cell>
          <cell r="P6038">
            <v>1890</v>
          </cell>
          <cell r="V6038" t="str">
            <v>Available</v>
          </cell>
        </row>
        <row r="6039">
          <cell r="E6039">
            <v>10660002</v>
          </cell>
          <cell r="H6039">
            <v>6</v>
          </cell>
          <cell r="I6039">
            <v>246.45000000000002</v>
          </cell>
          <cell r="J6039">
            <v>0</v>
          </cell>
          <cell r="K6039">
            <v>0</v>
          </cell>
          <cell r="M6039">
            <v>0</v>
          </cell>
          <cell r="P6039">
            <v>246</v>
          </cell>
          <cell r="V6039" t="str">
            <v>Available</v>
          </cell>
        </row>
        <row r="6040">
          <cell r="E6040">
            <v>10660004</v>
          </cell>
          <cell r="H6040">
            <v>12.3</v>
          </cell>
          <cell r="I6040">
            <v>531.15</v>
          </cell>
          <cell r="J6040">
            <v>0</v>
          </cell>
          <cell r="K6040">
            <v>531.15</v>
          </cell>
          <cell r="M6040">
            <v>0</v>
          </cell>
          <cell r="P6040">
            <v>0</v>
          </cell>
          <cell r="V6040" t="str">
            <v>Not Available</v>
          </cell>
        </row>
        <row r="6041">
          <cell r="E6041">
            <v>10660004</v>
          </cell>
          <cell r="H6041">
            <v>9.2000000000000011</v>
          </cell>
          <cell r="I6041">
            <v>611.98</v>
          </cell>
          <cell r="J6041">
            <v>0</v>
          </cell>
          <cell r="K6041">
            <v>0</v>
          </cell>
          <cell r="M6041">
            <v>50</v>
          </cell>
          <cell r="P6041">
            <v>562</v>
          </cell>
          <cell r="V6041" t="str">
            <v>Available</v>
          </cell>
        </row>
        <row r="6042">
          <cell r="E6042">
            <v>10660004</v>
          </cell>
          <cell r="H6042">
            <v>37.300000000000004</v>
          </cell>
          <cell r="I6042">
            <v>1650.1700000000003</v>
          </cell>
          <cell r="J6042">
            <v>0</v>
          </cell>
          <cell r="K6042">
            <v>0</v>
          </cell>
          <cell r="M6042">
            <v>1650</v>
          </cell>
          <cell r="P6042">
            <v>0</v>
          </cell>
          <cell r="V6042" t="str">
            <v>Available</v>
          </cell>
        </row>
        <row r="6043">
          <cell r="E6043">
            <v>10660004</v>
          </cell>
          <cell r="H6043">
            <v>7.1000000000000005</v>
          </cell>
          <cell r="I6043">
            <v>265.16000000000003</v>
          </cell>
          <cell r="J6043">
            <v>0</v>
          </cell>
          <cell r="K6043">
            <v>0</v>
          </cell>
          <cell r="M6043">
            <v>0</v>
          </cell>
          <cell r="P6043">
            <v>265</v>
          </cell>
          <cell r="V6043" t="str">
            <v>Available</v>
          </cell>
        </row>
        <row r="6044">
          <cell r="E6044">
            <v>10660004</v>
          </cell>
          <cell r="H6044">
            <v>37.9</v>
          </cell>
          <cell r="I6044">
            <v>1519.79</v>
          </cell>
          <cell r="J6044">
            <v>0</v>
          </cell>
          <cell r="K6044">
            <v>0</v>
          </cell>
          <cell r="M6044">
            <v>0</v>
          </cell>
          <cell r="P6044">
            <v>1520</v>
          </cell>
          <cell r="V6044" t="str">
            <v>Available</v>
          </cell>
        </row>
        <row r="6045">
          <cell r="E6045">
            <v>10660004</v>
          </cell>
          <cell r="H6045">
            <v>2.2000000000000002</v>
          </cell>
          <cell r="I6045">
            <v>78.58</v>
          </cell>
          <cell r="J6045">
            <v>0</v>
          </cell>
          <cell r="K6045">
            <v>0</v>
          </cell>
          <cell r="M6045">
            <v>0</v>
          </cell>
          <cell r="P6045">
            <v>79</v>
          </cell>
          <cell r="V6045" t="str">
            <v>Available</v>
          </cell>
        </row>
        <row r="6046">
          <cell r="E6046">
            <v>10660004</v>
          </cell>
          <cell r="H6046">
            <v>45</v>
          </cell>
          <cell r="I6046">
            <v>1979.8</v>
          </cell>
          <cell r="J6046">
            <v>0</v>
          </cell>
          <cell r="K6046">
            <v>0</v>
          </cell>
          <cell r="M6046">
            <v>0</v>
          </cell>
          <cell r="P6046">
            <v>1980</v>
          </cell>
          <cell r="V6046" t="str">
            <v>Available</v>
          </cell>
        </row>
        <row r="6047">
          <cell r="E6047">
            <v>10660004</v>
          </cell>
          <cell r="H6047">
            <v>44.5</v>
          </cell>
          <cell r="I6047">
            <v>1773.42</v>
          </cell>
          <cell r="J6047">
            <v>0</v>
          </cell>
          <cell r="K6047">
            <v>0</v>
          </cell>
          <cell r="M6047">
            <v>0</v>
          </cell>
          <cell r="P6047">
            <v>1773</v>
          </cell>
          <cell r="V6047" t="str">
            <v>Available</v>
          </cell>
        </row>
        <row r="6048">
          <cell r="E6048">
            <v>10660004</v>
          </cell>
          <cell r="H6048">
            <v>18.699999999999996</v>
          </cell>
          <cell r="I6048">
            <v>664.49</v>
          </cell>
          <cell r="J6048">
            <v>0</v>
          </cell>
          <cell r="K6048">
            <v>0</v>
          </cell>
          <cell r="M6048">
            <v>0</v>
          </cell>
          <cell r="P6048">
            <v>664</v>
          </cell>
          <cell r="V6048" t="str">
            <v>Available</v>
          </cell>
        </row>
        <row r="6049">
          <cell r="E6049">
            <v>10660004</v>
          </cell>
          <cell r="H6049">
            <v>19.799999999999997</v>
          </cell>
          <cell r="I6049">
            <v>721.95</v>
          </cell>
          <cell r="J6049">
            <v>0</v>
          </cell>
          <cell r="K6049">
            <v>0</v>
          </cell>
          <cell r="M6049">
            <v>0</v>
          </cell>
          <cell r="P6049">
            <v>722</v>
          </cell>
          <cell r="V6049" t="str">
            <v>Available</v>
          </cell>
        </row>
        <row r="6050">
          <cell r="E6050">
            <v>10660004</v>
          </cell>
          <cell r="H6050">
            <v>9.6999999999999993</v>
          </cell>
          <cell r="I6050">
            <v>363.5</v>
          </cell>
          <cell r="J6050">
            <v>0</v>
          </cell>
          <cell r="K6050">
            <v>0</v>
          </cell>
          <cell r="M6050">
            <v>0</v>
          </cell>
          <cell r="P6050">
            <v>364</v>
          </cell>
          <cell r="V6050" t="str">
            <v>Available</v>
          </cell>
        </row>
        <row r="6051">
          <cell r="E6051">
            <v>10660004</v>
          </cell>
          <cell r="H6051">
            <v>12.4</v>
          </cell>
          <cell r="I6051">
            <v>449.07</v>
          </cell>
          <cell r="J6051">
            <v>0</v>
          </cell>
          <cell r="K6051">
            <v>0</v>
          </cell>
          <cell r="M6051">
            <v>0</v>
          </cell>
          <cell r="P6051">
            <v>449</v>
          </cell>
          <cell r="V6051" t="str">
            <v>Available</v>
          </cell>
        </row>
        <row r="6052">
          <cell r="E6052">
            <v>10660004</v>
          </cell>
          <cell r="H6052">
            <v>1.7</v>
          </cell>
          <cell r="I6052">
            <v>74.900000000000006</v>
          </cell>
          <cell r="J6052">
            <v>0</v>
          </cell>
          <cell r="K6052">
            <v>0</v>
          </cell>
          <cell r="M6052">
            <v>0</v>
          </cell>
          <cell r="P6052">
            <v>75</v>
          </cell>
          <cell r="V6052" t="str">
            <v>Available</v>
          </cell>
        </row>
        <row r="6053">
          <cell r="E6053">
            <v>10660004</v>
          </cell>
          <cell r="H6053">
            <v>14.200000000000001</v>
          </cell>
          <cell r="I6053">
            <v>540.46</v>
          </cell>
          <cell r="J6053">
            <v>0</v>
          </cell>
          <cell r="K6053">
            <v>0</v>
          </cell>
          <cell r="M6053">
            <v>0</v>
          </cell>
          <cell r="P6053">
            <v>540</v>
          </cell>
          <cell r="V6053" t="str">
            <v>Available</v>
          </cell>
        </row>
        <row r="6054">
          <cell r="E6054">
            <v>10660004</v>
          </cell>
          <cell r="H6054">
            <v>7.1999999999999993</v>
          </cell>
          <cell r="I6054">
            <v>291.89</v>
          </cell>
          <cell r="J6054">
            <v>0</v>
          </cell>
          <cell r="K6054">
            <v>0</v>
          </cell>
          <cell r="M6054">
            <v>0</v>
          </cell>
          <cell r="P6054">
            <v>292</v>
          </cell>
          <cell r="V6054" t="str">
            <v>Available</v>
          </cell>
        </row>
        <row r="6055">
          <cell r="E6055">
            <v>10660004</v>
          </cell>
          <cell r="H6055">
            <v>29</v>
          </cell>
          <cell r="I6055">
            <v>1143.58</v>
          </cell>
          <cell r="J6055">
            <v>0</v>
          </cell>
          <cell r="K6055">
            <v>0</v>
          </cell>
          <cell r="M6055">
            <v>0</v>
          </cell>
          <cell r="P6055">
            <v>1144</v>
          </cell>
          <cell r="V6055" t="str">
            <v>Available</v>
          </cell>
        </row>
        <row r="6056">
          <cell r="E6056">
            <v>10660004</v>
          </cell>
          <cell r="H6056">
            <v>38.1</v>
          </cell>
          <cell r="I6056">
            <v>2115.4000000000005</v>
          </cell>
          <cell r="J6056">
            <v>0</v>
          </cell>
          <cell r="K6056">
            <v>0</v>
          </cell>
          <cell r="M6056">
            <v>0</v>
          </cell>
          <cell r="P6056">
            <v>2115</v>
          </cell>
          <cell r="V6056" t="str">
            <v>Available</v>
          </cell>
        </row>
        <row r="6057">
          <cell r="E6057">
            <v>10660004</v>
          </cell>
          <cell r="H6057">
            <v>103.6</v>
          </cell>
          <cell r="I6057">
            <v>3963.5600000000004</v>
          </cell>
          <cell r="J6057">
            <v>0</v>
          </cell>
          <cell r="K6057">
            <v>0</v>
          </cell>
          <cell r="M6057">
            <v>0</v>
          </cell>
          <cell r="P6057">
            <v>3964</v>
          </cell>
          <cell r="V6057" t="str">
            <v>Available</v>
          </cell>
        </row>
        <row r="6058">
          <cell r="E6058">
            <v>10660004</v>
          </cell>
          <cell r="H6058">
            <v>33.6</v>
          </cell>
          <cell r="I6058">
            <v>1854.09</v>
          </cell>
          <cell r="J6058">
            <v>0</v>
          </cell>
          <cell r="K6058">
            <v>0</v>
          </cell>
          <cell r="M6058">
            <v>0</v>
          </cell>
          <cell r="P6058">
            <v>1854</v>
          </cell>
          <cell r="V6058" t="str">
            <v>Available</v>
          </cell>
        </row>
        <row r="6059">
          <cell r="E6059">
            <v>10660004</v>
          </cell>
          <cell r="H6059">
            <v>9.4000000000000021</v>
          </cell>
          <cell r="I6059">
            <v>678.96999999999991</v>
          </cell>
          <cell r="J6059">
            <v>0</v>
          </cell>
          <cell r="K6059">
            <v>0</v>
          </cell>
          <cell r="M6059">
            <v>0</v>
          </cell>
          <cell r="P6059">
            <v>679</v>
          </cell>
          <cell r="V6059" t="str">
            <v>Available</v>
          </cell>
        </row>
        <row r="6060">
          <cell r="E6060">
            <v>10660004</v>
          </cell>
          <cell r="H6060">
            <v>31.6</v>
          </cell>
          <cell r="I6060">
            <v>1668.1899999999998</v>
          </cell>
          <cell r="J6060">
            <v>0</v>
          </cell>
          <cell r="K6060">
            <v>0</v>
          </cell>
          <cell r="M6060">
            <v>0</v>
          </cell>
          <cell r="P6060">
            <v>1668</v>
          </cell>
          <cell r="V6060" t="str">
            <v>Available</v>
          </cell>
        </row>
        <row r="6061">
          <cell r="E6061">
            <v>10660004</v>
          </cell>
          <cell r="H6061">
            <v>43.300000000000004</v>
          </cell>
          <cell r="I6061">
            <v>1560.02</v>
          </cell>
          <cell r="J6061">
            <v>0</v>
          </cell>
          <cell r="K6061">
            <v>0</v>
          </cell>
          <cell r="M6061">
            <v>0</v>
          </cell>
          <cell r="P6061">
            <v>1560</v>
          </cell>
          <cell r="V6061" t="str">
            <v>Available</v>
          </cell>
        </row>
        <row r="6062">
          <cell r="E6062">
            <v>10660004</v>
          </cell>
          <cell r="H6062">
            <v>28.700000000000003</v>
          </cell>
          <cell r="I6062">
            <v>1049.9000000000001</v>
          </cell>
          <cell r="J6062">
            <v>0</v>
          </cell>
          <cell r="K6062">
            <v>0</v>
          </cell>
          <cell r="M6062">
            <v>0</v>
          </cell>
          <cell r="P6062">
            <v>1050</v>
          </cell>
          <cell r="V6062" t="str">
            <v>Available</v>
          </cell>
        </row>
        <row r="6063">
          <cell r="E6063">
            <v>10660004</v>
          </cell>
          <cell r="H6063">
            <v>14.899999999999999</v>
          </cell>
          <cell r="I6063">
            <v>691.96999999999991</v>
          </cell>
          <cell r="J6063">
            <v>0</v>
          </cell>
          <cell r="K6063">
            <v>0</v>
          </cell>
          <cell r="M6063">
            <v>0</v>
          </cell>
          <cell r="P6063">
            <v>692</v>
          </cell>
          <cell r="V6063" t="str">
            <v>Available</v>
          </cell>
        </row>
        <row r="6064">
          <cell r="E6064">
            <v>10660004</v>
          </cell>
          <cell r="H6064">
            <v>47.8</v>
          </cell>
          <cell r="I6064">
            <v>2192.9300000000003</v>
          </cell>
          <cell r="J6064">
            <v>0</v>
          </cell>
          <cell r="K6064">
            <v>0</v>
          </cell>
          <cell r="M6064">
            <v>0</v>
          </cell>
          <cell r="P6064">
            <v>2193</v>
          </cell>
          <cell r="V6064" t="str">
            <v>Available</v>
          </cell>
        </row>
        <row r="6065">
          <cell r="E6065">
            <v>10660004</v>
          </cell>
          <cell r="H6065">
            <v>25</v>
          </cell>
          <cell r="I6065">
            <v>1112.2499999999998</v>
          </cell>
          <cell r="J6065">
            <v>0</v>
          </cell>
          <cell r="K6065">
            <v>0</v>
          </cell>
          <cell r="M6065">
            <v>0</v>
          </cell>
          <cell r="P6065">
            <v>1112</v>
          </cell>
          <cell r="V6065" t="str">
            <v>Available</v>
          </cell>
        </row>
        <row r="6066">
          <cell r="E6066">
            <v>10660005</v>
          </cell>
          <cell r="H6066">
            <v>0.7</v>
          </cell>
          <cell r="I6066">
            <v>27.15</v>
          </cell>
          <cell r="J6066">
            <v>0</v>
          </cell>
          <cell r="K6066">
            <v>27.15</v>
          </cell>
          <cell r="M6066">
            <v>0</v>
          </cell>
          <cell r="P6066">
            <v>0</v>
          </cell>
          <cell r="V6066" t="str">
            <v>Not Available</v>
          </cell>
        </row>
        <row r="6067">
          <cell r="E6067">
            <v>10660005</v>
          </cell>
          <cell r="H6067">
            <v>51.400000000000006</v>
          </cell>
          <cell r="I6067">
            <v>2336.42</v>
          </cell>
          <cell r="J6067">
            <v>0</v>
          </cell>
          <cell r="K6067">
            <v>0</v>
          </cell>
          <cell r="M6067">
            <v>0</v>
          </cell>
          <cell r="P6067">
            <v>2245</v>
          </cell>
          <cell r="V6067" t="str">
            <v>Available</v>
          </cell>
        </row>
        <row r="6068">
          <cell r="E6068">
            <v>10660005</v>
          </cell>
          <cell r="H6068">
            <v>48.4</v>
          </cell>
          <cell r="I6068">
            <v>1962.4399999999994</v>
          </cell>
          <cell r="J6068">
            <v>0</v>
          </cell>
          <cell r="K6068">
            <v>0</v>
          </cell>
          <cell r="M6068">
            <v>0</v>
          </cell>
          <cell r="P6068">
            <v>1962</v>
          </cell>
          <cell r="V6068" t="str">
            <v>Available</v>
          </cell>
        </row>
        <row r="6069">
          <cell r="E6069">
            <v>10660005</v>
          </cell>
          <cell r="H6069">
            <v>94.000000000000028</v>
          </cell>
          <cell r="I6069">
            <v>4550.7800000000007</v>
          </cell>
          <cell r="J6069">
            <v>0</v>
          </cell>
          <cell r="K6069">
            <v>0</v>
          </cell>
          <cell r="M6069">
            <v>0</v>
          </cell>
          <cell r="P6069">
            <v>4551</v>
          </cell>
          <cell r="V6069" t="str">
            <v>Available</v>
          </cell>
        </row>
        <row r="6070">
          <cell r="E6070">
            <v>10660005</v>
          </cell>
          <cell r="H6070">
            <v>5.5</v>
          </cell>
          <cell r="I6070">
            <v>240.98000000000002</v>
          </cell>
          <cell r="J6070">
            <v>0</v>
          </cell>
          <cell r="K6070">
            <v>0</v>
          </cell>
          <cell r="M6070">
            <v>0</v>
          </cell>
          <cell r="P6070">
            <v>241</v>
          </cell>
          <cell r="V6070" t="str">
            <v>Available</v>
          </cell>
        </row>
        <row r="6071">
          <cell r="E6071">
            <v>10660005</v>
          </cell>
          <cell r="H6071">
            <v>25.1</v>
          </cell>
          <cell r="I6071">
            <v>1702.69</v>
          </cell>
          <cell r="J6071">
            <v>0</v>
          </cell>
          <cell r="K6071">
            <v>0</v>
          </cell>
          <cell r="M6071">
            <v>0</v>
          </cell>
          <cell r="P6071">
            <v>1703</v>
          </cell>
          <cell r="V6071" t="str">
            <v>Available</v>
          </cell>
        </row>
        <row r="6072">
          <cell r="E6072">
            <v>10660005</v>
          </cell>
          <cell r="H6072">
            <v>9.7000000000000011</v>
          </cell>
          <cell r="I6072">
            <v>409.95</v>
          </cell>
          <cell r="J6072">
            <v>0</v>
          </cell>
          <cell r="K6072">
            <v>0</v>
          </cell>
          <cell r="M6072">
            <v>0</v>
          </cell>
          <cell r="P6072">
            <v>410</v>
          </cell>
          <cell r="V6072" t="str">
            <v>Available</v>
          </cell>
        </row>
        <row r="6073">
          <cell r="E6073">
            <v>10660005</v>
          </cell>
          <cell r="H6073">
            <v>4.5</v>
          </cell>
          <cell r="I6073">
            <v>320.26</v>
          </cell>
          <cell r="J6073">
            <v>0</v>
          </cell>
          <cell r="K6073">
            <v>0</v>
          </cell>
          <cell r="M6073">
            <v>0</v>
          </cell>
          <cell r="P6073">
            <v>320</v>
          </cell>
          <cell r="V6073" t="str">
            <v>Available</v>
          </cell>
        </row>
        <row r="6074">
          <cell r="E6074">
            <v>10660005</v>
          </cell>
          <cell r="H6074">
            <v>21.1</v>
          </cell>
          <cell r="I6074">
            <v>1499.45</v>
          </cell>
          <cell r="J6074">
            <v>0</v>
          </cell>
          <cell r="K6074">
            <v>0</v>
          </cell>
          <cell r="M6074">
            <v>0</v>
          </cell>
          <cell r="P6074">
            <v>1499</v>
          </cell>
          <cell r="V6074" t="str">
            <v>Available</v>
          </cell>
        </row>
        <row r="6075">
          <cell r="E6075">
            <v>10660005</v>
          </cell>
          <cell r="H6075">
            <v>15</v>
          </cell>
          <cell r="I6075">
            <v>1016.56</v>
          </cell>
          <cell r="J6075">
            <v>0</v>
          </cell>
          <cell r="K6075">
            <v>0</v>
          </cell>
          <cell r="M6075">
            <v>0</v>
          </cell>
          <cell r="P6075">
            <v>1017</v>
          </cell>
          <cell r="V6075" t="str">
            <v>Available</v>
          </cell>
        </row>
        <row r="6076">
          <cell r="E6076">
            <v>10660005</v>
          </cell>
          <cell r="H6076">
            <v>12.9</v>
          </cell>
          <cell r="I6076">
            <v>806.84999999999991</v>
          </cell>
          <cell r="J6076">
            <v>0</v>
          </cell>
          <cell r="K6076">
            <v>0</v>
          </cell>
          <cell r="M6076">
            <v>0</v>
          </cell>
          <cell r="P6076">
            <v>807</v>
          </cell>
          <cell r="V6076" t="str">
            <v>Available</v>
          </cell>
        </row>
        <row r="6077">
          <cell r="E6077">
            <v>10660005</v>
          </cell>
          <cell r="H6077">
            <v>32.299999999999997</v>
          </cell>
          <cell r="I6077">
            <v>1250.52</v>
          </cell>
          <cell r="J6077">
            <v>0</v>
          </cell>
          <cell r="K6077">
            <v>0</v>
          </cell>
          <cell r="M6077">
            <v>0</v>
          </cell>
          <cell r="P6077">
            <v>1251</v>
          </cell>
          <cell r="V6077" t="str">
            <v>Available</v>
          </cell>
        </row>
        <row r="6078">
          <cell r="E6078">
            <v>10660005</v>
          </cell>
          <cell r="H6078">
            <v>58.5</v>
          </cell>
          <cell r="I6078">
            <v>2220.2200000000003</v>
          </cell>
          <cell r="J6078">
            <v>0</v>
          </cell>
          <cell r="K6078">
            <v>0</v>
          </cell>
          <cell r="M6078">
            <v>0</v>
          </cell>
          <cell r="P6078">
            <v>2220</v>
          </cell>
          <cell r="V6078" t="str">
            <v>Available</v>
          </cell>
        </row>
        <row r="6079">
          <cell r="E6079">
            <v>10660005</v>
          </cell>
          <cell r="H6079">
            <v>34.900000000000006</v>
          </cell>
          <cell r="I6079">
            <v>1705.0800000000002</v>
          </cell>
          <cell r="J6079">
            <v>0</v>
          </cell>
          <cell r="K6079">
            <v>0</v>
          </cell>
          <cell r="M6079">
            <v>0</v>
          </cell>
          <cell r="P6079">
            <v>1705</v>
          </cell>
          <cell r="V6079" t="str">
            <v>Available</v>
          </cell>
        </row>
        <row r="6080">
          <cell r="E6080">
            <v>10660005</v>
          </cell>
          <cell r="H6080">
            <v>40</v>
          </cell>
          <cell r="I6080">
            <v>2327.8000000000002</v>
          </cell>
          <cell r="J6080">
            <v>0</v>
          </cell>
          <cell r="K6080">
            <v>0</v>
          </cell>
          <cell r="M6080">
            <v>0</v>
          </cell>
          <cell r="P6080">
            <v>2328</v>
          </cell>
          <cell r="V6080" t="str">
            <v>Available</v>
          </cell>
        </row>
        <row r="6081">
          <cell r="E6081">
            <v>10660005</v>
          </cell>
          <cell r="H6081">
            <v>14.1</v>
          </cell>
          <cell r="I6081">
            <v>641.79</v>
          </cell>
          <cell r="J6081">
            <v>0</v>
          </cell>
          <cell r="K6081">
            <v>0</v>
          </cell>
          <cell r="M6081">
            <v>0</v>
          </cell>
          <cell r="P6081">
            <v>642</v>
          </cell>
          <cell r="V6081" t="str">
            <v>Available</v>
          </cell>
        </row>
        <row r="6082">
          <cell r="E6082">
            <v>10660005</v>
          </cell>
          <cell r="H6082">
            <v>44.5</v>
          </cell>
          <cell r="I6082">
            <v>1765.71</v>
          </cell>
          <cell r="J6082">
            <v>0</v>
          </cell>
          <cell r="K6082">
            <v>0</v>
          </cell>
          <cell r="M6082">
            <v>0</v>
          </cell>
          <cell r="P6082">
            <v>1766</v>
          </cell>
          <cell r="V6082" t="str">
            <v>Available</v>
          </cell>
        </row>
        <row r="6083">
          <cell r="E6083">
            <v>10660005</v>
          </cell>
          <cell r="H6083">
            <v>33.700000000000003</v>
          </cell>
          <cell r="I6083">
            <v>1736.26</v>
          </cell>
          <cell r="J6083">
            <v>0</v>
          </cell>
          <cell r="K6083">
            <v>0</v>
          </cell>
          <cell r="M6083">
            <v>0</v>
          </cell>
          <cell r="P6083">
            <v>1736</v>
          </cell>
          <cell r="V6083" t="str">
            <v>Available</v>
          </cell>
        </row>
        <row r="6084">
          <cell r="E6084">
            <v>10660005</v>
          </cell>
          <cell r="H6084">
            <v>6.1000000000000005</v>
          </cell>
          <cell r="I6084">
            <v>252.55999999999997</v>
          </cell>
          <cell r="J6084">
            <v>0</v>
          </cell>
          <cell r="K6084">
            <v>0</v>
          </cell>
          <cell r="M6084">
            <v>0</v>
          </cell>
          <cell r="P6084">
            <v>253</v>
          </cell>
          <cell r="V6084" t="str">
            <v>Available</v>
          </cell>
        </row>
        <row r="6085">
          <cell r="E6085">
            <v>10660005</v>
          </cell>
          <cell r="H6085">
            <v>48</v>
          </cell>
          <cell r="I6085">
            <v>1969.9200000000005</v>
          </cell>
          <cell r="J6085">
            <v>0</v>
          </cell>
          <cell r="K6085">
            <v>0</v>
          </cell>
          <cell r="M6085">
            <v>0</v>
          </cell>
          <cell r="P6085">
            <v>1970</v>
          </cell>
          <cell r="V6085" t="str">
            <v>Available</v>
          </cell>
        </row>
        <row r="6086">
          <cell r="E6086">
            <v>10660005</v>
          </cell>
          <cell r="H6086">
            <v>23</v>
          </cell>
          <cell r="I6086">
            <v>1460.1499999999996</v>
          </cell>
          <cell r="J6086">
            <v>0</v>
          </cell>
          <cell r="K6086">
            <v>0</v>
          </cell>
          <cell r="M6086">
            <v>0</v>
          </cell>
          <cell r="P6086">
            <v>1460</v>
          </cell>
          <cell r="V6086" t="str">
            <v>Available</v>
          </cell>
        </row>
        <row r="6087">
          <cell r="E6087">
            <v>10660005</v>
          </cell>
          <cell r="H6087">
            <v>13.8</v>
          </cell>
          <cell r="I6087">
            <v>786.17000000000007</v>
          </cell>
          <cell r="J6087">
            <v>0</v>
          </cell>
          <cell r="K6087">
            <v>0</v>
          </cell>
          <cell r="M6087">
            <v>0</v>
          </cell>
          <cell r="P6087">
            <v>786</v>
          </cell>
          <cell r="V6087" t="str">
            <v>Available</v>
          </cell>
        </row>
        <row r="6088">
          <cell r="E6088">
            <v>10660006</v>
          </cell>
          <cell r="H6088">
            <v>5.1000000000000005</v>
          </cell>
          <cell r="I6088">
            <v>219.57999999999998</v>
          </cell>
          <cell r="J6088">
            <v>0</v>
          </cell>
          <cell r="K6088">
            <v>219.57999999999998</v>
          </cell>
          <cell r="M6088">
            <v>0</v>
          </cell>
          <cell r="P6088">
            <v>0</v>
          </cell>
          <cell r="V6088" t="str">
            <v>Not Available</v>
          </cell>
        </row>
        <row r="6089">
          <cell r="E6089">
            <v>10660006</v>
          </cell>
          <cell r="H6089">
            <v>57.4</v>
          </cell>
          <cell r="I6089">
            <v>2295.96</v>
          </cell>
          <cell r="J6089">
            <v>0</v>
          </cell>
          <cell r="K6089">
            <v>0</v>
          </cell>
          <cell r="M6089">
            <v>0</v>
          </cell>
          <cell r="P6089">
            <v>2236</v>
          </cell>
          <cell r="V6089" t="str">
            <v>Available</v>
          </cell>
        </row>
        <row r="6090">
          <cell r="E6090">
            <v>10660006</v>
          </cell>
          <cell r="H6090">
            <v>14.5</v>
          </cell>
          <cell r="I6090">
            <v>1155.55</v>
          </cell>
          <cell r="J6090">
            <v>0</v>
          </cell>
          <cell r="K6090">
            <v>0</v>
          </cell>
          <cell r="M6090">
            <v>0</v>
          </cell>
          <cell r="P6090">
            <v>1156</v>
          </cell>
          <cell r="V6090" t="str">
            <v>Available</v>
          </cell>
        </row>
        <row r="6091">
          <cell r="E6091">
            <v>10660006</v>
          </cell>
          <cell r="H6091">
            <v>86.999999999999986</v>
          </cell>
          <cell r="I6091">
            <v>3147.9800000000005</v>
          </cell>
          <cell r="J6091">
            <v>0</v>
          </cell>
          <cell r="K6091">
            <v>0</v>
          </cell>
          <cell r="M6091">
            <v>0</v>
          </cell>
          <cell r="P6091">
            <v>3148</v>
          </cell>
          <cell r="V6091" t="str">
            <v>Available</v>
          </cell>
        </row>
        <row r="6092">
          <cell r="E6092">
            <v>10660006</v>
          </cell>
          <cell r="H6092">
            <v>11.1</v>
          </cell>
          <cell r="I6092">
            <v>610.11</v>
          </cell>
          <cell r="J6092">
            <v>0</v>
          </cell>
          <cell r="K6092">
            <v>0</v>
          </cell>
          <cell r="M6092">
            <v>0</v>
          </cell>
          <cell r="P6092">
            <v>610</v>
          </cell>
          <cell r="V6092" t="str">
            <v>Available</v>
          </cell>
        </row>
        <row r="6093">
          <cell r="E6093">
            <v>10660006</v>
          </cell>
          <cell r="H6093">
            <v>10.4</v>
          </cell>
          <cell r="I6093">
            <v>397.76</v>
          </cell>
          <cell r="J6093">
            <v>0</v>
          </cell>
          <cell r="K6093">
            <v>0</v>
          </cell>
          <cell r="M6093">
            <v>0</v>
          </cell>
          <cell r="P6093">
            <v>398</v>
          </cell>
          <cell r="V6093" t="str">
            <v>Available</v>
          </cell>
        </row>
        <row r="6094">
          <cell r="E6094">
            <v>10660006</v>
          </cell>
          <cell r="H6094">
            <v>6.2999999999999989</v>
          </cell>
          <cell r="I6094">
            <v>237.69</v>
          </cell>
          <cell r="J6094">
            <v>0</v>
          </cell>
          <cell r="K6094">
            <v>0</v>
          </cell>
          <cell r="M6094">
            <v>0</v>
          </cell>
          <cell r="P6094">
            <v>238</v>
          </cell>
          <cell r="V6094" t="str">
            <v>Available</v>
          </cell>
        </row>
        <row r="6095">
          <cell r="E6095">
            <v>10660006</v>
          </cell>
          <cell r="H6095">
            <v>87.5</v>
          </cell>
          <cell r="I6095">
            <v>3873.7599999999993</v>
          </cell>
          <cell r="J6095">
            <v>0</v>
          </cell>
          <cell r="K6095">
            <v>0</v>
          </cell>
          <cell r="M6095">
            <v>0</v>
          </cell>
          <cell r="P6095">
            <v>3874</v>
          </cell>
          <cell r="V6095" t="str">
            <v>Available</v>
          </cell>
        </row>
        <row r="6096">
          <cell r="E6096">
            <v>10660006</v>
          </cell>
          <cell r="H6096">
            <v>33.5</v>
          </cell>
          <cell r="I6096">
            <v>1622.51</v>
          </cell>
          <cell r="J6096">
            <v>0</v>
          </cell>
          <cell r="K6096">
            <v>0</v>
          </cell>
          <cell r="M6096">
            <v>0</v>
          </cell>
          <cell r="P6096">
            <v>1623</v>
          </cell>
          <cell r="V6096" t="str">
            <v>Available</v>
          </cell>
        </row>
        <row r="6097">
          <cell r="E6097">
            <v>10660006</v>
          </cell>
          <cell r="H6097">
            <v>2</v>
          </cell>
          <cell r="I6097">
            <v>87.3</v>
          </cell>
          <cell r="J6097">
            <v>0</v>
          </cell>
          <cell r="K6097">
            <v>0</v>
          </cell>
          <cell r="M6097">
            <v>0</v>
          </cell>
          <cell r="P6097">
            <v>87</v>
          </cell>
          <cell r="V6097" t="str">
            <v>Available</v>
          </cell>
        </row>
        <row r="6098">
          <cell r="E6098">
            <v>10660006</v>
          </cell>
          <cell r="H6098">
            <v>22.6</v>
          </cell>
          <cell r="I6098">
            <v>980.68000000000006</v>
          </cell>
          <cell r="J6098">
            <v>0</v>
          </cell>
          <cell r="K6098">
            <v>0</v>
          </cell>
          <cell r="M6098">
            <v>0</v>
          </cell>
          <cell r="P6098">
            <v>981</v>
          </cell>
          <cell r="V6098" t="str">
            <v>Available</v>
          </cell>
        </row>
        <row r="6099">
          <cell r="E6099">
            <v>10660006</v>
          </cell>
          <cell r="H6099">
            <v>58.899999999999984</v>
          </cell>
          <cell r="I6099">
            <v>2623.4900000000002</v>
          </cell>
          <cell r="J6099">
            <v>0</v>
          </cell>
          <cell r="K6099">
            <v>0</v>
          </cell>
          <cell r="M6099">
            <v>0</v>
          </cell>
          <cell r="P6099">
            <v>2623</v>
          </cell>
          <cell r="V6099" t="str">
            <v>Available</v>
          </cell>
        </row>
        <row r="6100">
          <cell r="E6100">
            <v>10660006</v>
          </cell>
          <cell r="H6100">
            <v>25.900000000000002</v>
          </cell>
          <cell r="I6100">
            <v>1227.3399999999999</v>
          </cell>
          <cell r="J6100">
            <v>0</v>
          </cell>
          <cell r="K6100">
            <v>0</v>
          </cell>
          <cell r="M6100">
            <v>0</v>
          </cell>
          <cell r="P6100">
            <v>1227</v>
          </cell>
          <cell r="V6100" t="str">
            <v>Available</v>
          </cell>
        </row>
        <row r="6101">
          <cell r="E6101">
            <v>10660013</v>
          </cell>
          <cell r="H6101">
            <v>333.09999999999997</v>
          </cell>
          <cell r="I6101">
            <v>13493.21</v>
          </cell>
          <cell r="J6101">
            <v>0</v>
          </cell>
          <cell r="K6101">
            <v>0</v>
          </cell>
          <cell r="M6101">
            <v>0</v>
          </cell>
          <cell r="P6101">
            <v>13493</v>
          </cell>
          <cell r="V6101" t="str">
            <v>Available</v>
          </cell>
        </row>
        <row r="6102">
          <cell r="E6102">
            <v>10660013</v>
          </cell>
          <cell r="H6102">
            <v>185.1</v>
          </cell>
          <cell r="I6102">
            <v>8587.9700000000012</v>
          </cell>
          <cell r="J6102">
            <v>0</v>
          </cell>
          <cell r="K6102">
            <v>0</v>
          </cell>
          <cell r="M6102">
            <v>0</v>
          </cell>
          <cell r="P6102">
            <v>8588</v>
          </cell>
          <cell r="V6102" t="str">
            <v>Available</v>
          </cell>
        </row>
        <row r="6103">
          <cell r="E6103">
            <v>10660013</v>
          </cell>
          <cell r="H6103">
            <v>93.5</v>
          </cell>
          <cell r="I6103">
            <v>3583.34</v>
          </cell>
          <cell r="J6103">
            <v>0</v>
          </cell>
          <cell r="K6103">
            <v>0</v>
          </cell>
          <cell r="M6103">
            <v>0</v>
          </cell>
          <cell r="P6103">
            <v>3583</v>
          </cell>
          <cell r="V6103" t="str">
            <v>Available</v>
          </cell>
        </row>
        <row r="6104">
          <cell r="E6104">
            <v>10660013</v>
          </cell>
          <cell r="H6104">
            <v>171.8</v>
          </cell>
          <cell r="I6104">
            <v>6079.5299999999988</v>
          </cell>
          <cell r="J6104">
            <v>0</v>
          </cell>
          <cell r="K6104">
            <v>0</v>
          </cell>
          <cell r="M6104">
            <v>0</v>
          </cell>
          <cell r="P6104">
            <v>6080</v>
          </cell>
          <cell r="V6104" t="str">
            <v>Available</v>
          </cell>
        </row>
        <row r="6105">
          <cell r="E6105">
            <v>10660014</v>
          </cell>
          <cell r="H6105">
            <v>16.3</v>
          </cell>
          <cell r="I6105">
            <v>633.16999999999996</v>
          </cell>
          <cell r="J6105">
            <v>0</v>
          </cell>
          <cell r="K6105">
            <v>0</v>
          </cell>
          <cell r="M6105">
            <v>0</v>
          </cell>
          <cell r="P6105">
            <v>633</v>
          </cell>
          <cell r="V6105" t="str">
            <v>Available</v>
          </cell>
        </row>
        <row r="6106">
          <cell r="E6106">
            <v>10660014</v>
          </cell>
          <cell r="H6106">
            <v>10.3</v>
          </cell>
          <cell r="I6106">
            <v>591.21999999999991</v>
          </cell>
          <cell r="J6106">
            <v>0</v>
          </cell>
          <cell r="K6106">
            <v>0</v>
          </cell>
          <cell r="M6106">
            <v>0</v>
          </cell>
          <cell r="P6106">
            <v>591</v>
          </cell>
          <cell r="V6106" t="str">
            <v>Available</v>
          </cell>
        </row>
        <row r="6107">
          <cell r="E6107">
            <v>10660014</v>
          </cell>
          <cell r="H6107">
            <v>3.8</v>
          </cell>
          <cell r="I6107">
            <v>180.12</v>
          </cell>
          <cell r="J6107">
            <v>0</v>
          </cell>
          <cell r="K6107">
            <v>0</v>
          </cell>
          <cell r="M6107">
            <v>0</v>
          </cell>
          <cell r="P6107">
            <v>180</v>
          </cell>
          <cell r="V6107" t="str">
            <v>Available</v>
          </cell>
        </row>
        <row r="6108">
          <cell r="E6108">
            <v>10660017</v>
          </cell>
          <cell r="H6108">
            <v>0.8</v>
          </cell>
          <cell r="I6108">
            <v>35.47</v>
          </cell>
          <cell r="J6108">
            <v>0</v>
          </cell>
          <cell r="K6108">
            <v>35.47</v>
          </cell>
          <cell r="M6108">
            <v>0</v>
          </cell>
          <cell r="P6108">
            <v>0</v>
          </cell>
          <cell r="V6108" t="str">
            <v>Not Available</v>
          </cell>
        </row>
        <row r="6109">
          <cell r="E6109">
            <v>10660017</v>
          </cell>
          <cell r="H6109">
            <v>183.09999999999997</v>
          </cell>
          <cell r="I6109">
            <v>8136.0699999999979</v>
          </cell>
          <cell r="J6109">
            <v>0</v>
          </cell>
          <cell r="K6109">
            <v>0</v>
          </cell>
          <cell r="M6109">
            <v>0</v>
          </cell>
          <cell r="P6109">
            <v>7972</v>
          </cell>
          <cell r="V6109" t="str">
            <v>Available</v>
          </cell>
        </row>
        <row r="6110">
          <cell r="E6110">
            <v>10660017</v>
          </cell>
          <cell r="H6110">
            <v>13.899999999999999</v>
          </cell>
          <cell r="I6110">
            <v>540.12</v>
          </cell>
          <cell r="J6110">
            <v>0</v>
          </cell>
          <cell r="K6110">
            <v>0</v>
          </cell>
          <cell r="M6110">
            <v>0</v>
          </cell>
          <cell r="P6110">
            <v>540</v>
          </cell>
          <cell r="V6110" t="str">
            <v>Available</v>
          </cell>
        </row>
        <row r="6111">
          <cell r="E6111">
            <v>10660017</v>
          </cell>
          <cell r="H6111">
            <v>3.2</v>
          </cell>
          <cell r="I6111">
            <v>134.04000000000002</v>
          </cell>
          <cell r="J6111">
            <v>0</v>
          </cell>
          <cell r="K6111">
            <v>0</v>
          </cell>
          <cell r="M6111">
            <v>0</v>
          </cell>
          <cell r="P6111">
            <v>134</v>
          </cell>
          <cell r="V6111" t="str">
            <v>Available</v>
          </cell>
        </row>
        <row r="6112">
          <cell r="E6112">
            <v>10660017</v>
          </cell>
          <cell r="H6112">
            <v>19.7</v>
          </cell>
          <cell r="I6112">
            <v>773.49</v>
          </cell>
          <cell r="J6112">
            <v>0</v>
          </cell>
          <cell r="K6112">
            <v>0</v>
          </cell>
          <cell r="M6112">
            <v>0</v>
          </cell>
          <cell r="P6112">
            <v>773</v>
          </cell>
          <cell r="V6112" t="str">
            <v>Available</v>
          </cell>
        </row>
        <row r="6113">
          <cell r="E6113">
            <v>10660017</v>
          </cell>
          <cell r="H6113">
            <v>16.3</v>
          </cell>
          <cell r="I6113">
            <v>1142.06</v>
          </cell>
          <cell r="J6113">
            <v>0</v>
          </cell>
          <cell r="K6113">
            <v>0</v>
          </cell>
          <cell r="M6113">
            <v>0</v>
          </cell>
          <cell r="P6113">
            <v>1142</v>
          </cell>
          <cell r="V6113" t="str">
            <v>Available</v>
          </cell>
        </row>
        <row r="6114">
          <cell r="E6114">
            <v>10660017</v>
          </cell>
          <cell r="H6114">
            <v>37.400000000000006</v>
          </cell>
          <cell r="I6114">
            <v>2316.02</v>
          </cell>
          <cell r="J6114">
            <v>0</v>
          </cell>
          <cell r="K6114">
            <v>0</v>
          </cell>
          <cell r="M6114">
            <v>0</v>
          </cell>
          <cell r="P6114">
            <v>2316</v>
          </cell>
          <cell r="V6114" t="str">
            <v>Available</v>
          </cell>
        </row>
        <row r="6115">
          <cell r="E6115">
            <v>10660026</v>
          </cell>
          <cell r="H6115">
            <v>99.699999999999974</v>
          </cell>
          <cell r="I6115">
            <v>4667.4699999999993</v>
          </cell>
          <cell r="J6115">
            <v>0</v>
          </cell>
          <cell r="K6115">
            <v>0</v>
          </cell>
          <cell r="M6115">
            <v>0</v>
          </cell>
          <cell r="P6115">
            <v>4617</v>
          </cell>
          <cell r="V6115" t="str">
            <v>Available</v>
          </cell>
        </row>
        <row r="6116">
          <cell r="E6116">
            <v>10660026</v>
          </cell>
          <cell r="H6116">
            <v>15.1</v>
          </cell>
          <cell r="I6116">
            <v>1036.29</v>
          </cell>
          <cell r="J6116">
            <v>0</v>
          </cell>
          <cell r="K6116">
            <v>0</v>
          </cell>
          <cell r="M6116">
            <v>0</v>
          </cell>
          <cell r="P6116">
            <v>1036</v>
          </cell>
          <cell r="V6116" t="str">
            <v>Available</v>
          </cell>
        </row>
        <row r="6117">
          <cell r="E6117">
            <v>10660026</v>
          </cell>
          <cell r="H6117">
            <v>25.899999999999995</v>
          </cell>
          <cell r="I6117">
            <v>954.96000000000015</v>
          </cell>
          <cell r="J6117">
            <v>0</v>
          </cell>
          <cell r="K6117">
            <v>0</v>
          </cell>
          <cell r="M6117">
            <v>0</v>
          </cell>
          <cell r="P6117">
            <v>955</v>
          </cell>
          <cell r="V6117" t="str">
            <v>Available</v>
          </cell>
        </row>
        <row r="6118">
          <cell r="E6118">
            <v>10660026</v>
          </cell>
          <cell r="H6118">
            <v>22.299999999999997</v>
          </cell>
          <cell r="I6118">
            <v>995.82</v>
          </cell>
          <cell r="J6118">
            <v>0</v>
          </cell>
          <cell r="K6118">
            <v>0</v>
          </cell>
          <cell r="M6118">
            <v>0</v>
          </cell>
          <cell r="P6118">
            <v>996</v>
          </cell>
          <cell r="V6118" t="str">
            <v>Available</v>
          </cell>
        </row>
        <row r="6119">
          <cell r="E6119">
            <v>10660026</v>
          </cell>
          <cell r="H6119">
            <v>17.600000000000001</v>
          </cell>
          <cell r="I6119">
            <v>1114.56</v>
          </cell>
          <cell r="J6119">
            <v>0</v>
          </cell>
          <cell r="K6119">
            <v>0</v>
          </cell>
          <cell r="M6119">
            <v>0</v>
          </cell>
          <cell r="P6119">
            <v>1115</v>
          </cell>
          <cell r="V6119" t="str">
            <v>Available</v>
          </cell>
        </row>
        <row r="6120">
          <cell r="E6120">
            <v>10660026</v>
          </cell>
          <cell r="H6120">
            <v>1.8</v>
          </cell>
          <cell r="I6120">
            <v>78.069999999999993</v>
          </cell>
          <cell r="J6120">
            <v>0</v>
          </cell>
          <cell r="K6120">
            <v>0</v>
          </cell>
          <cell r="M6120">
            <v>0</v>
          </cell>
          <cell r="P6120">
            <v>78</v>
          </cell>
          <cell r="V6120" t="str">
            <v>Available</v>
          </cell>
        </row>
        <row r="6121">
          <cell r="E6121">
            <v>10660026</v>
          </cell>
          <cell r="H6121">
            <v>1.6</v>
          </cell>
          <cell r="I6121">
            <v>69.39</v>
          </cell>
          <cell r="J6121">
            <v>0</v>
          </cell>
          <cell r="K6121">
            <v>0</v>
          </cell>
          <cell r="M6121">
            <v>0</v>
          </cell>
          <cell r="P6121">
            <v>69</v>
          </cell>
          <cell r="V6121" t="str">
            <v>Available</v>
          </cell>
        </row>
        <row r="6122">
          <cell r="E6122">
            <v>10660027</v>
          </cell>
          <cell r="H6122">
            <v>67.599999999999994</v>
          </cell>
          <cell r="I6122">
            <v>2988.3</v>
          </cell>
          <cell r="J6122">
            <v>0</v>
          </cell>
          <cell r="K6122">
            <v>0</v>
          </cell>
          <cell r="M6122">
            <v>0</v>
          </cell>
          <cell r="P6122">
            <v>2988</v>
          </cell>
          <cell r="V6122" t="str">
            <v>Available</v>
          </cell>
        </row>
        <row r="6123">
          <cell r="E6123">
            <v>10660027</v>
          </cell>
          <cell r="H6123">
            <v>36.200000000000003</v>
          </cell>
          <cell r="I6123">
            <v>1438.3999999999999</v>
          </cell>
          <cell r="J6123">
            <v>0</v>
          </cell>
          <cell r="K6123">
            <v>0</v>
          </cell>
          <cell r="M6123">
            <v>0</v>
          </cell>
          <cell r="P6123">
            <v>1438</v>
          </cell>
          <cell r="V6123" t="str">
            <v>Available</v>
          </cell>
        </row>
        <row r="6124">
          <cell r="E6124">
            <v>10660027</v>
          </cell>
          <cell r="H6124">
            <v>30.900000000000002</v>
          </cell>
          <cell r="I6124">
            <v>1265.5</v>
          </cell>
          <cell r="J6124">
            <v>0</v>
          </cell>
          <cell r="K6124">
            <v>0</v>
          </cell>
          <cell r="M6124">
            <v>0</v>
          </cell>
          <cell r="P6124">
            <v>1266</v>
          </cell>
          <cell r="V6124" t="str">
            <v>Available</v>
          </cell>
        </row>
        <row r="6125">
          <cell r="E6125">
            <v>10660027</v>
          </cell>
          <cell r="H6125">
            <v>14</v>
          </cell>
          <cell r="I6125">
            <v>686.98</v>
          </cell>
          <cell r="J6125">
            <v>0</v>
          </cell>
          <cell r="K6125">
            <v>0</v>
          </cell>
          <cell r="M6125">
            <v>0</v>
          </cell>
          <cell r="P6125">
            <v>687</v>
          </cell>
          <cell r="V6125" t="str">
            <v>Available</v>
          </cell>
        </row>
        <row r="6126">
          <cell r="E6126">
            <v>10660027</v>
          </cell>
          <cell r="H6126">
            <v>63.6</v>
          </cell>
          <cell r="I6126">
            <v>3080.71</v>
          </cell>
          <cell r="J6126">
            <v>0</v>
          </cell>
          <cell r="K6126">
            <v>0</v>
          </cell>
          <cell r="M6126">
            <v>0</v>
          </cell>
          <cell r="P6126">
            <v>3081</v>
          </cell>
          <cell r="V6126" t="str">
            <v>Available</v>
          </cell>
        </row>
        <row r="6127">
          <cell r="E6127">
            <v>10660027</v>
          </cell>
          <cell r="H6127">
            <v>75.7</v>
          </cell>
          <cell r="I6127">
            <v>2879.9999999999995</v>
          </cell>
          <cell r="J6127">
            <v>0</v>
          </cell>
          <cell r="K6127">
            <v>0</v>
          </cell>
          <cell r="M6127">
            <v>0</v>
          </cell>
          <cell r="P6127">
            <v>2880</v>
          </cell>
          <cell r="V6127" t="str">
            <v>Available</v>
          </cell>
        </row>
        <row r="6128">
          <cell r="E6128">
            <v>10660027</v>
          </cell>
          <cell r="H6128">
            <v>15.7</v>
          </cell>
          <cell r="I6128">
            <v>731.24</v>
          </cell>
          <cell r="J6128">
            <v>0</v>
          </cell>
          <cell r="K6128">
            <v>0</v>
          </cell>
          <cell r="M6128">
            <v>0</v>
          </cell>
          <cell r="P6128">
            <v>731</v>
          </cell>
          <cell r="V6128" t="str">
            <v>Available</v>
          </cell>
        </row>
        <row r="6129">
          <cell r="E6129">
            <v>10660027</v>
          </cell>
          <cell r="H6129">
            <v>98.399999999999991</v>
          </cell>
          <cell r="I6129">
            <v>3722.91</v>
          </cell>
          <cell r="J6129">
            <v>0</v>
          </cell>
          <cell r="K6129">
            <v>0</v>
          </cell>
          <cell r="M6129">
            <v>0</v>
          </cell>
          <cell r="P6129">
            <v>3723</v>
          </cell>
          <cell r="V6129" t="str">
            <v>Available</v>
          </cell>
        </row>
        <row r="6130">
          <cell r="E6130">
            <v>10660028</v>
          </cell>
          <cell r="H6130">
            <v>280.79999999999995</v>
          </cell>
          <cell r="I6130">
            <v>14668.490000000003</v>
          </cell>
          <cell r="J6130">
            <v>0</v>
          </cell>
          <cell r="K6130">
            <v>0</v>
          </cell>
          <cell r="M6130">
            <v>2590</v>
          </cell>
          <cell r="P6130">
            <v>12022</v>
          </cell>
          <cell r="V6130" t="str">
            <v>Available</v>
          </cell>
        </row>
        <row r="6131">
          <cell r="E6131">
            <v>10660028</v>
          </cell>
          <cell r="H6131">
            <v>122</v>
          </cell>
          <cell r="I6131">
            <v>6459.3499999999995</v>
          </cell>
          <cell r="J6131">
            <v>0</v>
          </cell>
          <cell r="K6131">
            <v>0</v>
          </cell>
          <cell r="M6131">
            <v>0</v>
          </cell>
          <cell r="P6131">
            <v>6459</v>
          </cell>
          <cell r="V6131" t="str">
            <v>Available</v>
          </cell>
        </row>
        <row r="6132">
          <cell r="E6132">
            <v>10660028</v>
          </cell>
          <cell r="H6132">
            <v>92.9</v>
          </cell>
          <cell r="I6132">
            <v>4195.1400000000003</v>
          </cell>
          <cell r="J6132">
            <v>0</v>
          </cell>
          <cell r="K6132">
            <v>0</v>
          </cell>
          <cell r="M6132">
            <v>0</v>
          </cell>
          <cell r="P6132">
            <v>4195</v>
          </cell>
          <cell r="V6132" t="str">
            <v>Available</v>
          </cell>
        </row>
        <row r="6133">
          <cell r="E6133">
            <v>10660028</v>
          </cell>
          <cell r="H6133">
            <v>35.699999999999996</v>
          </cell>
          <cell r="I6133">
            <v>1678.1000000000004</v>
          </cell>
          <cell r="J6133">
            <v>0</v>
          </cell>
          <cell r="K6133">
            <v>0</v>
          </cell>
          <cell r="M6133">
            <v>0</v>
          </cell>
          <cell r="P6133">
            <v>1678</v>
          </cell>
          <cell r="V6133" t="str">
            <v>Available</v>
          </cell>
        </row>
        <row r="6134">
          <cell r="E6134">
            <v>10660028</v>
          </cell>
          <cell r="H6134">
            <v>21.5</v>
          </cell>
          <cell r="I6134">
            <v>1693.83</v>
          </cell>
          <cell r="J6134">
            <v>0</v>
          </cell>
          <cell r="K6134">
            <v>0</v>
          </cell>
          <cell r="M6134">
            <v>0</v>
          </cell>
          <cell r="P6134">
            <v>1694</v>
          </cell>
          <cell r="V6134" t="str">
            <v>Available</v>
          </cell>
        </row>
        <row r="6135">
          <cell r="E6135">
            <v>10660028</v>
          </cell>
          <cell r="H6135">
            <v>4.8000000000000007</v>
          </cell>
          <cell r="I6135">
            <v>438.08999999999992</v>
          </cell>
          <cell r="J6135">
            <v>0</v>
          </cell>
          <cell r="K6135">
            <v>0</v>
          </cell>
          <cell r="M6135">
            <v>0</v>
          </cell>
          <cell r="P6135">
            <v>438</v>
          </cell>
          <cell r="V6135" t="str">
            <v>Available</v>
          </cell>
        </row>
        <row r="6136">
          <cell r="E6136">
            <v>10660028</v>
          </cell>
          <cell r="H6136">
            <v>19</v>
          </cell>
          <cell r="I6136">
            <v>1180.6099999999999</v>
          </cell>
          <cell r="J6136">
            <v>0</v>
          </cell>
          <cell r="K6136">
            <v>0</v>
          </cell>
          <cell r="M6136">
            <v>0</v>
          </cell>
          <cell r="P6136">
            <v>1181</v>
          </cell>
          <cell r="V6136" t="str">
            <v>Available</v>
          </cell>
        </row>
        <row r="6137">
          <cell r="E6137">
            <v>10660028</v>
          </cell>
          <cell r="H6137">
            <v>108.49999999999999</v>
          </cell>
          <cell r="I6137">
            <v>5615.8299999999981</v>
          </cell>
          <cell r="J6137">
            <v>0</v>
          </cell>
          <cell r="K6137">
            <v>0</v>
          </cell>
          <cell r="M6137">
            <v>0</v>
          </cell>
          <cell r="P6137">
            <v>5616</v>
          </cell>
          <cell r="V6137" t="str">
            <v>Available</v>
          </cell>
        </row>
        <row r="6138">
          <cell r="E6138">
            <v>10660028</v>
          </cell>
          <cell r="H6138">
            <v>10.999999999999998</v>
          </cell>
          <cell r="I6138">
            <v>541.92999999999995</v>
          </cell>
          <cell r="J6138">
            <v>0</v>
          </cell>
          <cell r="K6138">
            <v>0</v>
          </cell>
          <cell r="M6138">
            <v>0</v>
          </cell>
          <cell r="P6138">
            <v>542</v>
          </cell>
          <cell r="V6138" t="str">
            <v>Available</v>
          </cell>
        </row>
        <row r="6139">
          <cell r="E6139">
            <v>10660028</v>
          </cell>
          <cell r="H6139">
            <v>17.8</v>
          </cell>
          <cell r="I6139">
            <v>993.63999999999987</v>
          </cell>
          <cell r="J6139">
            <v>0</v>
          </cell>
          <cell r="K6139">
            <v>0</v>
          </cell>
          <cell r="M6139">
            <v>0</v>
          </cell>
          <cell r="P6139">
            <v>994</v>
          </cell>
          <cell r="V6139" t="str">
            <v>Available</v>
          </cell>
        </row>
        <row r="6140">
          <cell r="E6140">
            <v>10660028</v>
          </cell>
          <cell r="H6140">
            <v>51.499999999999993</v>
          </cell>
          <cell r="I6140">
            <v>2402.25</v>
          </cell>
          <cell r="J6140">
            <v>0</v>
          </cell>
          <cell r="K6140">
            <v>0</v>
          </cell>
          <cell r="M6140">
            <v>0</v>
          </cell>
          <cell r="P6140">
            <v>2402</v>
          </cell>
          <cell r="V6140" t="str">
            <v>Available</v>
          </cell>
        </row>
        <row r="6141">
          <cell r="E6141">
            <v>10660028</v>
          </cell>
          <cell r="H6141">
            <v>68.599999999999994</v>
          </cell>
          <cell r="I6141">
            <v>3306.67</v>
          </cell>
          <cell r="J6141">
            <v>0</v>
          </cell>
          <cell r="K6141">
            <v>0</v>
          </cell>
          <cell r="M6141">
            <v>0</v>
          </cell>
          <cell r="P6141">
            <v>3307</v>
          </cell>
          <cell r="V6141" t="str">
            <v>Available</v>
          </cell>
        </row>
        <row r="6142">
          <cell r="E6142">
            <v>10660028</v>
          </cell>
          <cell r="H6142">
            <v>35.9</v>
          </cell>
          <cell r="I6142">
            <v>2058.56</v>
          </cell>
          <cell r="J6142">
            <v>0</v>
          </cell>
          <cell r="K6142">
            <v>0</v>
          </cell>
          <cell r="M6142">
            <v>0</v>
          </cell>
          <cell r="P6142">
            <v>2059</v>
          </cell>
          <cell r="V6142" t="str">
            <v>Available</v>
          </cell>
        </row>
        <row r="6143">
          <cell r="E6143">
            <v>10660028</v>
          </cell>
          <cell r="H6143">
            <v>16.3</v>
          </cell>
          <cell r="I6143">
            <v>971.06</v>
          </cell>
          <cell r="J6143">
            <v>0</v>
          </cell>
          <cell r="K6143">
            <v>0</v>
          </cell>
          <cell r="M6143">
            <v>0</v>
          </cell>
          <cell r="P6143">
            <v>971</v>
          </cell>
          <cell r="V6143" t="str">
            <v>Available</v>
          </cell>
        </row>
        <row r="6144">
          <cell r="E6144">
            <v>10660028</v>
          </cell>
          <cell r="H6144">
            <v>43.70000000000001</v>
          </cell>
          <cell r="I6144">
            <v>1970.9199999999998</v>
          </cell>
          <cell r="J6144">
            <v>0</v>
          </cell>
          <cell r="K6144">
            <v>0</v>
          </cell>
          <cell r="M6144">
            <v>0</v>
          </cell>
          <cell r="P6144">
            <v>1971</v>
          </cell>
          <cell r="V6144" t="str">
            <v>Available</v>
          </cell>
        </row>
        <row r="6145">
          <cell r="E6145">
            <v>10660028</v>
          </cell>
          <cell r="H6145">
            <v>19.399999999999999</v>
          </cell>
          <cell r="I6145">
            <v>876.07999999999981</v>
          </cell>
          <cell r="J6145">
            <v>0</v>
          </cell>
          <cell r="K6145">
            <v>0</v>
          </cell>
          <cell r="M6145">
            <v>0</v>
          </cell>
          <cell r="P6145">
            <v>876</v>
          </cell>
          <cell r="V6145" t="str">
            <v>Available</v>
          </cell>
        </row>
        <row r="6146">
          <cell r="E6146">
            <v>10660028</v>
          </cell>
          <cell r="H6146">
            <v>72.3</v>
          </cell>
          <cell r="I6146">
            <v>4310.9000000000005</v>
          </cell>
          <cell r="J6146">
            <v>0</v>
          </cell>
          <cell r="K6146">
            <v>0</v>
          </cell>
          <cell r="M6146">
            <v>0</v>
          </cell>
          <cell r="P6146">
            <v>4311</v>
          </cell>
          <cell r="V6146" t="str">
            <v>Available</v>
          </cell>
        </row>
        <row r="6147">
          <cell r="E6147">
            <v>10660028</v>
          </cell>
          <cell r="H6147">
            <v>39.5</v>
          </cell>
          <cell r="I6147">
            <v>3157.94</v>
          </cell>
          <cell r="J6147">
            <v>0</v>
          </cell>
          <cell r="K6147">
            <v>0</v>
          </cell>
          <cell r="M6147">
            <v>0</v>
          </cell>
          <cell r="P6147">
            <v>3158</v>
          </cell>
          <cell r="V6147" t="str">
            <v>Available</v>
          </cell>
        </row>
        <row r="6148">
          <cell r="E6148">
            <v>10660028</v>
          </cell>
          <cell r="H6148">
            <v>50.199999999999996</v>
          </cell>
          <cell r="I6148">
            <v>2579.4500000000003</v>
          </cell>
          <cell r="J6148">
            <v>0</v>
          </cell>
          <cell r="K6148">
            <v>0</v>
          </cell>
          <cell r="M6148">
            <v>0</v>
          </cell>
          <cell r="P6148">
            <v>2579</v>
          </cell>
          <cell r="V6148" t="str">
            <v>Available</v>
          </cell>
        </row>
        <row r="6149">
          <cell r="E6149">
            <v>10660028</v>
          </cell>
          <cell r="H6149">
            <v>22.4</v>
          </cell>
          <cell r="I6149">
            <v>1047.47</v>
          </cell>
          <cell r="J6149">
            <v>0</v>
          </cell>
          <cell r="K6149">
            <v>0</v>
          </cell>
          <cell r="M6149">
            <v>0</v>
          </cell>
          <cell r="P6149">
            <v>1047</v>
          </cell>
          <cell r="V6149" t="str">
            <v>Available</v>
          </cell>
        </row>
        <row r="6150">
          <cell r="E6150">
            <v>10660028</v>
          </cell>
          <cell r="H6150">
            <v>34.6</v>
          </cell>
          <cell r="I6150">
            <v>2398.0000000000005</v>
          </cell>
          <cell r="J6150">
            <v>0</v>
          </cell>
          <cell r="K6150">
            <v>0</v>
          </cell>
          <cell r="M6150">
            <v>0</v>
          </cell>
          <cell r="P6150">
            <v>2398</v>
          </cell>
          <cell r="V6150" t="str">
            <v>Available</v>
          </cell>
        </row>
        <row r="6151">
          <cell r="E6151">
            <v>10660028</v>
          </cell>
          <cell r="H6151">
            <v>13.7</v>
          </cell>
          <cell r="I6151">
            <v>663.86</v>
          </cell>
          <cell r="J6151">
            <v>0</v>
          </cell>
          <cell r="K6151">
            <v>0</v>
          </cell>
          <cell r="M6151">
            <v>0</v>
          </cell>
          <cell r="P6151">
            <v>664</v>
          </cell>
          <cell r="V6151" t="str">
            <v>Available</v>
          </cell>
        </row>
        <row r="6152">
          <cell r="E6152">
            <v>10660028</v>
          </cell>
          <cell r="H6152">
            <v>28.6</v>
          </cell>
          <cell r="I6152">
            <v>1239</v>
          </cell>
          <cell r="J6152">
            <v>0</v>
          </cell>
          <cell r="K6152">
            <v>0</v>
          </cell>
          <cell r="M6152">
            <v>0</v>
          </cell>
          <cell r="P6152">
            <v>1239</v>
          </cell>
          <cell r="V6152" t="str">
            <v>Available</v>
          </cell>
        </row>
        <row r="6153">
          <cell r="E6153">
            <v>10660028</v>
          </cell>
          <cell r="H6153">
            <v>37.6</v>
          </cell>
          <cell r="I6153">
            <v>1901.1200000000001</v>
          </cell>
          <cell r="J6153">
            <v>0</v>
          </cell>
          <cell r="K6153">
            <v>0</v>
          </cell>
          <cell r="M6153">
            <v>0</v>
          </cell>
          <cell r="P6153">
            <v>1901</v>
          </cell>
          <cell r="V6153" t="str">
            <v>Available</v>
          </cell>
        </row>
        <row r="6154">
          <cell r="E6154">
            <v>10660028</v>
          </cell>
          <cell r="H6154">
            <v>50.999999999999993</v>
          </cell>
          <cell r="I6154">
            <v>2257.77</v>
          </cell>
          <cell r="J6154">
            <v>0</v>
          </cell>
          <cell r="K6154">
            <v>0</v>
          </cell>
          <cell r="M6154">
            <v>0</v>
          </cell>
          <cell r="P6154">
            <v>2258</v>
          </cell>
          <cell r="V6154" t="str">
            <v>Available</v>
          </cell>
        </row>
        <row r="6155">
          <cell r="E6155">
            <v>10660028</v>
          </cell>
          <cell r="H6155">
            <v>31.7</v>
          </cell>
          <cell r="I6155">
            <v>1658.18</v>
          </cell>
          <cell r="J6155">
            <v>0</v>
          </cell>
          <cell r="K6155">
            <v>0</v>
          </cell>
          <cell r="M6155">
            <v>0</v>
          </cell>
          <cell r="P6155">
            <v>1658</v>
          </cell>
          <cell r="V6155" t="str">
            <v>Available</v>
          </cell>
        </row>
        <row r="6156">
          <cell r="E6156">
            <v>10660028</v>
          </cell>
          <cell r="H6156">
            <v>30.900000000000002</v>
          </cell>
          <cell r="I6156">
            <v>1537.3899999999999</v>
          </cell>
          <cell r="J6156">
            <v>0</v>
          </cell>
          <cell r="K6156">
            <v>0</v>
          </cell>
          <cell r="M6156">
            <v>0</v>
          </cell>
          <cell r="P6156">
            <v>1537</v>
          </cell>
          <cell r="V6156" t="str">
            <v>Available</v>
          </cell>
        </row>
        <row r="6157">
          <cell r="E6157">
            <v>10660028</v>
          </cell>
          <cell r="H6157">
            <v>26.399999999999995</v>
          </cell>
          <cell r="I6157">
            <v>1675.9299999999996</v>
          </cell>
          <cell r="J6157">
            <v>0</v>
          </cell>
          <cell r="K6157">
            <v>0</v>
          </cell>
          <cell r="M6157">
            <v>0</v>
          </cell>
          <cell r="P6157">
            <v>1676</v>
          </cell>
          <cell r="V6157" t="str">
            <v>Available</v>
          </cell>
        </row>
        <row r="6158">
          <cell r="E6158">
            <v>10660028</v>
          </cell>
          <cell r="H6158">
            <v>14.2</v>
          </cell>
          <cell r="I6158">
            <v>716.35</v>
          </cell>
          <cell r="J6158">
            <v>0</v>
          </cell>
          <cell r="K6158">
            <v>0</v>
          </cell>
          <cell r="M6158">
            <v>0</v>
          </cell>
          <cell r="P6158">
            <v>716</v>
          </cell>
          <cell r="V6158" t="str">
            <v>Available</v>
          </cell>
        </row>
        <row r="6159">
          <cell r="E6159">
            <v>10660028</v>
          </cell>
          <cell r="H6159">
            <v>16.5</v>
          </cell>
          <cell r="I6159">
            <v>709.13999999999987</v>
          </cell>
          <cell r="J6159">
            <v>0</v>
          </cell>
          <cell r="K6159">
            <v>0</v>
          </cell>
          <cell r="M6159">
            <v>0</v>
          </cell>
          <cell r="P6159">
            <v>709</v>
          </cell>
          <cell r="V6159" t="str">
            <v>Available</v>
          </cell>
        </row>
        <row r="6160">
          <cell r="E6160">
            <v>10660029</v>
          </cell>
          <cell r="H6160">
            <v>126</v>
          </cell>
          <cell r="I6160">
            <v>5716.12</v>
          </cell>
          <cell r="J6160">
            <v>0</v>
          </cell>
          <cell r="K6160">
            <v>0</v>
          </cell>
          <cell r="M6160">
            <v>0</v>
          </cell>
          <cell r="P6160">
            <v>5447</v>
          </cell>
          <cell r="V6160" t="str">
            <v>Available</v>
          </cell>
        </row>
        <row r="6161">
          <cell r="E6161">
            <v>10660029</v>
          </cell>
          <cell r="H6161">
            <v>41.000000000000007</v>
          </cell>
          <cell r="I6161">
            <v>1924.97</v>
          </cell>
          <cell r="J6161">
            <v>0</v>
          </cell>
          <cell r="K6161">
            <v>0</v>
          </cell>
          <cell r="M6161">
            <v>0</v>
          </cell>
          <cell r="P6161">
            <v>1925</v>
          </cell>
          <cell r="V6161" t="str">
            <v>Available</v>
          </cell>
        </row>
        <row r="6162">
          <cell r="E6162">
            <v>10660029</v>
          </cell>
          <cell r="H6162">
            <v>158.9</v>
          </cell>
          <cell r="I6162">
            <v>7329.1999999999989</v>
          </cell>
          <cell r="J6162">
            <v>0</v>
          </cell>
          <cell r="K6162">
            <v>0</v>
          </cell>
          <cell r="M6162">
            <v>0</v>
          </cell>
          <cell r="P6162">
            <v>7329</v>
          </cell>
          <cell r="V6162" t="str">
            <v>Available</v>
          </cell>
        </row>
        <row r="6163">
          <cell r="E6163">
            <v>10660029</v>
          </cell>
          <cell r="H6163">
            <v>5.9</v>
          </cell>
          <cell r="I6163">
            <v>281.05</v>
          </cell>
          <cell r="J6163">
            <v>0</v>
          </cell>
          <cell r="K6163">
            <v>0</v>
          </cell>
          <cell r="M6163">
            <v>0</v>
          </cell>
          <cell r="P6163">
            <v>281</v>
          </cell>
          <cell r="V6163" t="str">
            <v>Available</v>
          </cell>
        </row>
        <row r="6164">
          <cell r="E6164">
            <v>10660029</v>
          </cell>
          <cell r="H6164">
            <v>28.999999999999996</v>
          </cell>
          <cell r="I6164">
            <v>1438.2800000000002</v>
          </cell>
          <cell r="J6164">
            <v>0</v>
          </cell>
          <cell r="K6164">
            <v>0</v>
          </cell>
          <cell r="M6164">
            <v>0</v>
          </cell>
          <cell r="P6164">
            <v>1438</v>
          </cell>
          <cell r="V6164" t="str">
            <v>Available</v>
          </cell>
        </row>
        <row r="6165">
          <cell r="E6165">
            <v>10660034</v>
          </cell>
          <cell r="H6165">
            <v>69.599999999999994</v>
          </cell>
          <cell r="I6165">
            <v>3730.42</v>
          </cell>
          <cell r="J6165">
            <v>0</v>
          </cell>
          <cell r="K6165">
            <v>0</v>
          </cell>
          <cell r="M6165">
            <v>0</v>
          </cell>
          <cell r="P6165">
            <v>3477</v>
          </cell>
          <cell r="V6165" t="str">
            <v>Available</v>
          </cell>
        </row>
        <row r="6166">
          <cell r="E6166">
            <v>10660034</v>
          </cell>
          <cell r="H6166">
            <v>89.6</v>
          </cell>
          <cell r="I6166">
            <v>5635.8099999999995</v>
          </cell>
          <cell r="J6166">
            <v>0</v>
          </cell>
          <cell r="K6166">
            <v>0</v>
          </cell>
          <cell r="M6166">
            <v>0</v>
          </cell>
          <cell r="P6166">
            <v>5636</v>
          </cell>
          <cell r="V6166" t="str">
            <v>Available</v>
          </cell>
        </row>
        <row r="6167">
          <cell r="E6167">
            <v>10660034</v>
          </cell>
          <cell r="H6167">
            <v>8.1</v>
          </cell>
          <cell r="I6167">
            <v>349.16</v>
          </cell>
          <cell r="J6167">
            <v>0</v>
          </cell>
          <cell r="K6167">
            <v>0</v>
          </cell>
          <cell r="M6167">
            <v>0</v>
          </cell>
          <cell r="P6167">
            <v>349</v>
          </cell>
          <cell r="V6167" t="str">
            <v>Available</v>
          </cell>
        </row>
        <row r="6168">
          <cell r="E6168">
            <v>10660034</v>
          </cell>
          <cell r="H6168">
            <v>23.400000000000002</v>
          </cell>
          <cell r="I6168">
            <v>1157.5500000000002</v>
          </cell>
          <cell r="J6168">
            <v>0</v>
          </cell>
          <cell r="K6168">
            <v>0</v>
          </cell>
          <cell r="M6168">
            <v>0</v>
          </cell>
          <cell r="P6168">
            <v>1158</v>
          </cell>
          <cell r="V6168" t="str">
            <v>Available</v>
          </cell>
        </row>
        <row r="6169">
          <cell r="E6169">
            <v>10660034</v>
          </cell>
          <cell r="H6169">
            <v>16.399999999999999</v>
          </cell>
          <cell r="I6169">
            <v>655.24</v>
          </cell>
          <cell r="J6169">
            <v>0</v>
          </cell>
          <cell r="K6169">
            <v>0</v>
          </cell>
          <cell r="M6169">
            <v>0</v>
          </cell>
          <cell r="P6169">
            <v>655</v>
          </cell>
          <cell r="V6169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3.686749652778" createdVersion="8" refreshedVersion="8" minRefreshableVersion="3" recordCount="187" xr:uid="{832C04DA-F9E7-416A-8960-E84164094A93}">
  <cacheSource type="worksheet">
    <worksheetSource name="Table7"/>
  </cacheSource>
  <cacheFields count="22">
    <cacheField name="Timestamp" numFmtId="0">
      <sharedItems containsNonDate="0" containsDate="1" containsString="0" containsBlank="1" minDate="2026-08-01T10:47:53" maxDate="2026-08-08T12:19:20"/>
    </cacheField>
    <cacheField name="User Name" numFmtId="0">
      <sharedItems/>
    </cacheField>
    <cacheField name="Order Date" numFmtId="0">
      <sharedItems containsNonDate="0" containsDate="1" containsString="0" containsBlank="1" minDate="2026-08-01T00:00:00" maxDate="2026-08-09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20027" maxValue="10660094" count="96">
        <n v="10110076"/>
        <n v="10110086"/>
        <n v="10610018"/>
        <n v="10610009"/>
        <n v="10430001"/>
        <n v="10110168"/>
        <n v="10110021"/>
        <n v="10590012"/>
        <n v="10590004"/>
        <n v="10590001"/>
        <n v="10060069"/>
        <n v="10060090"/>
        <n v="10590009"/>
        <n v="10590013"/>
        <n v="10610005"/>
        <n v="10120052"/>
        <n v="10120031"/>
        <n v="10120089"/>
        <n v="10120104"/>
        <n v="10110124"/>
        <n v="10110001"/>
        <n v="10530103"/>
        <n v="10530076"/>
        <n v="10530081"/>
        <n v="10530047"/>
        <n v="10530044"/>
        <n v="10530064"/>
        <n v="10530055"/>
        <n v="10530035"/>
        <n v="10120122"/>
        <n v="10120017"/>
        <n v="10120034"/>
        <n v="10120120"/>
        <n v="10120094"/>
        <n v="10530008"/>
        <n v="10120007"/>
        <n v="10530096"/>
        <n v="10530001"/>
        <n v="10530003"/>
        <n v="10530006"/>
        <n v="10530078"/>
        <n v="10530032"/>
        <n v="10530084"/>
        <n v="10530040"/>
        <n v="10530005"/>
        <n v="10530109"/>
        <n v="10530113"/>
        <n v="10530093"/>
        <n v="10530082"/>
        <n v="10530070"/>
        <n v="10530002"/>
        <n v="10530092"/>
        <n v="10530034"/>
        <n v="10130073"/>
        <n v="10130047"/>
        <n v="10130006"/>
        <n v="10110123"/>
        <n v="10140173"/>
        <n v="10140180"/>
        <n v="10140137"/>
        <n v="10140011"/>
        <n v="10140001"/>
        <n v="10600004"/>
        <n v="10600005"/>
        <n v="10660004"/>
        <n v="10660001"/>
        <n v="10540050"/>
        <n v="10540008"/>
        <n v="10110144"/>
        <n v="10540043"/>
        <n v="10660002"/>
        <n v="10660028"/>
        <n v="10060027"/>
        <n v="10020027"/>
        <n v="10110153"/>
        <n v="10110183"/>
        <n v="10110161"/>
        <n v="10120013"/>
        <n v="10120010"/>
        <n v="10530038"/>
        <n v="10120022"/>
        <n v="10120049"/>
        <n v="10530015"/>
        <n v="10530117"/>
        <n v="10530031"/>
        <n v="10120011"/>
        <n v="10130018"/>
        <n v="10130081"/>
        <n v="10130005"/>
        <n v="10130122"/>
        <n v="10130031"/>
        <n v="10110008"/>
        <n v="10530069"/>
        <n v="10660010"/>
        <n v="10030069"/>
        <n v="10660094"/>
      </sharedItems>
    </cacheField>
    <cacheField name="Type" numFmtId="0">
      <sharedItems containsBlank="1" count="3">
        <s v="Direct"/>
        <s v="Indirect"/>
        <m/>
      </sharedItems>
    </cacheField>
    <cacheField name="MPG Name" numFmtId="0">
      <sharedItems/>
    </cacheField>
    <cacheField name="Farmer code" numFmtId="0">
      <sharedItems count="65">
        <s v="0004"/>
        <s v="0008"/>
        <s v="0002"/>
        <s v="0018"/>
        <s v="0079"/>
        <s v="0030"/>
        <s v="0009"/>
        <s v="0006"/>
        <s v="0038"/>
        <s v="0003"/>
        <s v="0023"/>
        <s v="0005"/>
        <s v="0027"/>
        <s v="0050"/>
        <s v="0034"/>
        <s v="0097"/>
        <s v="0036"/>
        <s v="0010"/>
        <s v="0022"/>
        <s v="0013"/>
        <s v="0020"/>
        <s v="0107"/>
        <s v="0044"/>
        <s v="0105"/>
        <s v="0051"/>
        <s v="0149"/>
        <s v="0095"/>
        <s v="0127"/>
        <s v="0081"/>
        <s v="0014"/>
        <s v="0094"/>
        <s v="0124"/>
        <s v="0071"/>
        <s v="0037"/>
        <s v="0073"/>
        <s v="0065"/>
        <s v="0029"/>
        <s v="0052"/>
        <s v="0016"/>
        <s v="0015"/>
        <s v="0024"/>
        <s v="0055"/>
        <s v="0048"/>
        <s v="0007"/>
        <s v="0049"/>
        <s v="0056"/>
        <s v="0063"/>
        <s v="0046"/>
        <s v="0084"/>
        <s v="0096"/>
        <s v="0080"/>
        <s v="0045"/>
        <s v="0019"/>
        <s v="0100"/>
        <s v="0017"/>
        <s v="0074"/>
        <s v="0000"/>
        <s v="0011"/>
        <s v="0088"/>
        <s v="0012"/>
        <s v="0150"/>
        <s v="0294"/>
        <s v="0306"/>
        <s v="0282"/>
        <s v="0069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547.9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0" maxValue="144000"/>
    </cacheField>
    <cacheField name="Other Due Amt" numFmtId="0">
      <sharedItems containsSemiMixedTypes="0" containsString="0" containsNumber="1" minValue="0" maxValue="9573"/>
    </cacheField>
    <cacheField name="Total Amount (Proposed)" numFmtId="0">
      <sharedItems containsSemiMixedTypes="0" containsString="0" containsNumber="1" minValue="0" maxValue="144000"/>
    </cacheField>
    <cacheField name="Final Qty" numFmtId="0">
      <sharedItems containsSemiMixedTypes="0" containsString="0" containsNumber="1" minValue="0" maxValue="547.9"/>
    </cacheField>
    <cacheField name="Final Amount" numFmtId="1">
      <sharedItems containsSemiMixedTypes="0" containsString="0" containsNumber="1" minValue="0" maxValue="1440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Column 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6-08-01T10:47:53"/>
    <s v="Bittu kumar"/>
    <d v="2026-08-01T00:00:00"/>
    <s v="31-07-2026 to 06-08-2026"/>
    <s v="Gold 50 Kg"/>
    <s v="101100760004"/>
    <x v="0"/>
    <x v="0"/>
    <s v="GOMUKH SRINAGAR"/>
    <x v="0"/>
    <s v="Sahibpur Kamal"/>
    <s v="Daya Society"/>
    <n v="7"/>
    <n v="1300"/>
    <n v="9100"/>
    <n v="0"/>
    <n v="9100"/>
    <n v="7"/>
    <n v="9100"/>
    <m/>
    <m/>
    <m/>
  </r>
  <r>
    <d v="2026-08-01T10:48:33"/>
    <s v="Bittu kumar"/>
    <d v="2026-08-01T00:00:00"/>
    <s v="31-07-2026 to 06-08-2026"/>
    <s v="Gold 50 Kg"/>
    <s v="101100760008"/>
    <x v="0"/>
    <x v="0"/>
    <s v="GOMUKH SRINAGAR"/>
    <x v="1"/>
    <s v="Sahibpur Kamal"/>
    <s v="Daya Society"/>
    <n v="8"/>
    <n v="1300"/>
    <n v="10400"/>
    <n v="0"/>
    <n v="10400"/>
    <n v="8"/>
    <n v="10400"/>
    <m/>
    <m/>
    <s v="all code se"/>
  </r>
  <r>
    <d v="2026-08-01T10:52:04"/>
    <s v="Bittu kumar"/>
    <d v="2026-08-01T00:00:00"/>
    <s v="31-07-2026 to 06-08-2026"/>
    <s v="Gold 50 Kg"/>
    <s v="101100860002"/>
    <x v="1"/>
    <x v="0"/>
    <s v="Gomukh Durgapur"/>
    <x v="2"/>
    <s v="Sahibpur Kamal"/>
    <s v="Daya Society"/>
    <n v="9"/>
    <n v="1350"/>
    <n v="12150"/>
    <n v="0"/>
    <n v="12150"/>
    <n v="9"/>
    <n v="12150"/>
    <m/>
    <m/>
    <s v="all code se"/>
  </r>
  <r>
    <d v="2026-08-02T09:28:59"/>
    <s v="Saroj kumar"/>
    <d v="2026-08-02T00:00:00"/>
    <s v="31-07-2026 to 06-08-2026"/>
    <s v="Gold 50 Kg"/>
    <s v="106100180018"/>
    <x v="2"/>
    <x v="0"/>
    <s v="GOMUKH SUPOLTARIYA"/>
    <x v="3"/>
    <s v="Mahua BMC"/>
    <s v="Daya Society"/>
    <n v="0"/>
    <n v="1376"/>
    <n v="0"/>
    <n v="1376"/>
    <n v="1376"/>
    <n v="0"/>
    <n v="1376"/>
    <m/>
    <m/>
    <m/>
  </r>
  <r>
    <d v="2026-08-03T23:52:01"/>
    <s v="Saroj kumar"/>
    <d v="2026-08-03T00:00:00"/>
    <s v="31-07-2026 to 06-08-2026"/>
    <s v="Gold 50 Kg"/>
    <s v="106100090079"/>
    <x v="3"/>
    <x v="0"/>
    <s v="GOMUKH Khanpatti"/>
    <x v="4"/>
    <s v="Mahua BMC"/>
    <s v="Daya Society"/>
    <n v="0"/>
    <n v="1400"/>
    <n v="0"/>
    <n v="0"/>
    <n v="0"/>
    <n v="0"/>
    <n v="0"/>
    <m/>
    <m/>
    <m/>
  </r>
  <r>
    <d v="2026-08-05T11:48:27"/>
    <s v="Bittu kumar"/>
    <d v="2026-08-05T00:00:00"/>
    <s v="31-07-2026 to 06-08-2026"/>
    <s v="Gold 50 Kg"/>
    <s v="104300010002"/>
    <x v="4"/>
    <x v="0"/>
    <s v="Gomukh Bariyarpur"/>
    <x v="2"/>
    <s v="Sahibpur Kamal"/>
    <s v="Daya Society"/>
    <n v="1"/>
    <n v="1350"/>
    <n v="1350"/>
    <n v="0"/>
    <n v="1350"/>
    <n v="1"/>
    <n v="1350"/>
    <m/>
    <m/>
    <m/>
  </r>
  <r>
    <d v="2026-08-05T11:49:44"/>
    <s v="Bittu kumar"/>
    <d v="2026-08-05T00:00:00"/>
    <s v="31-07-2026 to 06-08-2026"/>
    <s v="Gold 50 Kg"/>
    <s v="101101680002"/>
    <x v="5"/>
    <x v="0"/>
    <s v="GOMUKH BARBIGHI"/>
    <x v="2"/>
    <s v="Sahibpur Kamal"/>
    <s v="Daya Society"/>
    <n v="8"/>
    <n v="1350"/>
    <n v="10800"/>
    <n v="0"/>
    <n v="10800"/>
    <n v="8"/>
    <n v="10800"/>
    <m/>
    <m/>
    <s v="2 all code se"/>
  </r>
  <r>
    <d v="2026-08-05T11:50:05"/>
    <s v="Bittu kumar"/>
    <d v="2026-08-05T00:00:00"/>
    <s v="31-07-2026 to 06-08-2026"/>
    <s v="Gold 50 Kg"/>
    <s v="101100210030"/>
    <x v="6"/>
    <x v="0"/>
    <s v="GOMUKH Mathar"/>
    <x v="5"/>
    <s v="Sahibpur Kamal"/>
    <s v="Daya Society"/>
    <n v="2"/>
    <n v="1350"/>
    <n v="2700"/>
    <n v="0"/>
    <n v="2700"/>
    <n v="2"/>
    <n v="2700"/>
    <m/>
    <m/>
    <m/>
  </r>
  <r>
    <d v="2026-08-06T09:14:45"/>
    <s v="Kunal Kumar"/>
    <d v="2026-08-06T00:00:00"/>
    <s v="31-07-2026 to 06-08-2026"/>
    <s v="Gold 50 Kg"/>
    <s v="105900120002"/>
    <x v="7"/>
    <x v="0"/>
    <s v="LAKHAPUR"/>
    <x v="2"/>
    <s v="Gopalpur Bmc"/>
    <s v="Daya Society"/>
    <n v="1"/>
    <n v="1350"/>
    <n v="1350"/>
    <n v="0"/>
    <n v="1350"/>
    <n v="1"/>
    <n v="1350"/>
    <m/>
    <m/>
    <m/>
  </r>
  <r>
    <d v="2026-08-06T09:15:29"/>
    <s v="Kunal Kumar"/>
    <d v="2026-08-06T00:00:00"/>
    <s v="31-07-2026 to 06-08-2026"/>
    <s v="Gold 50 Kg"/>
    <s v="105900040009"/>
    <x v="8"/>
    <x v="0"/>
    <s v="PRATAPUR"/>
    <x v="6"/>
    <s v="Gopalpur Bmc"/>
    <s v="Daya Society"/>
    <n v="5"/>
    <n v="1350"/>
    <n v="6750"/>
    <n v="0"/>
    <n v="6750"/>
    <n v="5"/>
    <n v="6750"/>
    <m/>
    <m/>
    <m/>
  </r>
  <r>
    <d v="2026-08-06T09:16:43"/>
    <s v="Kunal Kumar"/>
    <d v="2026-08-06T00:00:00"/>
    <s v="31-07-2026 to 06-08-2026"/>
    <s v="Gold 50 Kg"/>
    <s v="105900010002"/>
    <x v="9"/>
    <x v="0"/>
    <s v="MISHRBIGHA"/>
    <x v="2"/>
    <s v="Gopalpur Bmc"/>
    <s v="Daya Society"/>
    <n v="3"/>
    <n v="1350"/>
    <n v="4050"/>
    <n v="0"/>
    <n v="4050"/>
    <n v="3"/>
    <n v="4050"/>
    <m/>
    <m/>
    <m/>
  </r>
  <r>
    <d v="2026-08-06T09:18:18"/>
    <s v="Kunal Kumar"/>
    <d v="2026-08-06T00:00:00"/>
    <s v="31-07-2026 to 06-08-2026"/>
    <s v="Gold 50 Kg"/>
    <s v="100600690009"/>
    <x v="10"/>
    <x v="0"/>
    <s v="BHANDAR"/>
    <x v="6"/>
    <s v="Gopalpur Bmc"/>
    <s v="Daya Society"/>
    <n v="2"/>
    <n v="1350"/>
    <n v="2700"/>
    <n v="0"/>
    <n v="2700"/>
    <n v="2"/>
    <n v="2700"/>
    <m/>
    <m/>
    <m/>
  </r>
  <r>
    <d v="2026-08-06T09:20:11"/>
    <s v="Kunal Kumar"/>
    <d v="2026-08-06T00:00:00"/>
    <s v="31-07-2026 to 06-08-2026"/>
    <s v="Gold 50 Kg"/>
    <s v="100600900018"/>
    <x v="11"/>
    <x v="0"/>
    <s v="SANGRAMPUR"/>
    <x v="3"/>
    <s v="Gopalpur Bmc"/>
    <s v="Daya Society"/>
    <n v="2"/>
    <n v="1350"/>
    <n v="2700"/>
    <n v="0"/>
    <n v="2700"/>
    <n v="2"/>
    <n v="2700"/>
    <m/>
    <m/>
    <m/>
  </r>
  <r>
    <d v="2026-08-06T09:20:43"/>
    <s v="Kunal Kumar"/>
    <d v="2026-08-06T00:00:00"/>
    <s v="31-07-2026 to 06-08-2026"/>
    <s v="Gold 50 Kg"/>
    <s v="105900090002"/>
    <x v="12"/>
    <x v="0"/>
    <s v="LAKHANPUR"/>
    <x v="2"/>
    <s v="Gopalpur Bmc"/>
    <s v="Daya Society"/>
    <n v="2"/>
    <n v="1350"/>
    <n v="2700"/>
    <n v="0"/>
    <n v="2700"/>
    <n v="2"/>
    <n v="2700"/>
    <m/>
    <m/>
    <m/>
  </r>
  <r>
    <d v="2026-08-06T09:21:11"/>
    <s v="Kunal Kumar"/>
    <d v="2026-08-06T00:00:00"/>
    <s v="31-07-2026 to 06-08-2026"/>
    <s v="Gold 50 Kg"/>
    <s v="105900130002"/>
    <x v="13"/>
    <x v="0"/>
    <s v="BARIYARPUR"/>
    <x v="2"/>
    <s v="Gopalpur Bmc"/>
    <s v="Daya Society"/>
    <n v="1"/>
    <n v="1350"/>
    <n v="1350"/>
    <n v="0"/>
    <n v="1350"/>
    <n v="1"/>
    <n v="1350"/>
    <m/>
    <m/>
    <m/>
  </r>
  <r>
    <d v="2026-08-06T10:23:24"/>
    <s v="Saroj kumar"/>
    <d v="2026-08-06T00:00:00"/>
    <s v="31-07-2026 to 06-08-2026"/>
    <s v="Buff Spl 50 Kg"/>
    <s v="106100050002"/>
    <x v="14"/>
    <x v="0"/>
    <s v="Gomukh Paharpur"/>
    <x v="2"/>
    <s v="Mahua BMC"/>
    <s v="Daya Society"/>
    <n v="2"/>
    <n v="1550"/>
    <n v="3100"/>
    <n v="0"/>
    <n v="3100"/>
    <n v="2"/>
    <n v="3100"/>
    <m/>
    <m/>
    <m/>
  </r>
  <r>
    <d v="2026-08-06T11:33:27"/>
    <s v="Saroj kumar"/>
    <d v="2026-08-06T00:00:00"/>
    <s v="31-07-2026 to 06-08-2026"/>
    <s v="Gold 50 Kg"/>
    <s v="106100180002"/>
    <x v="2"/>
    <x v="0"/>
    <s v="GOMUKH SUPOLTARIYA"/>
    <x v="2"/>
    <s v="Mahua BMC"/>
    <s v="Daya Society"/>
    <n v="4"/>
    <n v="1400"/>
    <n v="5600"/>
    <n v="0"/>
    <n v="5600"/>
    <n v="4"/>
    <n v="5600"/>
    <m/>
    <m/>
    <m/>
  </r>
  <r>
    <d v="2026-08-06T11:33:51"/>
    <s v="Saroj kumar"/>
    <d v="2026-08-06T00:00:00"/>
    <s v="31-07-2026 to 06-08-2026"/>
    <s v="Gold 50 Kg"/>
    <s v="106100180006"/>
    <x v="2"/>
    <x v="0"/>
    <s v="GOMUKH SUPOLTARIYA"/>
    <x v="7"/>
    <s v="Mahua BMC"/>
    <s v="Daya Society"/>
    <n v="1"/>
    <n v="1400"/>
    <n v="1400"/>
    <n v="0"/>
    <n v="1400"/>
    <n v="1"/>
    <n v="1400"/>
    <m/>
    <m/>
    <m/>
  </r>
  <r>
    <d v="2026-08-07T13:29:52"/>
    <s v="Mithun Kumar"/>
    <d v="2026-08-07T00:00:00"/>
    <s v="31-07-2026 to 06-08-2026"/>
    <s v="Gold 50 Kg"/>
    <s v="101200520002"/>
    <x v="15"/>
    <x v="0"/>
    <s v="Mordiba"/>
    <x v="2"/>
    <s v="DalsinghSarai"/>
    <s v="Daya Society"/>
    <n v="2"/>
    <n v="1400"/>
    <n v="2800"/>
    <n v="0"/>
    <n v="2800"/>
    <n v="2"/>
    <n v="2800"/>
    <m/>
    <m/>
    <s v="2 and unregistered farmer code"/>
  </r>
  <r>
    <d v="2026-08-07T13:30:27"/>
    <s v="Mithun Kumar"/>
    <d v="2026-08-07T00:00:00"/>
    <s v="31-07-2026 to 06-08-2026"/>
    <s v="Gold 50 Kg"/>
    <s v="101200310002"/>
    <x v="16"/>
    <x v="0"/>
    <s v="DESUA"/>
    <x v="2"/>
    <s v="DalsinghSarai"/>
    <s v="Daya Society"/>
    <n v="2"/>
    <n v="1400"/>
    <n v="2800"/>
    <n v="0"/>
    <n v="2800"/>
    <n v="2"/>
    <n v="2800"/>
    <m/>
    <m/>
    <s v="2 and unregistered farmer code"/>
  </r>
  <r>
    <d v="2026-08-07T13:31:35"/>
    <s v="Mithun Kumar"/>
    <d v="2026-08-07T00:00:00"/>
    <s v="31-07-2026 to 06-08-2026"/>
    <s v="Gold 50 Kg"/>
    <s v="101200890002"/>
    <x v="17"/>
    <x v="0"/>
    <s v="Gomukh Jhaura Tabhka"/>
    <x v="2"/>
    <s v="DalsinghSarai"/>
    <s v="Daya Society"/>
    <n v="1"/>
    <n v="1400"/>
    <n v="1400"/>
    <n v="0"/>
    <n v="1400"/>
    <n v="1"/>
    <n v="1400"/>
    <m/>
    <m/>
    <m/>
  </r>
  <r>
    <d v="2026-08-07T13:31:56"/>
    <s v="Mithun Kumar"/>
    <d v="2026-08-07T00:00:00"/>
    <s v="31-07-2026 to 06-08-2026"/>
    <s v="Gold 50 Kg"/>
    <s v="101201040002"/>
    <x v="18"/>
    <x v="0"/>
    <s v="Gomukh Mordiwa East"/>
    <x v="2"/>
    <s v="DalsinghSarai"/>
    <s v="Daya Society"/>
    <n v="1"/>
    <n v="1400"/>
    <n v="1400"/>
    <n v="0"/>
    <n v="1400"/>
    <n v="1"/>
    <n v="1400"/>
    <m/>
    <m/>
    <m/>
  </r>
  <r>
    <d v="2026-08-07T22:45:09"/>
    <s v="Mukesh kumar"/>
    <d v="2026-08-07T00:00:00"/>
    <s v="31-07-2026 to 06-08-2026"/>
    <s v="Gold 50 Kg"/>
    <s v="101101240009"/>
    <x v="19"/>
    <x v="0"/>
    <s v="GOMUKH ASHRAPHA DIYARA"/>
    <x v="6"/>
    <s v="Matihani"/>
    <s v="Daya Society"/>
    <n v="1"/>
    <n v="1400"/>
    <n v="1400"/>
    <n v="0"/>
    <n v="1400"/>
    <n v="1"/>
    <n v="1400"/>
    <m/>
    <m/>
    <m/>
  </r>
  <r>
    <d v="2026-08-07T22:46:09"/>
    <s v="Mukesh kumar"/>
    <d v="2026-08-07T00:00:00"/>
    <s v="31-07-2026 to 06-08-2026"/>
    <s v="Gold 50 Kg"/>
    <s v="101100010002"/>
    <x v="20"/>
    <x v="0"/>
    <s v="Gomukh Mahendrapur"/>
    <x v="2"/>
    <s v="Matihani"/>
    <s v="Daya Society"/>
    <n v="2"/>
    <n v="1350"/>
    <n v="2700"/>
    <n v="0"/>
    <n v="2700"/>
    <n v="2"/>
    <n v="2700"/>
    <m/>
    <m/>
    <m/>
  </r>
  <r>
    <d v="2026-08-08T06:47:18"/>
    <s v="RAMJEEVAN SHANDILYA"/>
    <d v="2026-08-08T00:00:00"/>
    <s v="31-07-2026 to 06-08-2026"/>
    <s v="Buff Spl 50 Kg"/>
    <s v="105301030006"/>
    <x v="21"/>
    <x v="0"/>
    <s v="GOMUKH JHAHURI"/>
    <x v="7"/>
    <s v="Kalyanpur"/>
    <s v="Daya Society"/>
    <n v="1"/>
    <n v="1550"/>
    <n v="1550"/>
    <n v="0"/>
    <n v="1550"/>
    <n v="1"/>
    <n v="1550"/>
    <m/>
    <m/>
    <m/>
  </r>
  <r>
    <d v="2026-08-08T06:47:50"/>
    <s v="RAMJEEVAN SHANDILYA"/>
    <d v="2026-08-08T00:00:00"/>
    <s v="31-07-2026 to 06-08-2026"/>
    <s v="Buff Spl 50 Kg"/>
    <s v="105301030030"/>
    <x v="21"/>
    <x v="0"/>
    <s v="GOMUKH JHAHURI"/>
    <x v="5"/>
    <s v="Kalyanpur"/>
    <s v="Daya Society"/>
    <n v="2"/>
    <n v="1550"/>
    <n v="3100"/>
    <n v="0"/>
    <n v="3100"/>
    <n v="2"/>
    <n v="3100"/>
    <m/>
    <m/>
    <m/>
  </r>
  <r>
    <d v="2026-08-08T06:48:35"/>
    <s v="RAMJEEVAN SHANDILYA"/>
    <d v="2026-08-08T00:00:00"/>
    <s v="31-07-2026 to 06-08-2026"/>
    <s v="Buff Spl 50 Kg"/>
    <s v="105301030002"/>
    <x v="21"/>
    <x v="0"/>
    <s v="GOMUKH JHAHURI"/>
    <x v="2"/>
    <s v="Kalyanpur"/>
    <s v="Daya Society"/>
    <n v="4"/>
    <n v="1550"/>
    <n v="6200"/>
    <n v="0"/>
    <n v="6200"/>
    <n v="4"/>
    <n v="6200"/>
    <m/>
    <m/>
    <m/>
  </r>
  <r>
    <d v="2026-08-08T06:49:01"/>
    <s v="RAMJEEVAN SHANDILYA"/>
    <d v="2026-08-08T00:00:00"/>
    <s v="31-07-2026 to 06-08-2026"/>
    <s v="Buff Spl 50 Kg"/>
    <s v="105301030004"/>
    <x v="21"/>
    <x v="0"/>
    <s v="GOMUKH JHAHURI"/>
    <x v="0"/>
    <s v="Kalyanpur"/>
    <s v="Daya Society"/>
    <n v="3"/>
    <n v="1550"/>
    <n v="4650"/>
    <n v="0"/>
    <n v="4650"/>
    <n v="3"/>
    <n v="4650"/>
    <m/>
    <m/>
    <m/>
  </r>
  <r>
    <d v="2026-08-08T06:49:29"/>
    <s v="RAMJEEVAN SHANDILYA"/>
    <d v="2026-08-08T00:00:00"/>
    <s v="31-07-2026 to 06-08-2026"/>
    <s v="Buff Spl 50 Kg"/>
    <s v="105300760038"/>
    <x v="22"/>
    <x v="0"/>
    <s v="GOMUKH Madanpur W-3"/>
    <x v="8"/>
    <s v="Kalyanpur"/>
    <s v="Daya Society"/>
    <n v="1"/>
    <n v="1550"/>
    <n v="1550"/>
    <n v="0"/>
    <n v="1550"/>
    <n v="1"/>
    <n v="1550"/>
    <m/>
    <m/>
    <m/>
  </r>
  <r>
    <d v="2026-08-08T06:49:54"/>
    <s v="RAMJEEVAN SHANDILYA"/>
    <d v="2026-08-08T00:00:00"/>
    <s v="31-07-2026 to 06-08-2026"/>
    <s v="Buff Spl 50 Kg"/>
    <s v="105300760003"/>
    <x v="22"/>
    <x v="0"/>
    <s v="GOMUKH Madanpur W-3"/>
    <x v="9"/>
    <s v="Kalyanpur"/>
    <s v="Daya Society"/>
    <n v="1"/>
    <n v="1550"/>
    <n v="1550"/>
    <n v="0"/>
    <n v="1550"/>
    <n v="1"/>
    <n v="1550"/>
    <m/>
    <m/>
    <m/>
  </r>
  <r>
    <d v="2026-08-08T06:50:50"/>
    <s v="RAMJEEVAN SHANDILYA"/>
    <d v="2026-08-08T00:00:00"/>
    <s v="31-07-2026 to 06-08-2026"/>
    <s v="Bestmin Gold 6 KG"/>
    <s v="105300760002"/>
    <x v="22"/>
    <x v="0"/>
    <s v="GOMUKH Madanpur W-3"/>
    <x v="2"/>
    <s v="Kalyanpur"/>
    <s v="Daya Society"/>
    <n v="1"/>
    <n v="1238"/>
    <n v="1238"/>
    <n v="0"/>
    <n v="1238"/>
    <n v="1"/>
    <n v="1238"/>
    <m/>
    <m/>
    <m/>
  </r>
  <r>
    <d v="2026-08-08T06:51:37"/>
    <s v="RAMJEEVAN SHANDILYA"/>
    <d v="2026-08-08T00:00:00"/>
    <s v="31-07-2026 to 06-08-2026"/>
    <s v="Bestmin Gold 6 KG"/>
    <s v="105300760023"/>
    <x v="22"/>
    <x v="0"/>
    <s v="GOMUKH Madanpur W-3"/>
    <x v="10"/>
    <s v="Kalyanpur"/>
    <s v="Daya Society"/>
    <n v="1"/>
    <n v="1238"/>
    <n v="1238"/>
    <n v="0"/>
    <n v="1238"/>
    <n v="1"/>
    <n v="1238"/>
    <m/>
    <m/>
    <m/>
  </r>
  <r>
    <d v="2026-08-08T06:52:44"/>
    <s v="RAMJEEVAN SHANDILYA"/>
    <d v="2026-08-08T00:00:00"/>
    <s v="31-07-2026 to 06-08-2026"/>
    <s v="Gold 50 Kg"/>
    <s v="105300810002"/>
    <x v="23"/>
    <x v="0"/>
    <s v="GOMUKH DADHIYA-2"/>
    <x v="2"/>
    <s v="Kalyanpur"/>
    <s v="Daya Society"/>
    <n v="1"/>
    <n v="1400"/>
    <n v="1400"/>
    <n v="0"/>
    <n v="1400"/>
    <n v="1"/>
    <n v="1400"/>
    <m/>
    <m/>
    <m/>
  </r>
  <r>
    <d v="2026-08-08T06:53:18"/>
    <s v="RAMJEEVAN SHANDILYA"/>
    <d v="2026-08-08T00:00:00"/>
    <s v="31-07-2026 to 06-08-2026"/>
    <s v="Buff Spl 50 Kg"/>
    <s v="105300470005"/>
    <x v="24"/>
    <x v="0"/>
    <s v="Gomukh Dighra"/>
    <x v="11"/>
    <s v="Kalyanpur"/>
    <s v="Daya Society"/>
    <n v="2"/>
    <n v="1550"/>
    <n v="3100"/>
    <n v="0"/>
    <n v="3100"/>
    <n v="2"/>
    <n v="3100"/>
    <m/>
    <m/>
    <m/>
  </r>
  <r>
    <d v="2026-08-08T06:54:04"/>
    <s v="RAMJEEVAN SHANDILYA"/>
    <d v="2026-08-08T00:00:00"/>
    <s v="31-07-2026 to 06-08-2026"/>
    <s v="Methochelated Provical Forte 5L"/>
    <s v="105300440009"/>
    <x v="25"/>
    <x v="0"/>
    <s v="Gomukh Punas"/>
    <x v="6"/>
    <s v="Kalyanpur"/>
    <s v="Daya Society"/>
    <n v="1"/>
    <n v="1001"/>
    <n v="1001"/>
    <n v="0"/>
    <n v="1001"/>
    <n v="1"/>
    <n v="1001"/>
    <m/>
    <m/>
    <m/>
  </r>
  <r>
    <d v="2026-08-08T06:54:30"/>
    <s v="RAMJEEVAN SHANDILYA"/>
    <d v="2026-08-08T00:00:00"/>
    <s v="31-07-2026 to 06-08-2026"/>
    <s v="Methochelated Provical Forte 5L"/>
    <s v="105300440027"/>
    <x v="25"/>
    <x v="0"/>
    <s v="Gomukh Punas"/>
    <x v="12"/>
    <s v="Kalyanpur"/>
    <s v="Daya Society"/>
    <n v="1"/>
    <n v="1001"/>
    <n v="1001"/>
    <n v="0"/>
    <n v="1001"/>
    <n v="1"/>
    <n v="1001"/>
    <m/>
    <m/>
    <m/>
  </r>
  <r>
    <d v="2026-08-08T06:55:30"/>
    <s v="RAMJEEVAN SHANDILYA"/>
    <d v="2026-08-08T00:00:00"/>
    <s v="31-07-2026 to 06-08-2026"/>
    <s v="ONLY DUE ADJUSTMENT"/>
    <s v="105301030009"/>
    <x v="21"/>
    <x v="0"/>
    <s v="GOMUKH JHAHURI"/>
    <x v="6"/>
    <s v="Kalyanpur"/>
    <s v="Daya Society"/>
    <n v="0"/>
    <n v="0"/>
    <n v="0"/>
    <n v="948"/>
    <n v="948"/>
    <n v="0"/>
    <n v="948"/>
    <m/>
    <m/>
    <m/>
  </r>
  <r>
    <d v="2026-08-08T06:55:54"/>
    <s v="RAMJEEVAN SHANDILYA"/>
    <d v="2026-08-08T00:00:00"/>
    <s v="31-07-2026 to 06-08-2026"/>
    <s v="ONLY DUE ADJUSTMENT"/>
    <s v="105301030050"/>
    <x v="21"/>
    <x v="0"/>
    <s v="GOMUKH JHAHURI"/>
    <x v="13"/>
    <s v="Kalyanpur"/>
    <s v="Daya Society"/>
    <n v="0"/>
    <n v="0"/>
    <n v="0"/>
    <n v="524"/>
    <n v="524"/>
    <n v="0"/>
    <n v="524"/>
    <m/>
    <m/>
    <m/>
  </r>
  <r>
    <d v="2026-08-08T06:57:18"/>
    <s v="RAMJEEVAN SHANDILYA"/>
    <d v="2026-08-08T00:00:00"/>
    <s v="31-07-2026 to 06-08-2026"/>
    <s v="ONLY DUE ADJUSTMENT"/>
    <s v="105300640034"/>
    <x v="26"/>
    <x v="0"/>
    <s v="GOMUKH MANIYARPUR"/>
    <x v="14"/>
    <s v="Kalyanpur"/>
    <s v="Daya Society"/>
    <n v="0"/>
    <n v="0"/>
    <n v="0"/>
    <n v="1561"/>
    <n v="1561"/>
    <n v="0"/>
    <n v="1561"/>
    <m/>
    <m/>
    <m/>
  </r>
  <r>
    <d v="2026-08-08T06:57:49"/>
    <s v="RAMJEEVAN SHANDILYA"/>
    <d v="2026-08-08T00:00:00"/>
    <s v="31-07-2026 to 06-08-2026"/>
    <s v="ONLY DUE ADJUSTMENT"/>
    <s v="105300550097"/>
    <x v="27"/>
    <x v="0"/>
    <s v="GOMUKH HARPUR W-13"/>
    <x v="15"/>
    <s v="Kalyanpur"/>
    <s v="Daya Society"/>
    <n v="0"/>
    <n v="0"/>
    <n v="0"/>
    <n v="588"/>
    <n v="588"/>
    <n v="0"/>
    <n v="588"/>
    <m/>
    <m/>
    <m/>
  </r>
  <r>
    <d v="2026-08-08T06:58:11"/>
    <s v="RAMJEEVAN SHANDILYA"/>
    <d v="2026-08-08T00:00:00"/>
    <s v="31-07-2026 to 06-08-2026"/>
    <s v="ONLY DUE ADJUSTMENT"/>
    <s v="105300550002"/>
    <x v="27"/>
    <x v="0"/>
    <s v="GOMUKH HARPUR W-13"/>
    <x v="2"/>
    <s v="Kalyanpur"/>
    <s v="Daya Society"/>
    <n v="0"/>
    <n v="0"/>
    <n v="0"/>
    <n v="336"/>
    <n v="336"/>
    <n v="0"/>
    <n v="336"/>
    <m/>
    <m/>
    <m/>
  </r>
  <r>
    <d v="2026-08-08T07:04:00"/>
    <s v="RAMJEEVAN SHANDILYA"/>
    <d v="2026-08-08T00:00:00"/>
    <s v="31-07-2026 to 06-08-2026"/>
    <s v="Liveferol 1LTR"/>
    <s v="105300350006"/>
    <x v="28"/>
    <x v="0"/>
    <s v="Gomukh Birauli Khurd"/>
    <x v="7"/>
    <s v="Kalyanpur"/>
    <s v="Daya Society"/>
    <n v="1"/>
    <n v="259"/>
    <n v="259"/>
    <n v="0"/>
    <n v="259"/>
    <n v="1"/>
    <n v="259"/>
    <m/>
    <m/>
    <m/>
  </r>
  <r>
    <d v="2026-08-08T07:05:06"/>
    <s v="RAMJEEVAN SHANDILYA"/>
    <d v="2026-08-08T00:00:00"/>
    <s v="31-07-2026 to 06-08-2026"/>
    <s v="Liveferol 1LTR"/>
    <s v="105300350003"/>
    <x v="28"/>
    <x v="0"/>
    <s v="Gomukh Birauli Khurd"/>
    <x v="9"/>
    <s v="Kalyanpur"/>
    <s v="Daya Society"/>
    <n v="1"/>
    <n v="259"/>
    <n v="259"/>
    <n v="0"/>
    <n v="259"/>
    <n v="1"/>
    <n v="259"/>
    <m/>
    <m/>
    <m/>
  </r>
  <r>
    <d v="2026-08-08T07:05:51"/>
    <s v="RAMJEEVAN SHANDILYA"/>
    <d v="2026-08-08T00:00:00"/>
    <s v="31-07-2026 to 06-08-2026"/>
    <s v="Liveferol 500 ml"/>
    <s v="105300350036"/>
    <x v="28"/>
    <x v="0"/>
    <s v="Gomukh Birauli Khurd"/>
    <x v="16"/>
    <s v="Kalyanpur"/>
    <s v="Daya Society"/>
    <n v="1"/>
    <n v="165"/>
    <n v="165"/>
    <n v="0"/>
    <n v="165"/>
    <n v="1"/>
    <n v="165"/>
    <m/>
    <m/>
    <m/>
  </r>
  <r>
    <d v="2026-08-08T07:06:34"/>
    <s v="RAMJEEVAN SHANDILYA"/>
    <d v="2026-08-08T00:00:00"/>
    <s v="31-07-2026 to 06-08-2026"/>
    <s v="Liveferol 1LTR"/>
    <s v="105300350010"/>
    <x v="28"/>
    <x v="0"/>
    <s v="Gomukh Birauli Khurd"/>
    <x v="17"/>
    <s v="Kalyanpur"/>
    <s v="Daya Society"/>
    <n v="6"/>
    <n v="259"/>
    <n v="1554"/>
    <n v="0"/>
    <n v="1554"/>
    <n v="6"/>
    <n v="1554"/>
    <m/>
    <m/>
    <m/>
  </r>
  <r>
    <d v="2026-08-08T07:07:56"/>
    <s v="RAMJEEVAN SHANDILYA"/>
    <d v="2026-08-08T00:00:00"/>
    <s v="31-07-2026 to 06-08-2026"/>
    <s v="Liveferol 1LTR"/>
    <s v="105300350022"/>
    <x v="28"/>
    <x v="0"/>
    <s v="Gomukh Birauli Khurd"/>
    <x v="18"/>
    <s v="Kalyanpur"/>
    <s v="Daya Society"/>
    <n v="2"/>
    <n v="259"/>
    <n v="518"/>
    <n v="0"/>
    <n v="518"/>
    <n v="2"/>
    <n v="518"/>
    <m/>
    <m/>
    <m/>
  </r>
  <r>
    <d v="2026-08-08T07:09:27"/>
    <s v="RAMJEEVAN SHANDILYA"/>
    <d v="2026-08-08T00:00:00"/>
    <s v="31-07-2026 to 06-08-2026"/>
    <s v="Liveferol 500 ml"/>
    <s v="105300350022"/>
    <x v="28"/>
    <x v="0"/>
    <s v="Gomukh Birauli Khurd"/>
    <x v="18"/>
    <s v="Kalyanpur"/>
    <s v="Daya Society"/>
    <n v="1"/>
    <n v="165"/>
    <n v="165"/>
    <n v="0"/>
    <n v="165"/>
    <n v="1"/>
    <n v="165"/>
    <m/>
    <m/>
    <m/>
  </r>
  <r>
    <d v="2026-08-08T07:10:40"/>
    <s v="RAMJEEVAN SHANDILYA"/>
    <d v="2026-08-08T00:00:00"/>
    <s v="31-07-2026 to 06-08-2026"/>
    <s v="Liveferol 500 ml"/>
    <s v="105300350097"/>
    <x v="28"/>
    <x v="0"/>
    <s v="Gomukh Birauli Khurd"/>
    <x v="15"/>
    <s v="Kalyanpur"/>
    <s v="Daya Society"/>
    <n v="1"/>
    <n v="165"/>
    <n v="165"/>
    <n v="0"/>
    <n v="165"/>
    <n v="1"/>
    <n v="165"/>
    <m/>
    <m/>
    <m/>
  </r>
  <r>
    <d v="2026-08-08T07:14:07"/>
    <s v="ANSHU KUMAR"/>
    <d v="2026-08-08T00:00:00"/>
    <s v="31-07-2026 to 06-08-2026"/>
    <s v="Gold 50 Kg"/>
    <s v="101201220002"/>
    <x v="29"/>
    <x v="0"/>
    <s v="GOMUKH BHASINGPUR"/>
    <x v="2"/>
    <s v="DalsinghSarai"/>
    <s v="Daya Society"/>
    <n v="0"/>
    <n v="1400"/>
    <n v="0"/>
    <n v="6892"/>
    <n v="6892"/>
    <n v="0"/>
    <n v="6892"/>
    <m/>
    <m/>
    <s v="(oll coood 💯%Dedection"/>
  </r>
  <r>
    <d v="2026-08-08T07:15:58"/>
    <s v="ANSHU KUMAR"/>
    <d v="2026-08-08T00:00:00"/>
    <s v="31-07-2026 to 06-08-2026"/>
    <s v="Gold 50 Kg"/>
    <s v="101201220002"/>
    <x v="29"/>
    <x v="0"/>
    <s v="GOMUKH BHASINGPUR"/>
    <x v="2"/>
    <s v="DalsinghSarai"/>
    <s v="Daya Society"/>
    <n v="3"/>
    <n v="1400"/>
    <n v="4200"/>
    <n v="0"/>
    <n v="4200"/>
    <n v="3"/>
    <n v="4200"/>
    <m/>
    <m/>
    <s v="0002(oll cood)"/>
  </r>
  <r>
    <d v="2026-08-08T07:16:39"/>
    <s v="ANSHU KUMAR"/>
    <d v="2026-08-08T00:00:00"/>
    <s v="31-07-2026 to 06-08-2026"/>
    <s v="Gold 50 Kg"/>
    <s v="101200170002"/>
    <x v="30"/>
    <x v="0"/>
    <s v="Gomukh Dumduma"/>
    <x v="2"/>
    <s v="DalsinghSarai"/>
    <s v="Daya Society"/>
    <n v="0"/>
    <n v="1400"/>
    <n v="0"/>
    <n v="1398"/>
    <n v="1398"/>
    <n v="0"/>
    <n v="1398"/>
    <m/>
    <m/>
    <s v="0002(oll cood)"/>
  </r>
  <r>
    <d v="2026-08-08T07:17:22"/>
    <s v="ANSHU KUMAR"/>
    <d v="2026-08-08T00:00:00"/>
    <s v="31-07-2026 to 06-08-2026"/>
    <s v="Gold 50 Kg"/>
    <s v="101200340002"/>
    <x v="31"/>
    <x v="0"/>
    <s v="Matior"/>
    <x v="2"/>
    <s v="DalsinghSarai"/>
    <s v="Daya Society"/>
    <n v="0"/>
    <n v="1400"/>
    <n v="0"/>
    <n v="4200"/>
    <n v="4200"/>
    <n v="0"/>
    <n v="4200"/>
    <m/>
    <m/>
    <s v="0002(oll cood defection"/>
  </r>
  <r>
    <d v="2026-08-08T07:18:12"/>
    <s v="RAMJEEVAN SHANDILYA"/>
    <d v="2026-08-08T00:00:00"/>
    <s v="31-07-2026 to 06-08-2026"/>
    <s v="Liveferol 1LTR"/>
    <s v="105300350013"/>
    <x v="28"/>
    <x v="0"/>
    <s v="Gomukh Birauli Khurd"/>
    <x v="19"/>
    <s v="Kalyanpur"/>
    <s v="Daya Society"/>
    <n v="1"/>
    <n v="259"/>
    <n v="259"/>
    <n v="0"/>
    <n v="259"/>
    <n v="1"/>
    <n v="259"/>
    <m/>
    <m/>
    <m/>
  </r>
  <r>
    <d v="2026-08-08T07:18:27"/>
    <s v="ANSHU KUMAR"/>
    <d v="2026-08-08T00:00:00"/>
    <s v="31-07-2026 to 06-08-2026"/>
    <s v="Gold 50 Kg"/>
    <s v="101201200002"/>
    <x v="32"/>
    <x v="0"/>
    <s v="GOMUKH BALTHARA"/>
    <x v="2"/>
    <s v="DalsinghSarai"/>
    <s v="Daya Society"/>
    <n v="5"/>
    <n v="1400"/>
    <n v="7000"/>
    <n v="0"/>
    <n v="7000"/>
    <n v="5"/>
    <n v="7000"/>
    <m/>
    <m/>
    <s v="0002(an rajister farmer"/>
  </r>
  <r>
    <d v="2026-08-08T07:18:51"/>
    <s v="ANSHU KUMAR"/>
    <d v="2026-08-08T00:00:00"/>
    <s v="31-07-2026 to 06-08-2026"/>
    <s v="Buff Spl 50 Kg"/>
    <s v="101201220002"/>
    <x v="29"/>
    <x v="0"/>
    <s v="GOMUKH BHASINGPUR"/>
    <x v="2"/>
    <s v="DalsinghSarai"/>
    <s v="Daya Society"/>
    <n v="2"/>
    <n v="1550"/>
    <n v="3100"/>
    <n v="0"/>
    <n v="3100"/>
    <n v="2"/>
    <n v="3100"/>
    <m/>
    <m/>
    <m/>
  </r>
  <r>
    <d v="2026-08-08T07:19:36"/>
    <s v="ANSHU KUMAR"/>
    <d v="2026-08-08T00:00:00"/>
    <s v="31-07-2026 to 06-08-2026"/>
    <s v="Buff Spl 50 Kg"/>
    <s v="101200170002"/>
    <x v="30"/>
    <x v="0"/>
    <s v="Gomukh Dumduma"/>
    <x v="2"/>
    <s v="DalsinghSarai"/>
    <s v="Daya Society"/>
    <n v="5"/>
    <n v="1550"/>
    <n v="7750"/>
    <n v="0"/>
    <n v="7750"/>
    <n v="5"/>
    <n v="7750"/>
    <m/>
    <m/>
    <s v="0002(oll cood)"/>
  </r>
  <r>
    <d v="2026-08-08T07:21:23"/>
    <s v="ANSHU KUMAR"/>
    <d v="2026-08-08T00:00:00"/>
    <s v="31-07-2026 to 06-08-2026"/>
    <s v="Gold 50 Kg"/>
    <s v="101200940002"/>
    <x v="33"/>
    <x v="0"/>
    <s v="Gomukh Bochaha"/>
    <x v="2"/>
    <s v="DalsinghSarai"/>
    <s v="Daya Society"/>
    <n v="5"/>
    <n v="1400"/>
    <n v="7000"/>
    <n v="0"/>
    <n v="7000"/>
    <n v="5"/>
    <n v="7000"/>
    <m/>
    <m/>
    <s v="0002(An rajister)"/>
  </r>
  <r>
    <d v="2026-08-08T07:22:30"/>
    <s v="Balram Kumar"/>
    <d v="2026-08-08T00:00:00"/>
    <s v="31-07-2026 to 06-08-2026"/>
    <s v="Gold 50 Kg"/>
    <s v="105300080002"/>
    <x v="34"/>
    <x v="0"/>
    <s v="Gomukh Patsara"/>
    <x v="2"/>
    <s v="Kalyanpur"/>
    <s v="Kalyanpur"/>
    <n v="3"/>
    <n v="1400"/>
    <n v="4200"/>
    <n v="0"/>
    <n v="4200"/>
    <n v="3"/>
    <n v="4200"/>
    <m/>
    <m/>
    <m/>
  </r>
  <r>
    <d v="2026-08-08T07:22:54"/>
    <s v="Balram Kumar"/>
    <d v="2026-08-08T00:00:00"/>
    <s v="31-07-2026 to 06-08-2026"/>
    <s v="Gold 50 Kg"/>
    <s v="105300080020"/>
    <x v="34"/>
    <x v="0"/>
    <s v="Gomukh Patsara"/>
    <x v="20"/>
    <s v="Kalyanpur"/>
    <s v="Kalyanpur"/>
    <n v="3"/>
    <n v="1400"/>
    <n v="4200"/>
    <n v="0"/>
    <n v="4200"/>
    <n v="3"/>
    <n v="4200"/>
    <m/>
    <m/>
    <m/>
  </r>
  <r>
    <d v="2026-08-08T07:23:14"/>
    <s v="Balram Kumar"/>
    <d v="2026-08-08T00:00:00"/>
    <s v="31-07-2026 to 06-08-2026"/>
    <s v="Gold 50 Kg"/>
    <s v="105300080006"/>
    <x v="34"/>
    <x v="0"/>
    <s v="Gomukh Patsara"/>
    <x v="7"/>
    <s v="Kalyanpur"/>
    <s v="Kalyanpur"/>
    <n v="0"/>
    <n v="1400"/>
    <n v="0"/>
    <n v="44"/>
    <n v="44"/>
    <n v="0"/>
    <n v="44"/>
    <m/>
    <m/>
    <m/>
  </r>
  <r>
    <d v="2026-08-08T07:23:33"/>
    <s v="ANSHU KUMAR"/>
    <d v="2026-08-08T00:00:00"/>
    <s v="31-07-2026 to 06-08-2026"/>
    <s v="Gold 50 Kg"/>
    <s v="101200070107"/>
    <x v="35"/>
    <x v="0"/>
    <s v="ARMAULI-2"/>
    <x v="21"/>
    <s v="DalsinghSarai"/>
    <s v="Daya Society"/>
    <n v="1"/>
    <n v="1400"/>
    <n v="1400"/>
    <n v="0"/>
    <n v="1400"/>
    <n v="1"/>
    <n v="1400"/>
    <m/>
    <m/>
    <m/>
  </r>
  <r>
    <d v="2026-08-08T07:23:40"/>
    <s v="Balram Kumar"/>
    <d v="2026-08-08T00:00:00"/>
    <s v="31-07-2026 to 06-08-2026"/>
    <s v="Gold 50 Kg"/>
    <s v="105300960002"/>
    <x v="36"/>
    <x v="0"/>
    <s v="GOMUKH BHARJA"/>
    <x v="2"/>
    <s v="Kalyanpur"/>
    <s v="Kalyanpur"/>
    <n v="9"/>
    <n v="1400"/>
    <n v="12600"/>
    <n v="0"/>
    <n v="12600"/>
    <n v="9"/>
    <n v="12600"/>
    <m/>
    <m/>
    <m/>
  </r>
  <r>
    <d v="2026-08-08T07:23:59"/>
    <s v="ANSHU KUMAR"/>
    <d v="2026-08-08T00:00:00"/>
    <s v="31-07-2026 to 06-08-2026"/>
    <s v="Gold 50 Kg"/>
    <s v="101200070038"/>
    <x v="35"/>
    <x v="0"/>
    <s v="ARMAULI-2"/>
    <x v="8"/>
    <s v="DalsinghSarai"/>
    <s v="Daya Society"/>
    <n v="1"/>
    <n v="1400"/>
    <n v="1400"/>
    <n v="0"/>
    <n v="1400"/>
    <n v="1"/>
    <n v="1400"/>
    <m/>
    <m/>
    <m/>
  </r>
  <r>
    <d v="2026-08-08T07:24:01"/>
    <s v="Balram Kumar"/>
    <d v="2026-08-08T00:00:00"/>
    <s v="31-07-2026 to 06-08-2026"/>
    <s v="Gold 50 Kg"/>
    <s v="105300010006"/>
    <x v="37"/>
    <x v="0"/>
    <s v="Gomukh CHANDAULI"/>
    <x v="7"/>
    <s v="Kalyanpur"/>
    <s v="Kalyanpur"/>
    <n v="2"/>
    <n v="1400"/>
    <n v="2800"/>
    <n v="0"/>
    <n v="2800"/>
    <n v="2"/>
    <n v="2800"/>
    <m/>
    <m/>
    <m/>
  </r>
  <r>
    <d v="2026-08-08T07:24:20"/>
    <s v="Balram Kumar"/>
    <d v="2026-08-08T00:00:00"/>
    <s v="31-07-2026 to 06-08-2026"/>
    <s v="Gold 50 Kg"/>
    <s v="105300030044"/>
    <x v="38"/>
    <x v="0"/>
    <s v="GOMUKH VADEYA"/>
    <x v="22"/>
    <s v="Kalyanpur"/>
    <s v="Kalyanpur"/>
    <n v="1"/>
    <n v="1400"/>
    <n v="1400"/>
    <n v="0"/>
    <n v="1400"/>
    <n v="1"/>
    <n v="1400"/>
    <m/>
    <m/>
    <m/>
  </r>
  <r>
    <d v="2026-08-08T07:24:34"/>
    <s v="ANSHU KUMAR"/>
    <d v="2026-08-08T00:00:00"/>
    <s v="31-07-2026 to 06-08-2026"/>
    <s v="Gold 50 Kg"/>
    <s v="101200070105"/>
    <x v="35"/>
    <x v="0"/>
    <s v="ARMAULI-2"/>
    <x v="23"/>
    <s v="DalsinghSarai"/>
    <s v="Daya Society"/>
    <n v="1"/>
    <n v="1400"/>
    <n v="1400"/>
    <n v="0"/>
    <n v="1400"/>
    <n v="1"/>
    <n v="1400"/>
    <m/>
    <m/>
    <m/>
  </r>
  <r>
    <d v="2026-08-08T07:24:39"/>
    <s v="Balram Kumar"/>
    <d v="2026-08-08T00:00:00"/>
    <s v="31-07-2026 to 06-08-2026"/>
    <s v="Gold 50 Kg"/>
    <s v="105300030051"/>
    <x v="38"/>
    <x v="0"/>
    <s v="GOMUKH VADEYA"/>
    <x v="24"/>
    <s v="Kalyanpur"/>
    <s v="Kalyanpur"/>
    <n v="1"/>
    <n v="1400"/>
    <n v="1400"/>
    <n v="0"/>
    <n v="1400"/>
    <n v="1"/>
    <n v="1400"/>
    <m/>
    <m/>
    <m/>
  </r>
  <r>
    <d v="2026-08-08T07:24:57"/>
    <s v="ANSHU KUMAR"/>
    <d v="2026-08-08T00:00:00"/>
    <s v="31-07-2026 to 06-08-2026"/>
    <s v="Gold 50 Kg"/>
    <s v="101200070149"/>
    <x v="35"/>
    <x v="0"/>
    <s v="ARMAULI-2"/>
    <x v="25"/>
    <s v="DalsinghSarai"/>
    <s v="Daya Society"/>
    <n v="1"/>
    <n v="1400"/>
    <n v="1400"/>
    <n v="0"/>
    <n v="1400"/>
    <n v="1"/>
    <n v="1400"/>
    <m/>
    <m/>
    <m/>
  </r>
  <r>
    <d v="2026-08-08T07:25:01"/>
    <s v="Balram Kumar"/>
    <d v="2026-08-08T00:00:00"/>
    <s v="31-07-2026 to 06-08-2026"/>
    <s v="Gold 50 Kg"/>
    <s v="105300030095"/>
    <x v="38"/>
    <x v="0"/>
    <s v="GOMUKH VADEYA"/>
    <x v="26"/>
    <s v="Kalyanpur"/>
    <s v="Kalyanpur"/>
    <n v="2"/>
    <n v="1400"/>
    <n v="2800"/>
    <n v="0"/>
    <n v="2800"/>
    <n v="2"/>
    <n v="2800"/>
    <m/>
    <m/>
    <m/>
  </r>
  <r>
    <d v="2026-08-08T07:25:18"/>
    <s v="ANSHU KUMAR"/>
    <d v="2026-08-08T00:00:00"/>
    <s v="31-07-2026 to 06-08-2026"/>
    <s v="Gold 50 Kg"/>
    <s v="101200070127"/>
    <x v="35"/>
    <x v="0"/>
    <s v="ARMAULI-2"/>
    <x v="27"/>
    <s v="DalsinghSarai"/>
    <s v="Daya Society"/>
    <n v="1"/>
    <n v="1400"/>
    <n v="1400"/>
    <n v="0"/>
    <n v="1400"/>
    <n v="1"/>
    <n v="1400"/>
    <m/>
    <m/>
    <m/>
  </r>
  <r>
    <d v="2026-08-08T07:25:24"/>
    <s v="Balram Kumar"/>
    <d v="2026-08-08T00:00:00"/>
    <s v="31-07-2026 to 06-08-2026"/>
    <s v="Gold 50 Kg"/>
    <s v="105300030081"/>
    <x v="38"/>
    <x v="0"/>
    <s v="GOMUKH VADEYA"/>
    <x v="28"/>
    <s v="Kalyanpur"/>
    <s v="Kalyanpur"/>
    <n v="1"/>
    <n v="1400"/>
    <n v="1400"/>
    <n v="0"/>
    <n v="1400"/>
    <n v="1"/>
    <n v="1400"/>
    <m/>
    <m/>
    <m/>
  </r>
  <r>
    <d v="2026-08-08T07:25:41"/>
    <s v="ANSHU KUMAR"/>
    <d v="2026-08-08T00:00:00"/>
    <s v="31-07-2026 to 06-08-2026"/>
    <s v="Gold 50 Kg"/>
    <s v="101200070079"/>
    <x v="35"/>
    <x v="0"/>
    <s v="ARMAULI-2"/>
    <x v="4"/>
    <s v="DalsinghSarai"/>
    <s v="Daya Society"/>
    <n v="0"/>
    <n v="1400"/>
    <n v="0"/>
    <n v="347"/>
    <n v="347"/>
    <n v="0"/>
    <n v="347"/>
    <m/>
    <m/>
    <m/>
  </r>
  <r>
    <d v="2026-08-08T07:25:53"/>
    <s v="Balram Kumar"/>
    <d v="2026-08-08T00:00:00"/>
    <s v="31-07-2026 to 06-08-2026"/>
    <s v="Gold 50 Kg"/>
    <s v="105300030022"/>
    <x v="38"/>
    <x v="0"/>
    <s v="GOMUKH VADEYA"/>
    <x v="18"/>
    <s v="Kalyanpur"/>
    <s v="Kalyanpur"/>
    <n v="0"/>
    <n v="1400"/>
    <n v="0"/>
    <n v="11"/>
    <n v="11"/>
    <n v="0"/>
    <n v="11"/>
    <m/>
    <m/>
    <m/>
  </r>
  <r>
    <d v="2026-08-08T07:26:04"/>
    <s v="ANSHU KUMAR"/>
    <d v="2026-08-08T00:00:00"/>
    <s v="31-07-2026 to 06-08-2026"/>
    <s v="Gold 50 Kg"/>
    <s v="101200070014"/>
    <x v="35"/>
    <x v="0"/>
    <s v="ARMAULI-2"/>
    <x v="29"/>
    <s v="DalsinghSarai"/>
    <s v="Daya Society"/>
    <n v="0"/>
    <n v="1400"/>
    <n v="0"/>
    <n v="588"/>
    <n v="588"/>
    <n v="0"/>
    <n v="588"/>
    <m/>
    <m/>
    <m/>
  </r>
  <r>
    <d v="2026-08-08T07:26:17"/>
    <s v="Balram Kumar"/>
    <d v="2026-08-08T00:00:00"/>
    <s v="31-07-2026 to 06-08-2026"/>
    <s v="Gold 50 Kg"/>
    <s v="105300030094"/>
    <x v="38"/>
    <x v="0"/>
    <s v="GOMUKH VADEYA"/>
    <x v="30"/>
    <s v="Kalyanpur"/>
    <s v="Kalyanpur"/>
    <n v="0"/>
    <n v="1400"/>
    <n v="0"/>
    <n v="289"/>
    <n v="289"/>
    <n v="0"/>
    <n v="289"/>
    <m/>
    <m/>
    <m/>
  </r>
  <r>
    <d v="2026-08-08T07:26:35"/>
    <s v="Balram Kumar"/>
    <d v="2026-08-08T00:00:00"/>
    <s v="31-07-2026 to 06-08-2026"/>
    <s v="Gold 50 Kg"/>
    <s v="105300060014"/>
    <x v="39"/>
    <x v="0"/>
    <s v="GOMUKH BARGAMA"/>
    <x v="29"/>
    <s v="Kalyanpur"/>
    <s v="Kalyanpur"/>
    <n v="1"/>
    <n v="1400"/>
    <n v="1400"/>
    <n v="0"/>
    <n v="1400"/>
    <n v="1"/>
    <n v="1400"/>
    <m/>
    <m/>
    <m/>
  </r>
  <r>
    <d v="2026-08-08T07:26:58"/>
    <s v="Balram Kumar"/>
    <d v="2026-08-08T00:00:00"/>
    <s v="31-07-2026 to 06-08-2026"/>
    <s v="Gold 50 Kg"/>
    <s v="105300060006"/>
    <x v="39"/>
    <x v="0"/>
    <s v="GOMUKH BARGAMA"/>
    <x v="7"/>
    <s v="Kalyanpur"/>
    <s v="Kalyanpur"/>
    <n v="1"/>
    <n v="1400"/>
    <n v="1400"/>
    <n v="0"/>
    <n v="1400"/>
    <n v="1"/>
    <n v="1400"/>
    <m/>
    <m/>
    <m/>
  </r>
  <r>
    <d v="2026-08-08T07:27:20"/>
    <s v="Balram Kumar"/>
    <d v="2026-08-08T00:00:00"/>
    <s v="31-07-2026 to 06-08-2026"/>
    <s v="Gold 50 Kg"/>
    <s v="105300060124"/>
    <x v="39"/>
    <x v="0"/>
    <s v="GOMUKH BARGAMA"/>
    <x v="31"/>
    <s v="Kalyanpur"/>
    <s v="Kalyanpur"/>
    <n v="1"/>
    <n v="1400"/>
    <n v="1400"/>
    <n v="0"/>
    <n v="1400"/>
    <n v="1"/>
    <n v="1400"/>
    <m/>
    <m/>
    <m/>
  </r>
  <r>
    <d v="2026-08-08T07:27:42"/>
    <s v="Balram Kumar"/>
    <d v="2026-08-08T00:00:00"/>
    <s v="31-07-2026 to 06-08-2026"/>
    <s v="Gold 50 Kg"/>
    <s v="105300780002"/>
    <x v="40"/>
    <x v="0"/>
    <s v="GOMUKH Kalaunjar"/>
    <x v="2"/>
    <s v="Kalyanpur"/>
    <s v="Kalyanpur"/>
    <n v="1"/>
    <n v="1400"/>
    <n v="1400"/>
    <n v="0"/>
    <n v="1400"/>
    <n v="1"/>
    <n v="1400"/>
    <m/>
    <m/>
    <m/>
  </r>
  <r>
    <d v="2026-08-08T07:28:06"/>
    <s v="Balram Kumar"/>
    <d v="2026-08-08T00:00:00"/>
    <s v="31-07-2026 to 06-08-2026"/>
    <s v="Buff Spl 50 Kg"/>
    <s v="105300780027"/>
    <x v="40"/>
    <x v="0"/>
    <s v="GOMUKH Kalaunjar"/>
    <x v="12"/>
    <s v="Kalyanpur"/>
    <s v="Kalyanpur"/>
    <n v="0"/>
    <n v="1550"/>
    <n v="0"/>
    <n v="543"/>
    <n v="543"/>
    <n v="0"/>
    <n v="543"/>
    <m/>
    <m/>
    <m/>
  </r>
  <r>
    <d v="2026-08-08T07:28:23"/>
    <s v="Balram Kumar"/>
    <d v="2026-08-08T00:00:00"/>
    <s v="31-07-2026 to 06-08-2026"/>
    <s v="Buff Spl 50 Kg"/>
    <s v="105300780002"/>
    <x v="40"/>
    <x v="0"/>
    <s v="GOMUKH Kalaunjar"/>
    <x v="2"/>
    <s v="Kalyanpur"/>
    <s v="Kalyanpur"/>
    <n v="0"/>
    <n v="1550"/>
    <n v="0"/>
    <n v="154"/>
    <n v="154"/>
    <n v="0"/>
    <n v="154"/>
    <m/>
    <m/>
    <m/>
  </r>
  <r>
    <d v="2026-08-08T07:28:44"/>
    <s v="Balram Kumar"/>
    <d v="2026-08-08T00:00:00"/>
    <s v="31-07-2026 to 06-08-2026"/>
    <s v="Gold 50 Kg"/>
    <s v="105300320071"/>
    <x v="41"/>
    <x v="0"/>
    <s v="Gomukh Bharav"/>
    <x v="32"/>
    <s v="Kalyanpur"/>
    <s v="Kalyanpur"/>
    <n v="1"/>
    <n v="1400"/>
    <n v="1400"/>
    <n v="0"/>
    <n v="1400"/>
    <n v="1"/>
    <n v="1400"/>
    <m/>
    <m/>
    <m/>
  </r>
  <r>
    <d v="2026-08-08T07:29:06"/>
    <s v="Balram Kumar"/>
    <d v="2026-08-08T00:00:00"/>
    <s v="31-07-2026 to 06-08-2026"/>
    <s v="Buff Spl 50 Kg"/>
    <s v="105300320037"/>
    <x v="41"/>
    <x v="0"/>
    <s v="Gomukh Bharav"/>
    <x v="33"/>
    <s v="Kalyanpur"/>
    <s v="Kalyanpur"/>
    <n v="1"/>
    <n v="1550"/>
    <n v="1550"/>
    <n v="0"/>
    <n v="1550"/>
    <n v="1"/>
    <n v="1550"/>
    <m/>
    <m/>
    <m/>
  </r>
  <r>
    <d v="2026-08-08T07:29:27"/>
    <s v="Balram Kumar"/>
    <d v="2026-08-08T00:00:00"/>
    <s v="31-07-2026 to 06-08-2026"/>
    <s v="Buff Spl 50 Kg"/>
    <s v="105300320010"/>
    <x v="41"/>
    <x v="0"/>
    <s v="Gomukh Bharav"/>
    <x v="17"/>
    <s v="Kalyanpur"/>
    <s v="Kalyanpur"/>
    <n v="1"/>
    <n v="1550"/>
    <n v="1550"/>
    <n v="0"/>
    <n v="1550"/>
    <n v="1"/>
    <n v="1550"/>
    <m/>
    <m/>
    <m/>
  </r>
  <r>
    <d v="2026-08-08T07:29:48"/>
    <s v="Balram Kumar"/>
    <d v="2026-08-08T00:00:00"/>
    <s v="31-07-2026 to 06-08-2026"/>
    <s v="Buff Spl 50 Kg"/>
    <s v="105300320073"/>
    <x v="41"/>
    <x v="0"/>
    <s v="Gomukh Bharav"/>
    <x v="34"/>
    <s v="Kalyanpur"/>
    <s v="Kalyanpur"/>
    <n v="0"/>
    <n v="1550"/>
    <n v="0"/>
    <n v="464"/>
    <n v="464"/>
    <n v="0"/>
    <n v="464"/>
    <m/>
    <m/>
    <m/>
  </r>
  <r>
    <d v="2026-08-08T07:30:10"/>
    <s v="Balram Kumar"/>
    <d v="2026-08-08T00:00:00"/>
    <s v="31-07-2026 to 06-08-2026"/>
    <s v="Buff Spl 50 Kg"/>
    <s v="105300840065"/>
    <x v="42"/>
    <x v="0"/>
    <s v="GOMUKH JITWARIYA W-6"/>
    <x v="35"/>
    <s v="Kalyanpur"/>
    <s v="Kalyanpur"/>
    <n v="1"/>
    <n v="1550"/>
    <n v="1550"/>
    <n v="0"/>
    <n v="1550"/>
    <n v="1"/>
    <n v="1550"/>
    <m/>
    <m/>
    <m/>
  </r>
  <r>
    <d v="2026-08-08T07:30:31"/>
    <s v="Balram Kumar"/>
    <d v="2026-08-08T00:00:00"/>
    <s v="31-07-2026 to 06-08-2026"/>
    <s v="Gold 50 Kg"/>
    <s v="105300400003"/>
    <x v="43"/>
    <x v="0"/>
    <s v="Gomukh Khanua"/>
    <x v="9"/>
    <s v="Kalyanpur"/>
    <s v="Kalyanpur"/>
    <n v="3"/>
    <n v="1400"/>
    <n v="4200"/>
    <n v="0"/>
    <n v="4200"/>
    <n v="3"/>
    <n v="4200"/>
    <m/>
    <m/>
    <m/>
  </r>
  <r>
    <d v="2026-08-08T07:30:49"/>
    <s v="Balram Kumar"/>
    <d v="2026-08-08T00:00:00"/>
    <s v="31-07-2026 to 06-08-2026"/>
    <s v="Gold 50 Kg"/>
    <s v="105300400029"/>
    <x v="43"/>
    <x v="0"/>
    <s v="Gomukh Khanua"/>
    <x v="36"/>
    <s v="Kalyanpur"/>
    <s v="Kalyanpur"/>
    <n v="1"/>
    <n v="1400"/>
    <n v="1400"/>
    <n v="0"/>
    <n v="1400"/>
    <n v="1"/>
    <n v="1400"/>
    <m/>
    <m/>
    <m/>
  </r>
  <r>
    <d v="2026-08-08T07:31:07"/>
    <s v="Balram Kumar"/>
    <d v="2026-08-08T00:00:00"/>
    <s v="31-07-2026 to 06-08-2026"/>
    <s v="Gold 50 Kg"/>
    <s v="105300400052"/>
    <x v="43"/>
    <x v="0"/>
    <s v="Gomukh Khanua"/>
    <x v="37"/>
    <s v="Kalyanpur"/>
    <s v="Kalyanpur"/>
    <n v="1"/>
    <n v="1400"/>
    <n v="1400"/>
    <n v="0"/>
    <n v="1400"/>
    <n v="1"/>
    <n v="1400"/>
    <m/>
    <m/>
    <m/>
  </r>
  <r>
    <d v="2026-08-08T07:31:27"/>
    <s v="Balram Kumar"/>
    <d v="2026-08-08T00:00:00"/>
    <s v="31-07-2026 to 06-08-2026"/>
    <s v="Gold 50 Kg"/>
    <s v="105300050023"/>
    <x v="44"/>
    <x v="0"/>
    <s v="GOMUKH CHANDPURA"/>
    <x v="10"/>
    <s v="Kalyanpur"/>
    <s v="Kalyanpur"/>
    <n v="1"/>
    <n v="1400"/>
    <n v="1400"/>
    <n v="0"/>
    <n v="1400"/>
    <n v="1"/>
    <n v="1400"/>
    <m/>
    <m/>
    <m/>
  </r>
  <r>
    <d v="2026-08-08T07:31:49"/>
    <s v="Balram Kumar"/>
    <d v="2026-08-08T00:00:00"/>
    <s v="31-07-2026 to 06-08-2026"/>
    <s v="Gold 50 Kg"/>
    <s v="105300050016"/>
    <x v="44"/>
    <x v="0"/>
    <s v="GOMUKH CHANDPURA"/>
    <x v="38"/>
    <s v="Kalyanpur"/>
    <s v="Kalyanpur"/>
    <n v="1"/>
    <n v="1400"/>
    <n v="1400"/>
    <n v="0"/>
    <n v="1400"/>
    <n v="1"/>
    <n v="1400"/>
    <m/>
    <m/>
    <m/>
  </r>
  <r>
    <d v="2026-08-08T07:32:11"/>
    <s v="Balram Kumar"/>
    <d v="2026-08-08T00:00:00"/>
    <s v="31-07-2026 to 06-08-2026"/>
    <s v="Gold 50 Kg"/>
    <s v="105300050014"/>
    <x v="44"/>
    <x v="0"/>
    <s v="GOMUKH CHANDPURA"/>
    <x v="29"/>
    <s v="Kalyanpur"/>
    <s v="Kalyanpur"/>
    <n v="1"/>
    <n v="1400"/>
    <n v="1400"/>
    <n v="0"/>
    <n v="1400"/>
    <n v="1"/>
    <n v="1400"/>
    <m/>
    <m/>
    <m/>
  </r>
  <r>
    <d v="2026-08-08T07:32:34"/>
    <s v="Balram Kumar"/>
    <d v="2026-08-08T00:00:00"/>
    <s v="31-07-2026 to 06-08-2026"/>
    <s v="Gold 50 Kg"/>
    <s v="105300050010"/>
    <x v="44"/>
    <x v="0"/>
    <s v="GOMUKH CHANDPURA"/>
    <x v="17"/>
    <s v="Kalyanpur"/>
    <s v="Kalyanpur"/>
    <n v="1"/>
    <n v="1400"/>
    <n v="1400"/>
    <n v="0"/>
    <n v="1400"/>
    <n v="1"/>
    <n v="1400"/>
    <m/>
    <m/>
    <m/>
  </r>
  <r>
    <d v="2026-08-08T07:32:53"/>
    <s v="Balram Kumar"/>
    <d v="2026-08-08T00:00:00"/>
    <s v="31-07-2026 to 06-08-2026"/>
    <s v="Gold 50 Kg"/>
    <s v="105300050002"/>
    <x v="44"/>
    <x v="0"/>
    <s v="GOMUKH CHANDPURA"/>
    <x v="2"/>
    <s v="Kalyanpur"/>
    <s v="Kalyanpur"/>
    <n v="0"/>
    <n v="1400"/>
    <n v="0"/>
    <n v="360"/>
    <n v="360"/>
    <n v="0"/>
    <n v="360"/>
    <m/>
    <m/>
    <m/>
  </r>
  <r>
    <d v="2026-08-08T07:33:16"/>
    <s v="Balram Kumar"/>
    <d v="2026-08-08T00:00:00"/>
    <s v="31-07-2026 to 06-08-2026"/>
    <s v="Buff Spl 50 Kg"/>
    <s v="105301090004"/>
    <x v="45"/>
    <x v="0"/>
    <s v="GOMUKH SAKARI"/>
    <x v="0"/>
    <s v="Kalyanpur"/>
    <s v="Kalyanpur"/>
    <n v="5"/>
    <n v="1550"/>
    <n v="7750"/>
    <n v="0"/>
    <n v="7750"/>
    <n v="5"/>
    <n v="7750"/>
    <m/>
    <m/>
    <m/>
  </r>
  <r>
    <d v="2026-08-08T07:33:38"/>
    <s v="Balram Kumar"/>
    <d v="2026-08-08T00:00:00"/>
    <s v="31-07-2026 to 06-08-2026"/>
    <s v="Buff Spl 50 Kg"/>
    <s v="105301090010"/>
    <x v="45"/>
    <x v="0"/>
    <s v="GOMUKH SAKARI"/>
    <x v="17"/>
    <s v="Kalyanpur"/>
    <s v="Kalyanpur"/>
    <n v="1"/>
    <n v="1550"/>
    <n v="1550"/>
    <n v="0"/>
    <n v="1550"/>
    <n v="1"/>
    <n v="1550"/>
    <m/>
    <m/>
    <m/>
  </r>
  <r>
    <d v="2026-08-08T07:33:55"/>
    <s v="Balram Kumar"/>
    <d v="2026-08-08T00:00:00"/>
    <s v="31-07-2026 to 06-08-2026"/>
    <s v="Buff Spl 50 Kg"/>
    <s v="105301090015"/>
    <x v="45"/>
    <x v="0"/>
    <s v="GOMUKH SAKARI"/>
    <x v="39"/>
    <s v="Kalyanpur"/>
    <s v="Kalyanpur"/>
    <n v="1"/>
    <n v="1550"/>
    <n v="1550"/>
    <n v="0"/>
    <n v="1550"/>
    <n v="1"/>
    <n v="1550"/>
    <m/>
    <m/>
    <m/>
  </r>
  <r>
    <d v="2026-08-08T07:34:15"/>
    <s v="Balram Kumar"/>
    <d v="2026-08-08T00:00:00"/>
    <s v="31-07-2026 to 06-08-2026"/>
    <s v="Buff Spl 50 Kg"/>
    <s v="105301090024"/>
    <x v="45"/>
    <x v="0"/>
    <s v="GOMUKH SAKARI"/>
    <x v="40"/>
    <s v="Kalyanpur"/>
    <s v="Kalyanpur"/>
    <n v="0"/>
    <n v="1550"/>
    <n v="0"/>
    <n v="54"/>
    <n v="54"/>
    <n v="0"/>
    <n v="54"/>
    <m/>
    <m/>
    <m/>
  </r>
  <r>
    <d v="2026-08-08T07:35:13"/>
    <s v="Balram Kumar"/>
    <d v="2026-08-08T00:00:00"/>
    <s v="31-07-2026 to 06-08-2026"/>
    <s v="Buff Spl 50 Kg"/>
    <s v="105301130002"/>
    <x v="46"/>
    <x v="0"/>
    <s v="Gomukh Ghosravan"/>
    <x v="2"/>
    <s v="Kalyanpur"/>
    <s v="Kalyanpur"/>
    <n v="3"/>
    <n v="1550"/>
    <n v="4650"/>
    <n v="0"/>
    <n v="4650"/>
    <n v="3"/>
    <n v="4650"/>
    <m/>
    <m/>
    <m/>
  </r>
  <r>
    <d v="2026-08-08T07:36:18"/>
    <s v="Balram Kumar"/>
    <d v="2026-08-08T00:00:00"/>
    <s v="31-07-2026 to 06-08-2026"/>
    <s v="Buff Spl 50 Kg"/>
    <s v="105300930044"/>
    <x v="47"/>
    <x v="0"/>
    <s v="GOMUKH BAKHITIYARPUR"/>
    <x v="22"/>
    <s v="Kalyanpur"/>
    <s v="Kalyanpur"/>
    <n v="0"/>
    <n v="1550"/>
    <n v="0"/>
    <n v="743"/>
    <n v="743"/>
    <n v="0"/>
    <n v="743"/>
    <m/>
    <m/>
    <m/>
  </r>
  <r>
    <d v="2026-08-08T07:36:40"/>
    <s v="Balram Kumar"/>
    <d v="2026-08-08T00:00:00"/>
    <s v="31-07-2026 to 06-08-2026"/>
    <s v="Buff Spl 50 Kg"/>
    <s v="105300820055"/>
    <x v="48"/>
    <x v="0"/>
    <s v="GOMUKH PREMNAGAR"/>
    <x v="41"/>
    <s v="Kalyanpur"/>
    <s v="Kalyanpur"/>
    <n v="0"/>
    <n v="1550"/>
    <n v="0"/>
    <n v="446"/>
    <n v="446"/>
    <n v="0"/>
    <n v="446"/>
    <m/>
    <m/>
    <m/>
  </r>
  <r>
    <d v="2026-08-08T07:36:59"/>
    <s v="Balram Kumar"/>
    <d v="2026-08-08T00:00:00"/>
    <s v="31-07-2026 to 06-08-2026"/>
    <s v="Gold 50 Kg"/>
    <s v="105300700048"/>
    <x v="49"/>
    <x v="0"/>
    <s v="GOMUKH PARAN 2"/>
    <x v="42"/>
    <s v="Kalyanpur"/>
    <s v="Kalyanpur"/>
    <n v="0"/>
    <n v="1400"/>
    <n v="0"/>
    <n v="107"/>
    <n v="107"/>
    <n v="0"/>
    <n v="107"/>
    <m/>
    <m/>
    <m/>
  </r>
  <r>
    <d v="2026-08-08T07:37:29"/>
    <s v="Balram Kumar"/>
    <d v="2026-08-08T00:00:00"/>
    <s v="31-07-2026 to 06-08-2026"/>
    <s v="Gold 50 Kg"/>
    <s v="105300020002"/>
    <x v="50"/>
    <x v="0"/>
    <s v="GOMUKH HATHA"/>
    <x v="2"/>
    <s v="Kalyanpur"/>
    <s v="Kalyanpur"/>
    <n v="0"/>
    <n v="1400"/>
    <n v="0"/>
    <n v="980"/>
    <n v="980"/>
    <n v="0"/>
    <n v="980"/>
    <m/>
    <m/>
    <m/>
  </r>
  <r>
    <d v="2026-08-08T07:37:53"/>
    <s v="Balram Kumar"/>
    <d v="2026-08-08T00:00:00"/>
    <s v="31-07-2026 to 06-08-2026"/>
    <s v="Gold 50 Kg"/>
    <s v="105300020013"/>
    <x v="50"/>
    <x v="0"/>
    <s v="GOMUKH HATHA"/>
    <x v="19"/>
    <s v="Kalyanpur"/>
    <s v="Kalyanpur"/>
    <n v="0"/>
    <n v="1400"/>
    <n v="0"/>
    <n v="928"/>
    <n v="928"/>
    <n v="0"/>
    <n v="928"/>
    <m/>
    <m/>
    <m/>
  </r>
  <r>
    <d v="2026-08-08T07:38:20"/>
    <s v="Balram Kumar"/>
    <d v="2026-08-08T00:00:00"/>
    <s v="31-07-2026 to 06-08-2026"/>
    <s v="Liveferol 1LTR"/>
    <s v="105300080006"/>
    <x v="34"/>
    <x v="0"/>
    <s v="Gomukh Patsara"/>
    <x v="7"/>
    <s v="Kalyanpur"/>
    <s v="Kalyanpur"/>
    <n v="1"/>
    <n v="235"/>
    <n v="235"/>
    <n v="0"/>
    <n v="235"/>
    <n v="1"/>
    <n v="235"/>
    <m/>
    <m/>
    <m/>
  </r>
  <r>
    <d v="2026-08-08T07:38:39"/>
    <s v="Balram Kumar"/>
    <d v="2026-08-08T00:00:00"/>
    <s v="31-07-2026 to 06-08-2026"/>
    <s v="Liveferol 1LTR"/>
    <s v="105300920003"/>
    <x v="51"/>
    <x v="0"/>
    <s v="GOMUKH SHIVNAGAR"/>
    <x v="9"/>
    <s v="Kalyanpur"/>
    <s v="Kalyanpur"/>
    <n v="2"/>
    <n v="259"/>
    <n v="518"/>
    <n v="0"/>
    <n v="518"/>
    <n v="2"/>
    <n v="518"/>
    <m/>
    <m/>
    <m/>
  </r>
  <r>
    <d v="2026-08-08T07:39:22"/>
    <s v="Balram Kumar"/>
    <d v="2026-08-08T00:00:00"/>
    <s v="31-07-2026 to 06-08-2026"/>
    <s v="Liveferol 1LTR"/>
    <s v="105300340007"/>
    <x v="52"/>
    <x v="0"/>
    <s v="Gomukh Fulhatta"/>
    <x v="43"/>
    <s v="Kalyanpur"/>
    <s v="Kalyanpur"/>
    <n v="6"/>
    <n v="259"/>
    <n v="1554"/>
    <n v="0"/>
    <n v="1554"/>
    <n v="6"/>
    <n v="1554"/>
    <m/>
    <m/>
    <m/>
  </r>
  <r>
    <d v="2026-08-08T07:39:41"/>
    <s v="Balram Kumar"/>
    <d v="2026-08-08T00:00:00"/>
    <s v="31-07-2026 to 06-08-2026"/>
    <s v="Liveferol 1LTR"/>
    <s v="105300340044"/>
    <x v="52"/>
    <x v="0"/>
    <s v="Gomukh Fulhatta"/>
    <x v="22"/>
    <s v="Kalyanpur"/>
    <s v="Kalyanpur"/>
    <n v="1"/>
    <n v="259"/>
    <n v="259"/>
    <n v="0"/>
    <n v="259"/>
    <n v="1"/>
    <n v="259"/>
    <m/>
    <m/>
    <m/>
  </r>
  <r>
    <d v="2026-08-08T07:40:00"/>
    <s v="Balram Kumar"/>
    <d v="2026-08-08T00:00:00"/>
    <s v="31-07-2026 to 06-08-2026"/>
    <s v="Liveferol 1LTR"/>
    <s v="105300340006"/>
    <x v="52"/>
    <x v="0"/>
    <s v="Gomukh Fulhatta"/>
    <x v="7"/>
    <s v="Kalyanpur"/>
    <s v="Kalyanpur"/>
    <n v="1"/>
    <n v="259"/>
    <n v="259"/>
    <n v="0"/>
    <n v="259"/>
    <n v="1"/>
    <n v="259"/>
    <m/>
    <m/>
    <m/>
  </r>
  <r>
    <d v="2026-08-08T07:40:23"/>
    <s v="Balram Kumar"/>
    <d v="2026-08-08T00:00:00"/>
    <s v="31-07-2026 to 06-08-2026"/>
    <s v="Liveferol 1LTR"/>
    <s v="105300340049"/>
    <x v="52"/>
    <x v="0"/>
    <s v="Gomukh Fulhatta"/>
    <x v="44"/>
    <s v="Kalyanpur"/>
    <s v="Kalyanpur"/>
    <n v="6"/>
    <n v="259"/>
    <n v="1554"/>
    <n v="0"/>
    <n v="1554"/>
    <n v="6"/>
    <n v="1554"/>
    <m/>
    <m/>
    <m/>
  </r>
  <r>
    <d v="2026-08-08T07:40:41"/>
    <s v="Balram Kumar"/>
    <d v="2026-08-08T00:00:00"/>
    <s v="31-07-2026 to 06-08-2026"/>
    <s v="Liveferol 1LTR"/>
    <s v="105300340030"/>
    <x v="52"/>
    <x v="0"/>
    <s v="Gomukh Fulhatta"/>
    <x v="5"/>
    <s v="Kalyanpur"/>
    <s v="Kalyanpur"/>
    <n v="1"/>
    <n v="259"/>
    <n v="259"/>
    <n v="0"/>
    <n v="259"/>
    <n v="1"/>
    <n v="259"/>
    <m/>
    <m/>
    <m/>
  </r>
  <r>
    <d v="2026-08-08T07:40:57"/>
    <s v="Balram Kumar"/>
    <d v="2026-08-08T00:00:00"/>
    <s v="31-07-2026 to 06-08-2026"/>
    <s v="Liveferol 1LTR"/>
    <s v="105300340056"/>
    <x v="52"/>
    <x v="0"/>
    <s v="Gomukh Fulhatta"/>
    <x v="45"/>
    <s v="Kalyanpur"/>
    <s v="Kalyanpur"/>
    <n v="1"/>
    <n v="259"/>
    <n v="259"/>
    <n v="0"/>
    <n v="259"/>
    <n v="1"/>
    <n v="259"/>
    <m/>
    <m/>
    <m/>
  </r>
  <r>
    <d v="2026-08-08T07:41:20"/>
    <s v="Balram Kumar"/>
    <d v="2026-08-08T00:00:00"/>
    <s v="31-07-2026 to 06-08-2026"/>
    <s v="Liveferol 1LTR"/>
    <s v="105300340063"/>
    <x v="52"/>
    <x v="0"/>
    <s v="Gomukh Fulhatta"/>
    <x v="46"/>
    <s v="Kalyanpur"/>
    <s v="Kalyanpur"/>
    <n v="3"/>
    <n v="259"/>
    <n v="777"/>
    <n v="0"/>
    <n v="777"/>
    <n v="3"/>
    <n v="777"/>
    <m/>
    <m/>
    <m/>
  </r>
  <r>
    <d v="2026-08-08T07:41:44"/>
    <s v="Balram Kumar"/>
    <d v="2026-08-08T00:00:00"/>
    <s v="31-07-2026 to 06-08-2026"/>
    <s v="Liveferol 1LTR"/>
    <s v="105300340046"/>
    <x v="52"/>
    <x v="0"/>
    <s v="Gomukh Fulhatta"/>
    <x v="47"/>
    <s v="Kalyanpur"/>
    <s v="Kalyanpur"/>
    <n v="3"/>
    <n v="259"/>
    <n v="777"/>
    <n v="0"/>
    <n v="777"/>
    <n v="3"/>
    <n v="777"/>
    <m/>
    <m/>
    <m/>
  </r>
  <r>
    <d v="2026-08-08T07:42:19"/>
    <s v="Balram Kumar"/>
    <d v="2026-08-08T00:00:00"/>
    <s v="31-07-2026 to 06-08-2026"/>
    <s v="Liveferol 1LTR"/>
    <s v="105300340084"/>
    <x v="52"/>
    <x v="0"/>
    <s v="Gomukh Fulhatta"/>
    <x v="48"/>
    <s v="Kalyanpur"/>
    <s v="Kalyanpur"/>
    <n v="1"/>
    <n v="259"/>
    <n v="259"/>
    <n v="0"/>
    <n v="259"/>
    <n v="1"/>
    <n v="259"/>
    <m/>
    <m/>
    <m/>
  </r>
  <r>
    <d v="2026-08-08T07:42:41"/>
    <s v="Balram Kumar"/>
    <d v="2026-08-08T00:00:00"/>
    <s v="31-07-2026 to 06-08-2026"/>
    <s v="Liveferol 1LTR"/>
    <s v="105300340096"/>
    <x v="52"/>
    <x v="0"/>
    <s v="Gomukh Fulhatta"/>
    <x v="49"/>
    <s v="Kalyanpur"/>
    <s v="Kalyanpur"/>
    <n v="1"/>
    <n v="259"/>
    <n v="259"/>
    <n v="0"/>
    <n v="259"/>
    <n v="1"/>
    <n v="259"/>
    <m/>
    <m/>
    <m/>
  </r>
  <r>
    <d v="2026-08-08T07:43:01"/>
    <s v="Balram Kumar"/>
    <d v="2026-08-08T00:00:00"/>
    <s v="31-07-2026 to 06-08-2026"/>
    <s v="Liveferol 1LTR"/>
    <s v="105300340080"/>
    <x v="52"/>
    <x v="0"/>
    <s v="Gomukh Fulhatta"/>
    <x v="50"/>
    <s v="Kalyanpur"/>
    <s v="Kalyanpur"/>
    <n v="1"/>
    <n v="259"/>
    <n v="259"/>
    <n v="0"/>
    <n v="259"/>
    <n v="1"/>
    <n v="259"/>
    <m/>
    <m/>
    <m/>
  </r>
  <r>
    <d v="2026-08-08T07:43:20"/>
    <s v="Balram Kumar"/>
    <d v="2026-08-08T00:00:00"/>
    <s v="31-07-2026 to 06-08-2026"/>
    <s v="Liveferol 1LTR"/>
    <s v="105300340045"/>
    <x v="52"/>
    <x v="0"/>
    <s v="Gomukh Fulhatta"/>
    <x v="51"/>
    <s v="Kalyanpur"/>
    <s v="Kalyanpur"/>
    <n v="1"/>
    <n v="259"/>
    <n v="259"/>
    <n v="0"/>
    <n v="259"/>
    <n v="1"/>
    <n v="259"/>
    <m/>
    <m/>
    <m/>
  </r>
  <r>
    <d v="2026-08-08T07:43:49"/>
    <s v="Balram Kumar"/>
    <d v="2026-08-08T00:00:00"/>
    <s v="31-07-2026 to 06-08-2026"/>
    <s v="Liveferol 1LTR"/>
    <s v="105300340019"/>
    <x v="52"/>
    <x v="0"/>
    <s v="Gomukh Fulhatta"/>
    <x v="52"/>
    <s v="Kalyanpur"/>
    <s v="Kalyanpur"/>
    <n v="1"/>
    <n v="259"/>
    <n v="259"/>
    <n v="0"/>
    <n v="259"/>
    <n v="1"/>
    <n v="259"/>
    <m/>
    <m/>
    <m/>
  </r>
  <r>
    <d v="2026-08-08T07:44:11"/>
    <s v="Balram Kumar"/>
    <d v="2026-08-08T00:00:00"/>
    <s v="31-07-2026 to 06-08-2026"/>
    <s v="Liveferol 1LTR"/>
    <s v="105300340004"/>
    <x v="52"/>
    <x v="0"/>
    <s v="Gomukh Fulhatta"/>
    <x v="0"/>
    <s v="Kalyanpur"/>
    <s v="Kalyanpur"/>
    <n v="1"/>
    <n v="259"/>
    <n v="259"/>
    <n v="0"/>
    <n v="259"/>
    <n v="1"/>
    <n v="259"/>
    <m/>
    <m/>
    <m/>
  </r>
  <r>
    <d v="2026-08-08T07:44:30"/>
    <s v="Balram Kumar"/>
    <d v="2026-08-08T00:00:00"/>
    <s v="31-07-2026 to 06-08-2026"/>
    <s v="Liveferol 500 ml"/>
    <s v="105300340044"/>
    <x v="52"/>
    <x v="0"/>
    <s v="Gomukh Fulhatta"/>
    <x v="22"/>
    <s v="Kalyanpur"/>
    <s v="Kalyanpur"/>
    <n v="1"/>
    <n v="165"/>
    <n v="165"/>
    <n v="0"/>
    <n v="165"/>
    <n v="1"/>
    <n v="165"/>
    <m/>
    <m/>
    <m/>
  </r>
  <r>
    <d v="2026-08-08T07:44:46"/>
    <s v="Balram Kumar"/>
    <d v="2026-08-08T00:00:00"/>
    <s v="31-07-2026 to 06-08-2026"/>
    <s v="Liveferol 500 ml"/>
    <s v="105300340019"/>
    <x v="52"/>
    <x v="0"/>
    <s v="Gomukh Fulhatta"/>
    <x v="52"/>
    <s v="Kalyanpur"/>
    <s v="Kalyanpur"/>
    <n v="1"/>
    <n v="165"/>
    <n v="165"/>
    <n v="0"/>
    <n v="165"/>
    <n v="1"/>
    <n v="165"/>
    <m/>
    <m/>
    <m/>
  </r>
  <r>
    <d v="2026-08-08T07:45:16"/>
    <s v="Balram Kumar"/>
    <d v="2026-08-08T00:00:00"/>
    <s v="31-07-2026 to 06-08-2026"/>
    <s v="Liveferol 500 ml"/>
    <s v="105300340094"/>
    <x v="52"/>
    <x v="0"/>
    <s v="Gomukh Fulhatta"/>
    <x v="30"/>
    <s v="Kalyanpur"/>
    <s v="Kalyanpur"/>
    <n v="1"/>
    <n v="165"/>
    <n v="165"/>
    <n v="0"/>
    <n v="165"/>
    <n v="1"/>
    <n v="165"/>
    <m/>
    <m/>
    <m/>
  </r>
  <r>
    <d v="2026-08-08T07:45:40"/>
    <s v="Balram Kumar"/>
    <d v="2026-08-08T00:00:00"/>
    <s v="31-07-2026 to 06-08-2026"/>
    <s v="Liveferol 500 ml"/>
    <s v="105300340036"/>
    <x v="52"/>
    <x v="0"/>
    <s v="Gomukh Fulhatta"/>
    <x v="16"/>
    <s v="Kalyanpur"/>
    <s v="Kalyanpur"/>
    <n v="1"/>
    <n v="165"/>
    <n v="165"/>
    <n v="0"/>
    <n v="165"/>
    <n v="1"/>
    <n v="165"/>
    <m/>
    <m/>
    <m/>
  </r>
  <r>
    <d v="2026-08-08T07:46:04"/>
    <s v="Balram Kumar"/>
    <d v="2026-08-08T00:00:00"/>
    <s v="31-07-2026 to 06-08-2026"/>
    <s v="Liveferol 500 ml"/>
    <s v="105300340030"/>
    <x v="52"/>
    <x v="0"/>
    <s v="Gomukh Fulhatta"/>
    <x v="5"/>
    <s v="Kalyanpur"/>
    <s v="Kalyanpur"/>
    <n v="1"/>
    <n v="165"/>
    <n v="165"/>
    <n v="0"/>
    <n v="165"/>
    <n v="1"/>
    <n v="165"/>
    <m/>
    <m/>
    <m/>
  </r>
  <r>
    <d v="2026-08-08T07:46:22"/>
    <s v="Balram Kumar"/>
    <d v="2026-08-08T00:00:00"/>
    <s v="31-07-2026 to 06-08-2026"/>
    <s v="Liveferol 500 ml"/>
    <s v="105300340100"/>
    <x v="52"/>
    <x v="0"/>
    <s v="Gomukh Fulhatta"/>
    <x v="53"/>
    <s v="Kalyanpur"/>
    <s v="Kalyanpur"/>
    <n v="1"/>
    <n v="165"/>
    <n v="165"/>
    <n v="0"/>
    <n v="165"/>
    <n v="1"/>
    <n v="165"/>
    <m/>
    <m/>
    <m/>
  </r>
  <r>
    <d v="2026-08-08T07:47:08"/>
    <s v="Balram Kumar"/>
    <d v="2026-08-08T00:00:00"/>
    <s v="31-07-2026 to 06-08-2026"/>
    <s v="Methochelated Provical Forte 1L"/>
    <s v="105300320017"/>
    <x v="41"/>
    <x v="0"/>
    <s v="Gomukh Bharav"/>
    <x v="54"/>
    <s v="Kalyanpur"/>
    <s v="Kalyanpur"/>
    <n v="1"/>
    <n v="264"/>
    <n v="264"/>
    <n v="0"/>
    <n v="264"/>
    <n v="1"/>
    <n v="264"/>
    <m/>
    <m/>
    <m/>
  </r>
  <r>
    <d v="2026-08-08T07:47:36"/>
    <s v="Balram Kumar"/>
    <d v="2026-08-08T00:00:00"/>
    <s v="31-07-2026 to 06-08-2026"/>
    <s v="Methochelated Provical Forte 1L"/>
    <s v="105300320074"/>
    <x v="41"/>
    <x v="0"/>
    <s v="Gomukh Bharav"/>
    <x v="55"/>
    <s v="Kalyanpur"/>
    <s v="Kalyanpur"/>
    <n v="1"/>
    <n v="264"/>
    <n v="264"/>
    <n v="0"/>
    <n v="264"/>
    <n v="1"/>
    <n v="264"/>
    <m/>
    <m/>
    <m/>
  </r>
  <r>
    <d v="2026-08-08T07:48:00"/>
    <s v="Balram Kumar"/>
    <d v="2026-08-08T00:00:00"/>
    <s v="31-07-2026 to 06-08-2026"/>
    <s v="Silage"/>
    <s v="105300840065"/>
    <x v="42"/>
    <x v="0"/>
    <s v="GOMUKH JITWARIYA W-6"/>
    <x v="35"/>
    <s v="Kalyanpur"/>
    <s v="Kalyanpur"/>
    <n v="0"/>
    <n v="7"/>
    <n v="0"/>
    <n v="0.4"/>
    <n v="0.4"/>
    <n v="0"/>
    <n v="0.4"/>
    <m/>
    <m/>
    <m/>
  </r>
  <r>
    <d v="2026-08-08T08:31:52"/>
    <s v="Deepak Kumar"/>
    <d v="2026-08-08T00:00:00"/>
    <s v="31-07-2026 to 06-08-2026"/>
    <s v="Buff Spl 50 Kg"/>
    <s v="101300730002"/>
    <x v="53"/>
    <x v="0"/>
    <s v="Dagarua"/>
    <x v="2"/>
    <s v="Musrigharari"/>
    <s v="Daya Society"/>
    <n v="4"/>
    <n v="1550"/>
    <n v="6200"/>
    <n v="0"/>
    <n v="6200"/>
    <n v="4"/>
    <n v="6200"/>
    <m/>
    <m/>
    <m/>
  </r>
  <r>
    <d v="2026-08-08T08:34:07"/>
    <s v="Deepak Kumar"/>
    <d v="2026-08-08T00:00:00"/>
    <s v="31-07-2026 to 06-08-2026"/>
    <s v="Bestmin Gold 1.2 Kg"/>
    <s v="101300470009"/>
    <x v="54"/>
    <x v="0"/>
    <s v="Sekhpura"/>
    <x v="6"/>
    <s v="Musrigharari"/>
    <s v="Daya Society"/>
    <n v="1"/>
    <n v="286"/>
    <n v="286"/>
    <n v="0"/>
    <n v="286"/>
    <n v="1"/>
    <n v="286"/>
    <m/>
    <m/>
    <m/>
  </r>
  <r>
    <d v="2026-08-08T08:36:17"/>
    <s v="Deepak Kumar"/>
    <d v="2026-08-08T00:00:00"/>
    <s v="31-07-2026 to 06-08-2026"/>
    <s v="Buff Spl 50 Kg"/>
    <s v="101300060000"/>
    <x v="55"/>
    <x v="0"/>
    <s v="GOMUKH ANDAHA"/>
    <x v="56"/>
    <s v="Musrigharari"/>
    <s v="Daya Society"/>
    <n v="0"/>
    <n v="1550"/>
    <n v="0"/>
    <n v="728"/>
    <n v="728"/>
    <n v="0"/>
    <n v="728"/>
    <m/>
    <m/>
    <m/>
  </r>
  <r>
    <d v="2026-08-08T09:11:10"/>
    <s v="Mukesh kumar"/>
    <d v="2026-08-08T00:00:00"/>
    <s v="31-07-2026 to 06-08-2026"/>
    <s v="Gold 50 Kg"/>
    <s v="101101230007"/>
    <x v="56"/>
    <x v="0"/>
    <s v="GOMUKH SHADIPUR"/>
    <x v="43"/>
    <s v="Matihani"/>
    <s v="Daya Society"/>
    <n v="2"/>
    <n v="1400"/>
    <n v="2800"/>
    <n v="0"/>
    <n v="2800"/>
    <n v="2"/>
    <n v="2800"/>
    <m/>
    <m/>
    <m/>
  </r>
  <r>
    <d v="2026-08-08T09:11:59"/>
    <s v="Mukesh kumar"/>
    <d v="2026-08-08T00:00:00"/>
    <s v="31-07-2026 to 06-08-2026"/>
    <s v="Gold 50 Kg"/>
    <s v="101101230011"/>
    <x v="56"/>
    <x v="0"/>
    <s v="GOMUKH SHADIPUR"/>
    <x v="57"/>
    <s v="Matihani"/>
    <s v="Daya Society"/>
    <n v="1"/>
    <n v="1400"/>
    <n v="1400"/>
    <n v="0"/>
    <n v="1400"/>
    <n v="1"/>
    <n v="1400"/>
    <m/>
    <m/>
    <m/>
  </r>
  <r>
    <d v="2026-08-08T09:12:31"/>
    <s v="Mukesh kumar"/>
    <d v="2026-08-08T00:00:00"/>
    <s v="31-07-2026 to 06-08-2026"/>
    <s v="Gold 50 Kg"/>
    <s v="101101230006"/>
    <x v="56"/>
    <x v="0"/>
    <s v="GOMUKH SHADIPUR"/>
    <x v="7"/>
    <s v="Matihani"/>
    <s v="Daya Society"/>
    <n v="1"/>
    <n v="1400"/>
    <n v="1400"/>
    <n v="0"/>
    <n v="1400"/>
    <n v="1"/>
    <n v="1400"/>
    <m/>
    <m/>
    <m/>
  </r>
  <r>
    <m/>
    <s v="Sushil sir"/>
    <m/>
    <s v="31-07-2026 to 06-08-2026"/>
    <s v="ONLY DUE ADJUSTMENT"/>
    <s v="101401730003"/>
    <x v="57"/>
    <x v="0"/>
    <s v="Gayghat"/>
    <x v="9"/>
    <s v="Dumraon"/>
    <s v="Daya Society"/>
    <n v="0"/>
    <n v="0"/>
    <n v="0"/>
    <n v="0"/>
    <n v="0"/>
    <n v="0"/>
    <n v="6650"/>
    <m/>
    <m/>
    <m/>
  </r>
  <r>
    <m/>
    <s v="Sushil sir"/>
    <m/>
    <s v="31-07-2026 to 06-08-2026"/>
    <s v="ONLY DUE ADJUSTMENT"/>
    <s v="101401800002"/>
    <x v="58"/>
    <x v="0"/>
    <s v="Gangauli dubha"/>
    <x v="2"/>
    <s v="Dumraon"/>
    <s v="Daya Society"/>
    <n v="0"/>
    <n v="0"/>
    <n v="0"/>
    <n v="0"/>
    <n v="0"/>
    <n v="0"/>
    <n v="290.38"/>
    <m/>
    <m/>
    <m/>
  </r>
  <r>
    <m/>
    <s v="Sushil sir"/>
    <m/>
    <s v="31-07-2026 to 06-08-2026"/>
    <s v="ONLY DUE ADJUSTMENT"/>
    <s v="101401800003"/>
    <x v="58"/>
    <x v="0"/>
    <s v="Gangauli dubha"/>
    <x v="9"/>
    <s v="Dumraon"/>
    <s v="Daya Society"/>
    <n v="0"/>
    <n v="0"/>
    <n v="0"/>
    <n v="0"/>
    <n v="0"/>
    <n v="0"/>
    <n v="854.23"/>
    <m/>
    <m/>
    <m/>
  </r>
  <r>
    <m/>
    <s v="Sushil sir"/>
    <m/>
    <s v="31-07-2026 to 06-08-2026"/>
    <s v="ONLY DUE ADJUSTMENT"/>
    <s v="101401800007"/>
    <x v="58"/>
    <x v="0"/>
    <s v="Gangauli dubha"/>
    <x v="43"/>
    <s v="Dumraon"/>
    <s v="Daya Society"/>
    <n v="0"/>
    <n v="0"/>
    <n v="0"/>
    <n v="0"/>
    <n v="0"/>
    <n v="0"/>
    <n v="1097.5700000000002"/>
    <m/>
    <m/>
    <m/>
  </r>
  <r>
    <m/>
    <s v="Sushil sir"/>
    <m/>
    <s v="31-07-2026 to 06-08-2026"/>
    <s v="ONLY DUE ADJUSTMENT"/>
    <s v="101401370002"/>
    <x v="59"/>
    <x v="0"/>
    <s v="Rakshanagar"/>
    <x v="2"/>
    <s v="Dumraon"/>
    <s v="Daya Society"/>
    <n v="0"/>
    <n v="0"/>
    <n v="0"/>
    <n v="0"/>
    <n v="0"/>
    <n v="0"/>
    <n v="2141.54"/>
    <m/>
    <m/>
    <m/>
  </r>
  <r>
    <m/>
    <s v="Sushil sir"/>
    <m/>
    <s v="31-07-2026 to 06-08-2026"/>
    <s v="ONLY DUE ADJUSTMENT"/>
    <s v="101401370004"/>
    <x v="59"/>
    <x v="0"/>
    <s v="Rakshanagar"/>
    <x v="0"/>
    <s v="Dumraon"/>
    <s v="Daya Society"/>
    <n v="0"/>
    <n v="0"/>
    <n v="0"/>
    <n v="0"/>
    <n v="0"/>
    <n v="0"/>
    <n v="3905.17"/>
    <m/>
    <m/>
    <m/>
  </r>
  <r>
    <m/>
    <s v="Sushil sir"/>
    <m/>
    <s v="31-07-2026 to 06-08-2026"/>
    <s v="ONLY DUE ADJUSTMENT"/>
    <s v="101400110002"/>
    <x v="60"/>
    <x v="0"/>
    <s v="Dulahpur"/>
    <x v="2"/>
    <s v="Dumraon"/>
    <s v="Daya Society"/>
    <n v="0"/>
    <n v="0"/>
    <n v="0"/>
    <n v="0"/>
    <n v="0"/>
    <n v="0"/>
    <n v="3990"/>
    <m/>
    <m/>
    <m/>
  </r>
  <r>
    <m/>
    <s v="Sushil sir"/>
    <m/>
    <s v="31-07-2026 to 06-08-2026"/>
    <s v="ONLY DUE ADJUSTMENT"/>
    <s v="101400010088"/>
    <x v="61"/>
    <x v="0"/>
    <s v="Purvi dumari"/>
    <x v="58"/>
    <s v="Dumraon"/>
    <s v="Daya Society"/>
    <n v="0"/>
    <n v="0"/>
    <n v="0"/>
    <n v="0"/>
    <n v="0"/>
    <n v="0"/>
    <n v="6650"/>
    <m/>
    <m/>
    <m/>
  </r>
  <r>
    <m/>
    <s v="Sushil sir"/>
    <m/>
    <s v="31-07-2026 to 06-08-2026"/>
    <s v="ONLY DUE ADJUSTMENT"/>
    <s v="106000040003"/>
    <x v="62"/>
    <x v="0"/>
    <s v="Pawat"/>
    <x v="9"/>
    <s v="Dumraon"/>
    <s v="Daya Society"/>
    <n v="0"/>
    <n v="0"/>
    <n v="0"/>
    <n v="0"/>
    <n v="0"/>
    <n v="0"/>
    <n v="1330"/>
    <m/>
    <m/>
    <m/>
  </r>
  <r>
    <m/>
    <s v="Sushil sir"/>
    <m/>
    <s v="31-07-2026 to 06-08-2026"/>
    <s v="ONLY DUE ADJUSTMENT"/>
    <s v="106000050002"/>
    <x v="63"/>
    <x v="0"/>
    <s v="Barja"/>
    <x v="2"/>
    <s v="Dumraon"/>
    <s v="Daya Society"/>
    <n v="0"/>
    <n v="0"/>
    <n v="0"/>
    <n v="0"/>
    <n v="0"/>
    <n v="0"/>
    <n v="1330"/>
    <m/>
    <m/>
    <m/>
  </r>
  <r>
    <d v="2026-08-08T10:03:12"/>
    <s v="Prince Raj"/>
    <d v="2026-08-08T00:00:00"/>
    <s v="31-07-2026 to 06-08-2026"/>
    <s v="ONLY DUE ADJUSTMENT"/>
    <s v="106600040003"/>
    <x v="64"/>
    <x v="0"/>
    <s v="GOMUKH GOBARSITTHA"/>
    <x v="9"/>
    <s v="Gayghat"/>
    <s v="Daya Society"/>
    <n v="0"/>
    <n v="0"/>
    <n v="0"/>
    <n v="1700"/>
    <n v="1700"/>
    <n v="0"/>
    <n v="1700"/>
    <m/>
    <m/>
    <m/>
  </r>
  <r>
    <d v="2026-08-08T10:05:17"/>
    <s v="Prince Raj"/>
    <d v="2026-08-08T00:00:00"/>
    <s v="31-07-2026 to 06-08-2026"/>
    <s v="Buff Spl 50 Kg"/>
    <s v="106600010002"/>
    <x v="65"/>
    <x v="0"/>
    <s v="GOMUKH CHATAUNA W-2"/>
    <x v="2"/>
    <s v="Gayghat"/>
    <s v="Daya Society"/>
    <n v="1"/>
    <n v="1550"/>
    <n v="1550"/>
    <n v="0"/>
    <n v="1550"/>
    <n v="1"/>
    <n v="1550"/>
    <m/>
    <m/>
    <m/>
  </r>
  <r>
    <d v="2026-08-08T10:07:06"/>
    <s v="Amit Narayan"/>
    <d v="2026-08-08T00:00:00"/>
    <s v="31-07-2026 to 06-08-2026"/>
    <s v="ONLY DUE ADJUSTMENT"/>
    <s v="105400500002"/>
    <x v="66"/>
    <x v="0"/>
    <s v="kHUTUNA"/>
    <x v="2"/>
    <s v="Alauli"/>
    <s v="Daya Society"/>
    <n v="0"/>
    <n v="0"/>
    <n v="0"/>
    <n v="3064"/>
    <n v="3064"/>
    <n v="0"/>
    <n v="3064"/>
    <m/>
    <m/>
    <m/>
  </r>
  <r>
    <d v="2026-08-08T10:07:18"/>
    <s v="Prince Raj"/>
    <d v="2026-08-08T00:00:00"/>
    <s v="31-07-2026 to 06-08-2026"/>
    <s v="Buff Spl 50 Kg"/>
    <s v="106600010004"/>
    <x v="65"/>
    <x v="0"/>
    <s v="GOMUKH CHATAUNA W-2"/>
    <x v="0"/>
    <s v="Gayghat"/>
    <s v="Daya Society"/>
    <n v="1"/>
    <n v="1550"/>
    <n v="1550"/>
    <n v="0"/>
    <n v="1550"/>
    <n v="1"/>
    <n v="1550"/>
    <m/>
    <m/>
    <m/>
  </r>
  <r>
    <d v="2026-08-08T10:07:28"/>
    <s v="Amit Narayan"/>
    <d v="2026-08-08T00:00:00"/>
    <s v="31-07-2026 to 06-08-2026"/>
    <s v="ONLY DUE ADJUSTMENT"/>
    <s v="105400080010"/>
    <x v="67"/>
    <x v="0"/>
    <s v="GOMUKH PARRI"/>
    <x v="17"/>
    <s v="Alauli"/>
    <s v="Daya Society"/>
    <n v="0"/>
    <n v="0"/>
    <n v="0"/>
    <n v="1289"/>
    <n v="1289"/>
    <n v="0"/>
    <n v="1289"/>
    <m/>
    <m/>
    <m/>
  </r>
  <r>
    <d v="2026-08-08T10:07:43"/>
    <s v="Prince Raj"/>
    <d v="2026-08-08T00:00:00"/>
    <s v="31-07-2026 to 06-08-2026"/>
    <s v="Buff Spl 50 Kg"/>
    <s v="106600010017"/>
    <x v="65"/>
    <x v="0"/>
    <s v="GOMUKH CHATAUNA W-2"/>
    <x v="54"/>
    <s v="Gayghat"/>
    <s v="Daya Society"/>
    <n v="1"/>
    <n v="1550"/>
    <n v="1550"/>
    <n v="0"/>
    <n v="1550"/>
    <n v="1"/>
    <n v="1550"/>
    <m/>
    <m/>
    <m/>
  </r>
  <r>
    <d v="2026-08-08T10:07:47"/>
    <s v="Amit Narayan"/>
    <d v="2026-08-08T00:00:00"/>
    <s v="31-07-2026 to 06-08-2026"/>
    <s v="ONLY DUE ADJUSTMENT"/>
    <s v="101101440002"/>
    <x v="68"/>
    <x v="0"/>
    <s v="GOMUKH BEHORBA"/>
    <x v="2"/>
    <s v="Alauli"/>
    <s v="Daya Society"/>
    <n v="0"/>
    <n v="0"/>
    <n v="0"/>
    <n v="3149"/>
    <n v="3149"/>
    <n v="0"/>
    <n v="3149"/>
    <m/>
    <m/>
    <m/>
  </r>
  <r>
    <d v="2026-08-08T10:08:10"/>
    <s v="Prince Raj"/>
    <d v="2026-08-08T00:00:00"/>
    <s v="31-07-2026 to 06-08-2026"/>
    <s v="Buff Spl 50 Kg"/>
    <s v="106600010012"/>
    <x v="65"/>
    <x v="0"/>
    <s v="GOMUKH CHATAUNA W-2"/>
    <x v="59"/>
    <s v="Gayghat"/>
    <s v="Daya Society"/>
    <n v="1"/>
    <n v="1550"/>
    <n v="1550"/>
    <n v="0"/>
    <n v="1550"/>
    <n v="1"/>
    <n v="1550"/>
    <m/>
    <m/>
    <m/>
  </r>
  <r>
    <d v="2026-08-08T10:08:11"/>
    <s v="Amit Narayan"/>
    <d v="2026-08-08T00:00:00"/>
    <s v="31-07-2026 to 06-08-2026"/>
    <s v="ONLY DUE ADJUSTMENT"/>
    <s v="105400430002"/>
    <x v="69"/>
    <x v="0"/>
    <s v="USHRI"/>
    <x v="2"/>
    <s v="Alauli"/>
    <s v="Daya Society"/>
    <n v="0"/>
    <n v="0"/>
    <n v="0"/>
    <n v="9573"/>
    <n v="9573"/>
    <n v="0"/>
    <n v="9573"/>
    <m/>
    <m/>
    <m/>
  </r>
  <r>
    <d v="2026-08-08T10:28:08"/>
    <s v="Prince Raj"/>
    <d v="2026-08-08T00:00:00"/>
    <s v="31-07-2026 to 06-08-2026"/>
    <s v="Liveferol 1LTR"/>
    <s v="106600020002"/>
    <x v="70"/>
    <x v="0"/>
    <s v="GOMUKH TEERA JATMALPUR"/>
    <x v="2"/>
    <s v="Gayghat"/>
    <s v="Daya Society"/>
    <n v="10"/>
    <n v="259"/>
    <n v="2590"/>
    <n v="0"/>
    <n v="2590"/>
    <n v="10"/>
    <n v="2590"/>
    <m/>
    <m/>
    <m/>
  </r>
  <r>
    <d v="2026-08-08T10:31:42"/>
    <s v="Prince Raj"/>
    <d v="2026-08-08T00:00:00"/>
    <s v="31-07-2026 to 06-08-2026"/>
    <s v="Liveferol 1LTR"/>
    <s v="106600280002"/>
    <x v="71"/>
    <x v="0"/>
    <s v="Chhatauna w-1"/>
    <x v="2"/>
    <s v="Gayghat"/>
    <s v="Daya Society"/>
    <n v="10"/>
    <n v="259"/>
    <n v="2590"/>
    <n v="0"/>
    <n v="2590"/>
    <n v="10"/>
    <n v="2590"/>
    <m/>
    <m/>
    <m/>
  </r>
  <r>
    <d v="2026-08-08T11:24:56"/>
    <s v="Kunal Kumar"/>
    <d v="2026-08-08T00:00:00"/>
    <s v="31-07-2026 to 06-08-2026"/>
    <s v="Silage"/>
    <s v="100600270150"/>
    <x v="72"/>
    <x v="0"/>
    <s v="Singhchak"/>
    <x v="60"/>
    <s v="Gopalpur Bmc"/>
    <s v="Daya Society"/>
    <n v="66.7"/>
    <n v="7.5"/>
    <n v="500.25"/>
    <n v="0"/>
    <n v="500.25"/>
    <n v="66.7"/>
    <n v="500.25"/>
    <m/>
    <m/>
    <m/>
  </r>
  <r>
    <d v="2026-08-08T11:25:34"/>
    <s v="Kunal Kumar"/>
    <d v="2026-08-08T00:00:00"/>
    <s v="31-07-2026 to 06-08-2026"/>
    <s v="Silage"/>
    <s v="100600270080"/>
    <x v="72"/>
    <x v="0"/>
    <s v="Singhchak"/>
    <x v="50"/>
    <s v="Gopalpur Bmc"/>
    <s v="Daya Society"/>
    <n v="48"/>
    <n v="7.5"/>
    <n v="360"/>
    <n v="0"/>
    <n v="360"/>
    <n v="48"/>
    <n v="360"/>
    <m/>
    <m/>
    <m/>
  </r>
  <r>
    <d v="2026-08-08T11:26:21"/>
    <s v="Kunal Kumar"/>
    <d v="2026-08-08T00:00:00"/>
    <s v="31-07-2026 to 06-08-2026"/>
    <s v="Silage"/>
    <s v="100600270294"/>
    <x v="72"/>
    <x v="0"/>
    <s v="Singhchak"/>
    <x v="61"/>
    <s v="Gopalpur Bmc"/>
    <s v="Daya Society"/>
    <n v="118"/>
    <n v="7.5"/>
    <n v="885"/>
    <n v="0"/>
    <n v="885"/>
    <n v="118"/>
    <n v="885"/>
    <m/>
    <m/>
    <m/>
  </r>
  <r>
    <d v="2026-08-08T11:26:56"/>
    <s v="Kunal Kumar"/>
    <d v="2026-08-08T00:00:00"/>
    <s v="31-07-2026 to 06-08-2026"/>
    <s v="Silage"/>
    <s v="100600270306"/>
    <x v="72"/>
    <x v="0"/>
    <s v="Singhchak"/>
    <x v="62"/>
    <s v="Gopalpur Bmc"/>
    <s v="Daya Society"/>
    <n v="46.2"/>
    <n v="7.5"/>
    <n v="346.5"/>
    <n v="0"/>
    <n v="346.5"/>
    <n v="46.2"/>
    <n v="346.5"/>
    <m/>
    <m/>
    <m/>
  </r>
  <r>
    <d v="2026-08-08T11:27:35"/>
    <s v="Kunal Kumar"/>
    <d v="2026-08-08T00:00:00"/>
    <s v="31-07-2026 to 06-08-2026"/>
    <s v="Silage"/>
    <s v="100600270012"/>
    <x v="72"/>
    <x v="0"/>
    <s v="Singhchak"/>
    <x v="59"/>
    <s v="Gopalpur Bmc"/>
    <s v="Daya Society"/>
    <n v="41.3"/>
    <n v="7.5"/>
    <n v="309.75"/>
    <n v="0"/>
    <n v="309.75"/>
    <n v="41.3"/>
    <n v="309.75"/>
    <m/>
    <m/>
    <m/>
  </r>
  <r>
    <d v="2026-08-08T11:28:16"/>
    <s v="Kunal Kumar"/>
    <d v="2026-08-08T00:00:00"/>
    <s v="31-07-2026 to 06-08-2026"/>
    <s v="Silage"/>
    <s v="100600270282"/>
    <x v="72"/>
    <x v="0"/>
    <s v="Singhchak"/>
    <x v="63"/>
    <s v="Gopalpur Bmc"/>
    <s v="Daya Society"/>
    <n v="480"/>
    <n v="7.5"/>
    <n v="3600"/>
    <n v="0"/>
    <n v="3600"/>
    <n v="480"/>
    <n v="3600"/>
    <m/>
    <m/>
    <m/>
  </r>
  <r>
    <d v="2026-08-08T12:19:20"/>
    <s v="Prashant kumar"/>
    <d v="2026-08-08T00:00:00"/>
    <s v="31-07-2026 to 06-08-2026"/>
    <s v="Silage"/>
    <s v="100200270002"/>
    <x v="73"/>
    <x v="0"/>
    <s v="Gomukh Repura"/>
    <x v="2"/>
    <s v="Laldiyara"/>
    <s v="Daya Society"/>
    <n v="547.9"/>
    <n v="7"/>
    <n v="3835.3"/>
    <n v="0"/>
    <n v="3835.3"/>
    <n v="547.9"/>
    <n v="3835.3"/>
    <m/>
    <m/>
    <m/>
  </r>
  <r>
    <d v="2026-08-05T11:48:06"/>
    <s v="Bittu kumar"/>
    <d v="2026-08-05T00:00:00"/>
    <s v="31-07-2026 to 06-08-2026"/>
    <s v="Gold 50 Kg"/>
    <s v="101101530002"/>
    <x v="74"/>
    <x v="1"/>
    <s v="Jangli Tol Vlc"/>
    <x v="2"/>
    <s v="Sahibpur Kamal"/>
    <s v="Daya Society"/>
    <n v="1"/>
    <n v="1350"/>
    <n v="1350"/>
    <n v="0"/>
    <n v="1350"/>
    <n v="1"/>
    <n v="1350"/>
    <m/>
    <m/>
    <m/>
  </r>
  <r>
    <d v="2026-08-05T11:48:47"/>
    <s v="Bittu kumar"/>
    <d v="2026-08-05T00:00:00"/>
    <s v="31-07-2026 to 06-08-2026"/>
    <s v="Gold 50 Kg"/>
    <s v="101101830002"/>
    <x v="75"/>
    <x v="1"/>
    <s v="Mathar-3"/>
    <x v="2"/>
    <s v="Sahibpur Kamal"/>
    <s v="Daya Society"/>
    <n v="1"/>
    <n v="1350"/>
    <n v="1350"/>
    <n v="0"/>
    <n v="1350"/>
    <n v="1"/>
    <n v="1350"/>
    <m/>
    <m/>
    <m/>
  </r>
  <r>
    <d v="2026-08-05T11:49:05"/>
    <s v="Bittu kumar"/>
    <d v="2026-08-05T00:00:00"/>
    <s v="31-07-2026 to 06-08-2026"/>
    <s v="Gold 50 Kg"/>
    <s v="101101610002"/>
    <x v="76"/>
    <x v="1"/>
    <s v="MOHANPUR VLC"/>
    <x v="2"/>
    <s v="Sahibpur Kamal"/>
    <s v="Daya Society"/>
    <n v="1"/>
    <n v="1350"/>
    <n v="1350"/>
    <n v="0"/>
    <n v="1350"/>
    <n v="1"/>
    <n v="1350"/>
    <m/>
    <m/>
    <m/>
  </r>
  <r>
    <d v="2026-08-07T13:30:51"/>
    <s v="Mithun Kumar"/>
    <d v="2026-08-07T00:00:00"/>
    <s v="31-07-2026 to 06-08-2026"/>
    <s v="Gold 50 Kg"/>
    <s v="101200130002"/>
    <x v="77"/>
    <x v="1"/>
    <s v="Bhatgama"/>
    <x v="2"/>
    <s v="DalsinghSarai"/>
    <s v="Daya Society"/>
    <n v="2"/>
    <n v="1400"/>
    <n v="2800"/>
    <n v="0"/>
    <n v="2800"/>
    <n v="2"/>
    <n v="2800"/>
    <m/>
    <m/>
    <m/>
  </r>
  <r>
    <d v="2026-08-07T13:31:13"/>
    <s v="Mithun Kumar"/>
    <d v="2026-08-07T00:00:00"/>
    <s v="31-07-2026 to 06-08-2026"/>
    <s v="Gold 50 Kg"/>
    <s v="101200100002"/>
    <x v="78"/>
    <x v="1"/>
    <s v="Janganath Pur"/>
    <x v="2"/>
    <s v="DalsinghSarai"/>
    <s v="Daya Society"/>
    <n v="2"/>
    <n v="1400"/>
    <n v="2800"/>
    <n v="0"/>
    <n v="2800"/>
    <n v="2"/>
    <n v="2800"/>
    <m/>
    <m/>
    <m/>
  </r>
  <r>
    <d v="2026-08-08T06:52:05"/>
    <s v="RAMJEEVAN SHANDILYA"/>
    <d v="2026-08-08T00:00:00"/>
    <s v="31-07-2026 to 06-08-2026"/>
    <s v="Gold 50 Kg"/>
    <s v="105300380038"/>
    <x v="79"/>
    <x v="1"/>
    <s v="Gomukh Bedauliya"/>
    <x v="8"/>
    <s v="Kalyanpur"/>
    <s v="Daya Society"/>
    <n v="1"/>
    <n v="1400"/>
    <n v="1400"/>
    <n v="0"/>
    <n v="1400"/>
    <n v="1"/>
    <n v="1400"/>
    <m/>
    <m/>
    <m/>
  </r>
  <r>
    <d v="2026-08-08T07:15:11"/>
    <s v="ANSHU KUMAR"/>
    <d v="2026-08-08T00:00:00"/>
    <s v="31-07-2026 to 06-08-2026"/>
    <s v="Bestmin Gold 24 KG"/>
    <s v="101200220002"/>
    <x v="80"/>
    <x v="1"/>
    <s v="Gomukha Jounapur"/>
    <x v="2"/>
    <s v="DalsinghSarai"/>
    <s v="Daya Society"/>
    <n v="0"/>
    <n v="3960"/>
    <n v="0"/>
    <n v="640"/>
    <n v="640"/>
    <n v="0"/>
    <n v="640"/>
    <m/>
    <m/>
    <s v="0002(inderect)"/>
  </r>
  <r>
    <d v="2026-08-08T07:20:37"/>
    <s v="ANSHU KUMAR"/>
    <d v="2026-08-08T00:00:00"/>
    <s v="31-07-2026 to 06-08-2026"/>
    <s v="Buff Spl 50 Kg"/>
    <s v="101200490002"/>
    <x v="81"/>
    <x v="1"/>
    <s v="Kacha - Amarjeet"/>
    <x v="2"/>
    <s v="DalsinghSarai"/>
    <s v="Daya Society"/>
    <n v="2"/>
    <n v="1550"/>
    <n v="3100"/>
    <n v="0"/>
    <n v="3100"/>
    <n v="2"/>
    <n v="3100"/>
    <m/>
    <m/>
    <s v="0002(in Direct mpg)"/>
  </r>
  <r>
    <d v="2026-08-08T07:34:40"/>
    <s v="Balram Kumar"/>
    <d v="2026-08-08T00:00:00"/>
    <s v="31-07-2026 to 06-08-2026"/>
    <s v="Gold 50 Kg"/>
    <s v="105300150002"/>
    <x v="82"/>
    <x v="1"/>
    <s v="Gomukh Madhopur"/>
    <x v="2"/>
    <s v="Kalyanpur"/>
    <s v="Kalyanpur"/>
    <n v="2"/>
    <n v="1400"/>
    <n v="2800"/>
    <n v="0"/>
    <n v="2800"/>
    <n v="2"/>
    <n v="2800"/>
    <m/>
    <m/>
    <m/>
  </r>
  <r>
    <d v="2026-08-08T07:35:37"/>
    <s v="Balram Kumar"/>
    <d v="2026-08-08T00:00:00"/>
    <s v="31-07-2026 to 06-08-2026"/>
    <s v="Buff Spl 50 Kg"/>
    <s v="105301170002"/>
    <x v="83"/>
    <x v="1"/>
    <s v="Simra"/>
    <x v="2"/>
    <s v="Kalyanpur"/>
    <s v="Kalyanpur"/>
    <n v="15"/>
    <n v="1550"/>
    <n v="23250"/>
    <n v="0"/>
    <n v="23250"/>
    <n v="15"/>
    <n v="23250"/>
    <m/>
    <m/>
    <m/>
  </r>
  <r>
    <d v="2026-08-08T07:35:54"/>
    <s v="Balram Kumar"/>
    <d v="2026-08-08T00:00:00"/>
    <s v="31-07-2026 to 06-08-2026"/>
    <s v="Buff Spl 50 Kg"/>
    <s v="105300310002"/>
    <x v="84"/>
    <x v="1"/>
    <s v="Gomukh Gopalpur"/>
    <x v="2"/>
    <s v="Kalyanpur"/>
    <s v="Kalyanpur"/>
    <n v="1"/>
    <n v="1550"/>
    <n v="1550"/>
    <n v="0"/>
    <n v="1550"/>
    <n v="1"/>
    <n v="1550"/>
    <m/>
    <m/>
    <m/>
  </r>
  <r>
    <d v="2026-08-08T07:37:32"/>
    <s v="ANSHU KUMAR"/>
    <d v="2026-08-08T00:00:00"/>
    <s v="31-07-2026 to 06-08-2026"/>
    <s v="Buff Spl 50 Kg"/>
    <s v="101200110002"/>
    <x v="85"/>
    <x v="1"/>
    <s v="Nagargama"/>
    <x v="2"/>
    <s v="DalsinghSarai"/>
    <s v="Daya Society"/>
    <n v="3"/>
    <n v="1550"/>
    <n v="4650"/>
    <n v="0"/>
    <n v="4650"/>
    <n v="3"/>
    <n v="4650"/>
    <m/>
    <m/>
    <m/>
  </r>
  <r>
    <d v="2026-08-08T07:46:46"/>
    <s v="Balram Kumar"/>
    <d v="2026-08-08T00:00:00"/>
    <s v="31-07-2026 to 06-08-2026"/>
    <s v="Bestmin Gold 6 KG"/>
    <s v="105301170002"/>
    <x v="83"/>
    <x v="1"/>
    <s v="Simra"/>
    <x v="2"/>
    <s v="Kalyanpur"/>
    <s v="Kalyanpur"/>
    <n v="1"/>
    <n v="1125"/>
    <n v="1125"/>
    <n v="0"/>
    <n v="1125"/>
    <n v="1"/>
    <n v="1125"/>
    <m/>
    <m/>
    <m/>
  </r>
  <r>
    <d v="2026-08-08T08:27:44"/>
    <s v="Deepak Kumar"/>
    <d v="2026-08-08T00:00:00"/>
    <s v="31-07-2026 to 06-08-2026"/>
    <s v="Gold 50 Kg"/>
    <s v="101300180002"/>
    <x v="86"/>
    <x v="1"/>
    <s v="Harsingpur"/>
    <x v="2"/>
    <s v="Musrigharari"/>
    <s v="Daya Society"/>
    <n v="1"/>
    <n v="1400"/>
    <n v="1400"/>
    <n v="0"/>
    <n v="1400"/>
    <n v="1"/>
    <n v="1400"/>
    <m/>
    <m/>
    <m/>
  </r>
  <r>
    <d v="2026-08-08T08:28:04"/>
    <s v="Deepak Kumar"/>
    <d v="2026-08-08T00:00:00"/>
    <s v="31-07-2026 to 06-08-2026"/>
    <s v="Gold 50 Kg"/>
    <s v="101300810002"/>
    <x v="87"/>
    <x v="1"/>
    <s v="Jitwarpur-Manisha"/>
    <x v="2"/>
    <s v="Musrigharari"/>
    <s v="Daya Society"/>
    <n v="1"/>
    <n v="1400"/>
    <n v="1400"/>
    <n v="0"/>
    <n v="1400"/>
    <n v="1"/>
    <n v="1400"/>
    <m/>
    <m/>
    <m/>
  </r>
  <r>
    <d v="2026-08-08T08:29:02"/>
    <s v="Deepak Kumar"/>
    <d v="2026-08-08T00:00:00"/>
    <s v="31-07-2026 to 06-08-2026"/>
    <s v="Gold 50 Kg"/>
    <s v="101300050002"/>
    <x v="88"/>
    <x v="1"/>
    <s v="JHAKHRA"/>
    <x v="2"/>
    <s v="Musrigharari"/>
    <s v="Daya Society"/>
    <n v="1"/>
    <n v="1400"/>
    <n v="1400"/>
    <n v="0"/>
    <n v="1400"/>
    <n v="1"/>
    <n v="1400"/>
    <m/>
    <m/>
    <m/>
  </r>
  <r>
    <d v="2026-08-08T08:30:24"/>
    <s v="Deepak Kumar"/>
    <d v="2026-08-08T00:00:00"/>
    <s v="31-07-2026 to 06-08-2026"/>
    <s v="Gold 50 Kg"/>
    <s v="101301220002"/>
    <x v="89"/>
    <x v="1"/>
    <s v="Mirjapur"/>
    <x v="2"/>
    <s v="Musrigharari"/>
    <s v="Daya Society"/>
    <n v="1"/>
    <n v="1400"/>
    <n v="1400"/>
    <n v="0"/>
    <n v="1400"/>
    <n v="1"/>
    <n v="1400"/>
    <m/>
    <m/>
    <m/>
  </r>
  <r>
    <d v="2026-08-08T08:34:49"/>
    <s v="Deepak Kumar"/>
    <d v="2026-08-08T00:00:00"/>
    <s v="31-07-2026 to 06-08-2026"/>
    <s v="Bestmin Gold 6 KG"/>
    <s v="101301220002"/>
    <x v="89"/>
    <x v="1"/>
    <s v="Mirjapur"/>
    <x v="2"/>
    <s v="Musrigharari"/>
    <s v="Daya Society"/>
    <n v="1"/>
    <n v="1238"/>
    <n v="1238"/>
    <n v="0"/>
    <n v="1238"/>
    <n v="1"/>
    <n v="1238"/>
    <m/>
    <m/>
    <m/>
  </r>
  <r>
    <d v="2026-08-08T08:38:22"/>
    <s v="Deepak Kumar"/>
    <d v="2026-08-08T00:00:00"/>
    <s v="31-07-2026 to 06-08-2026"/>
    <s v="Buff Spl 50 Kg"/>
    <s v="101300310002"/>
    <x v="90"/>
    <x v="1"/>
    <s v="Gomukh ID Sararanjan"/>
    <x v="2"/>
    <s v="Musrigharari"/>
    <s v="Daya Society"/>
    <n v="0"/>
    <n v="1550"/>
    <n v="0"/>
    <n v="1669"/>
    <n v="1669"/>
    <n v="0"/>
    <n v="1669"/>
    <m/>
    <m/>
    <m/>
  </r>
  <r>
    <d v="2026-08-08T09:55:53"/>
    <s v="Bittu kumar"/>
    <d v="2026-08-08T00:00:00"/>
    <s v="31-07-2026 to 06-08-2026"/>
    <s v="Gold 50 Kg"/>
    <s v="101100080002"/>
    <x v="91"/>
    <x v="1"/>
    <s v="Rahimpur Pachkhutti"/>
    <x v="2"/>
    <s v="Sahibpur Kamal"/>
    <s v="Daya Society"/>
    <n v="100"/>
    <n v="1440"/>
    <n v="144000"/>
    <n v="0"/>
    <n v="144000"/>
    <n v="100"/>
    <n v="144000"/>
    <m/>
    <m/>
    <m/>
  </r>
  <r>
    <d v="2026-08-08T10:09:09"/>
    <s v="Prince Raj"/>
    <d v="2026-08-08T00:00:00"/>
    <s v="31-07-2026 to 06-08-2026"/>
    <s v="Buff Spl 50 Kg"/>
    <s v="105300690069"/>
    <x v="92"/>
    <x v="1"/>
    <s v="BELSANDI W-9"/>
    <x v="64"/>
    <s v="Kalyanpur"/>
    <s v="Daya Society"/>
    <n v="1"/>
    <n v="1550"/>
    <n v="1550"/>
    <n v="0"/>
    <n v="1550"/>
    <n v="1"/>
    <n v="1550"/>
    <m/>
    <m/>
    <m/>
  </r>
  <r>
    <d v="2026-08-08T10:33:13"/>
    <s v="Prince Raj"/>
    <d v="2026-08-08T00:00:00"/>
    <s v="31-07-2026 to 06-08-2026"/>
    <s v="Methochelated Provical Forte 5L"/>
    <s v="106600100010"/>
    <x v="93"/>
    <x v="1"/>
    <s v="GOMUKH HAYAGHAT WEST"/>
    <x v="17"/>
    <s v="Gayghat"/>
    <s v="Daya Society"/>
    <n v="1"/>
    <n v="1001"/>
    <n v="1001"/>
    <n v="0"/>
    <n v="1001"/>
    <n v="1"/>
    <n v="1001"/>
    <m/>
    <m/>
    <m/>
  </r>
  <r>
    <d v="2026-08-08T11:27:16"/>
    <s v="Bablu Kumar"/>
    <d v="2026-08-08T00:00:00"/>
    <s v="31-07-2026 to 06-08-2026"/>
    <s v="Silage"/>
    <s v="100300690002"/>
    <x v="94"/>
    <x v="1"/>
    <s v="RAGHUNATHPUR"/>
    <x v="2"/>
    <s v="Asarganj"/>
    <s v="Daya Society"/>
    <n v="0"/>
    <n v="7"/>
    <n v="0"/>
    <n v="0.5"/>
    <n v="0.5"/>
    <n v="0"/>
    <n v="0.5"/>
    <m/>
    <m/>
    <m/>
  </r>
  <r>
    <d v="2026-08-08T10:20:16"/>
    <s v="Prince Raj"/>
    <d v="2026-08-08T00:00:00"/>
    <s v="31-07-2026 to 06-08-2026"/>
    <s v="Gold 50 Kg"/>
    <s v="106600940094"/>
    <x v="95"/>
    <x v="2"/>
    <s v="Bhagwanpur"/>
    <x v="30"/>
    <s v="Gayghat"/>
    <s v="Daya Society"/>
    <n v="1"/>
    <n v="1400"/>
    <n v="1400"/>
    <n v="0"/>
    <n v="1400"/>
    <n v="1"/>
    <n v="14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244B1-9DDE-408E-88AD-8D23BD58076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83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6">
        <item x="73"/>
        <item x="94"/>
        <item x="72"/>
        <item x="10"/>
        <item x="11"/>
        <item x="20"/>
        <item x="91"/>
        <item x="6"/>
        <item x="0"/>
        <item x="1"/>
        <item x="56"/>
        <item x="19"/>
        <item x="68"/>
        <item x="74"/>
        <item x="76"/>
        <item x="5"/>
        <item x="75"/>
        <item x="35"/>
        <item x="78"/>
        <item x="85"/>
        <item x="77"/>
        <item x="30"/>
        <item x="80"/>
        <item x="16"/>
        <item x="31"/>
        <item x="81"/>
        <item x="15"/>
        <item x="17"/>
        <item x="33"/>
        <item x="18"/>
        <item x="32"/>
        <item x="29"/>
        <item x="88"/>
        <item x="55"/>
        <item x="86"/>
        <item x="90"/>
        <item x="54"/>
        <item x="53"/>
        <item x="87"/>
        <item x="89"/>
        <item x="61"/>
        <item x="60"/>
        <item x="59"/>
        <item x="57"/>
        <item x="58"/>
        <item x="4"/>
        <item x="37"/>
        <item x="50"/>
        <item x="38"/>
        <item x="44"/>
        <item x="39"/>
        <item x="34"/>
        <item x="82"/>
        <item x="84"/>
        <item x="41"/>
        <item x="52"/>
        <item x="28"/>
        <item x="79"/>
        <item x="43"/>
        <item x="25"/>
        <item x="24"/>
        <item x="27"/>
        <item x="26"/>
        <item x="92"/>
        <item x="49"/>
        <item x="22"/>
        <item x="40"/>
        <item x="23"/>
        <item x="48"/>
        <item x="42"/>
        <item x="51"/>
        <item x="47"/>
        <item x="36"/>
        <item x="21"/>
        <item x="45"/>
        <item x="46"/>
        <item x="83"/>
        <item x="67"/>
        <item x="69"/>
        <item x="66"/>
        <item x="9"/>
        <item x="8"/>
        <item x="12"/>
        <item x="7"/>
        <item x="13"/>
        <item x="62"/>
        <item x="63"/>
        <item x="14"/>
        <item x="3"/>
        <item x="2"/>
        <item x="65"/>
        <item x="70"/>
        <item x="64"/>
        <item x="93"/>
        <item x="71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6">
        <item x="56"/>
        <item x="2"/>
        <item x="9"/>
        <item x="0"/>
        <item x="11"/>
        <item x="7"/>
        <item x="43"/>
        <item x="1"/>
        <item x="6"/>
        <item x="17"/>
        <item x="57"/>
        <item x="59"/>
        <item x="19"/>
        <item x="29"/>
        <item x="39"/>
        <item x="38"/>
        <item x="54"/>
        <item x="3"/>
        <item x="52"/>
        <item x="20"/>
        <item x="18"/>
        <item x="10"/>
        <item x="40"/>
        <item x="12"/>
        <item x="36"/>
        <item x="5"/>
        <item x="14"/>
        <item x="16"/>
        <item x="33"/>
        <item x="8"/>
        <item x="22"/>
        <item x="51"/>
        <item x="47"/>
        <item x="42"/>
        <item x="44"/>
        <item x="13"/>
        <item x="24"/>
        <item x="37"/>
        <item x="41"/>
        <item x="45"/>
        <item x="46"/>
        <item x="35"/>
        <item x="64"/>
        <item x="32"/>
        <item x="34"/>
        <item x="55"/>
        <item x="4"/>
        <item x="50"/>
        <item x="28"/>
        <item x="48"/>
        <item x="58"/>
        <item x="30"/>
        <item x="26"/>
        <item x="49"/>
        <item x="15"/>
        <item x="53"/>
        <item x="23"/>
        <item x="21"/>
        <item x="31"/>
        <item x="27"/>
        <item x="25"/>
        <item x="60"/>
        <item x="63"/>
        <item x="61"/>
        <item x="6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179">
    <i>
      <x/>
      <x/>
      <x v="1"/>
    </i>
    <i r="1">
      <x v="2"/>
      <x v="11"/>
    </i>
    <i r="2">
      <x v="47"/>
    </i>
    <i r="2">
      <x v="61"/>
    </i>
    <i r="2">
      <x v="62"/>
    </i>
    <i r="2">
      <x v="63"/>
    </i>
    <i r="2">
      <x v="64"/>
    </i>
    <i r="1">
      <x v="3"/>
      <x v="8"/>
    </i>
    <i r="1">
      <x v="4"/>
      <x v="17"/>
    </i>
    <i r="1">
      <x v="5"/>
      <x v="1"/>
    </i>
    <i r="1">
      <x v="7"/>
      <x v="25"/>
    </i>
    <i r="1">
      <x v="8"/>
      <x v="3"/>
    </i>
    <i r="2">
      <x v="7"/>
    </i>
    <i r="1">
      <x v="9"/>
      <x v="1"/>
    </i>
    <i r="1">
      <x v="10"/>
      <x v="5"/>
    </i>
    <i r="2">
      <x v="6"/>
    </i>
    <i r="2">
      <x v="10"/>
    </i>
    <i r="1">
      <x v="11"/>
      <x v="8"/>
    </i>
    <i r="1">
      <x v="12"/>
      <x v="1"/>
    </i>
    <i r="1">
      <x v="15"/>
      <x v="1"/>
    </i>
    <i r="1">
      <x v="17"/>
      <x v="13"/>
    </i>
    <i r="2">
      <x v="29"/>
    </i>
    <i r="2">
      <x v="46"/>
    </i>
    <i r="2">
      <x v="56"/>
    </i>
    <i r="2">
      <x v="57"/>
    </i>
    <i r="2">
      <x v="59"/>
    </i>
    <i r="2">
      <x v="60"/>
    </i>
    <i r="1">
      <x v="21"/>
      <x v="1"/>
    </i>
    <i r="1">
      <x v="23"/>
      <x v="1"/>
    </i>
    <i r="1">
      <x v="24"/>
      <x v="1"/>
    </i>
    <i r="1">
      <x v="26"/>
      <x v="1"/>
    </i>
    <i r="1">
      <x v="27"/>
      <x v="1"/>
    </i>
    <i r="1">
      <x v="28"/>
      <x v="1"/>
    </i>
    <i r="1">
      <x v="29"/>
      <x v="1"/>
    </i>
    <i r="1">
      <x v="30"/>
      <x v="1"/>
    </i>
    <i r="1">
      <x v="31"/>
      <x v="1"/>
    </i>
    <i r="1">
      <x v="33"/>
      <x/>
    </i>
    <i r="1">
      <x v="36"/>
      <x v="8"/>
    </i>
    <i r="1">
      <x v="37"/>
      <x v="1"/>
    </i>
    <i r="1">
      <x v="40"/>
      <x v="50"/>
    </i>
    <i r="1">
      <x v="41"/>
      <x v="1"/>
    </i>
    <i r="1">
      <x v="42"/>
      <x v="1"/>
    </i>
    <i r="2">
      <x v="3"/>
    </i>
    <i r="1">
      <x v="43"/>
      <x v="2"/>
    </i>
    <i r="1">
      <x v="44"/>
      <x v="1"/>
    </i>
    <i r="2">
      <x v="2"/>
    </i>
    <i r="2">
      <x v="6"/>
    </i>
    <i r="1">
      <x v="45"/>
      <x v="1"/>
    </i>
    <i r="1">
      <x v="46"/>
      <x v="5"/>
    </i>
    <i r="1">
      <x v="47"/>
      <x v="1"/>
    </i>
    <i r="2">
      <x v="12"/>
    </i>
    <i r="1">
      <x v="48"/>
      <x v="20"/>
    </i>
    <i r="2">
      <x v="30"/>
    </i>
    <i r="2">
      <x v="36"/>
    </i>
    <i r="2">
      <x v="48"/>
    </i>
    <i r="2">
      <x v="51"/>
    </i>
    <i r="2">
      <x v="52"/>
    </i>
    <i r="1">
      <x v="49"/>
      <x v="1"/>
    </i>
    <i r="2">
      <x v="9"/>
    </i>
    <i r="2">
      <x v="13"/>
    </i>
    <i r="2">
      <x v="15"/>
    </i>
    <i r="2">
      <x v="21"/>
    </i>
    <i r="1">
      <x v="50"/>
      <x v="5"/>
    </i>
    <i r="2">
      <x v="13"/>
    </i>
    <i r="2">
      <x v="58"/>
    </i>
    <i r="1">
      <x v="51"/>
      <x v="1"/>
    </i>
    <i r="2">
      <x v="5"/>
    </i>
    <i r="2">
      <x v="19"/>
    </i>
    <i r="1">
      <x v="54"/>
      <x v="9"/>
    </i>
    <i r="2">
      <x v="16"/>
    </i>
    <i r="2">
      <x v="28"/>
    </i>
    <i r="2">
      <x v="43"/>
    </i>
    <i r="2">
      <x v="44"/>
    </i>
    <i r="2">
      <x v="45"/>
    </i>
    <i r="1">
      <x v="55"/>
      <x v="3"/>
    </i>
    <i r="2">
      <x v="5"/>
    </i>
    <i r="2">
      <x v="6"/>
    </i>
    <i r="2">
      <x v="18"/>
    </i>
    <i r="2">
      <x v="25"/>
    </i>
    <i r="2">
      <x v="27"/>
    </i>
    <i r="2">
      <x v="30"/>
    </i>
    <i r="2">
      <x v="31"/>
    </i>
    <i r="2">
      <x v="32"/>
    </i>
    <i r="2">
      <x v="34"/>
    </i>
    <i r="2">
      <x v="39"/>
    </i>
    <i r="2">
      <x v="40"/>
    </i>
    <i r="2">
      <x v="47"/>
    </i>
    <i r="2">
      <x v="49"/>
    </i>
    <i r="2">
      <x v="51"/>
    </i>
    <i r="2">
      <x v="53"/>
    </i>
    <i r="2">
      <x v="55"/>
    </i>
    <i r="1">
      <x v="56"/>
      <x v="2"/>
    </i>
    <i r="2">
      <x v="5"/>
    </i>
    <i r="2">
      <x v="9"/>
    </i>
    <i r="2">
      <x v="12"/>
    </i>
    <i r="2">
      <x v="20"/>
    </i>
    <i r="2">
      <x v="27"/>
    </i>
    <i r="2">
      <x v="54"/>
    </i>
    <i r="1">
      <x v="58"/>
      <x v="2"/>
    </i>
    <i r="2">
      <x v="24"/>
    </i>
    <i r="2">
      <x v="37"/>
    </i>
    <i r="1">
      <x v="59"/>
      <x v="8"/>
    </i>
    <i r="2">
      <x v="23"/>
    </i>
    <i r="1">
      <x v="60"/>
      <x v="4"/>
    </i>
    <i r="1">
      <x v="61"/>
      <x v="1"/>
    </i>
    <i r="2">
      <x v="54"/>
    </i>
    <i r="1">
      <x v="62"/>
      <x v="26"/>
    </i>
    <i r="1">
      <x v="64"/>
      <x v="33"/>
    </i>
    <i r="1">
      <x v="65"/>
      <x v="1"/>
    </i>
    <i r="2">
      <x v="2"/>
    </i>
    <i r="2">
      <x v="21"/>
    </i>
    <i r="2">
      <x v="29"/>
    </i>
    <i r="1">
      <x v="66"/>
      <x v="1"/>
    </i>
    <i r="2">
      <x v="23"/>
    </i>
    <i r="1">
      <x v="67"/>
      <x v="1"/>
    </i>
    <i r="1">
      <x v="68"/>
      <x v="38"/>
    </i>
    <i r="1">
      <x v="69"/>
      <x v="41"/>
    </i>
    <i r="1">
      <x v="70"/>
      <x v="2"/>
    </i>
    <i r="1">
      <x v="71"/>
      <x v="30"/>
    </i>
    <i r="1">
      <x v="72"/>
      <x v="1"/>
    </i>
    <i r="1">
      <x v="73"/>
      <x v="1"/>
    </i>
    <i r="2">
      <x v="3"/>
    </i>
    <i r="2">
      <x v="5"/>
    </i>
    <i r="2">
      <x v="8"/>
    </i>
    <i r="2">
      <x v="25"/>
    </i>
    <i r="2">
      <x v="35"/>
    </i>
    <i r="1">
      <x v="74"/>
      <x v="3"/>
    </i>
    <i r="2">
      <x v="9"/>
    </i>
    <i r="2">
      <x v="14"/>
    </i>
    <i r="2">
      <x v="22"/>
    </i>
    <i r="1">
      <x v="75"/>
      <x v="1"/>
    </i>
    <i r="1">
      <x v="77"/>
      <x v="9"/>
    </i>
    <i r="1">
      <x v="78"/>
      <x v="1"/>
    </i>
    <i r="1">
      <x v="79"/>
      <x v="1"/>
    </i>
    <i r="1">
      <x v="80"/>
      <x v="1"/>
    </i>
    <i r="1">
      <x v="81"/>
      <x v="8"/>
    </i>
    <i r="1">
      <x v="82"/>
      <x v="1"/>
    </i>
    <i r="1">
      <x v="83"/>
      <x v="1"/>
    </i>
    <i r="1">
      <x v="84"/>
      <x v="1"/>
    </i>
    <i r="1">
      <x v="85"/>
      <x v="2"/>
    </i>
    <i r="1">
      <x v="86"/>
      <x v="1"/>
    </i>
    <i r="1">
      <x v="87"/>
      <x v="1"/>
    </i>
    <i r="1">
      <x v="88"/>
      <x v="46"/>
    </i>
    <i r="1">
      <x v="89"/>
      <x v="1"/>
    </i>
    <i r="2">
      <x v="5"/>
    </i>
    <i r="2">
      <x v="17"/>
    </i>
    <i r="1">
      <x v="90"/>
      <x v="1"/>
    </i>
    <i r="2">
      <x v="3"/>
    </i>
    <i r="2">
      <x v="11"/>
    </i>
    <i r="2">
      <x v="16"/>
    </i>
    <i r="1">
      <x v="91"/>
      <x v="1"/>
    </i>
    <i r="1">
      <x v="92"/>
      <x v="2"/>
    </i>
    <i r="1">
      <x v="94"/>
      <x v="1"/>
    </i>
    <i t="default">
      <x/>
    </i>
    <i>
      <x v="1"/>
      <x v="1"/>
      <x v="1"/>
    </i>
    <i r="1">
      <x v="6"/>
      <x v="1"/>
    </i>
    <i r="1">
      <x v="13"/>
      <x v="1"/>
    </i>
    <i r="1">
      <x v="14"/>
      <x v="1"/>
    </i>
    <i r="1">
      <x v="16"/>
      <x v="1"/>
    </i>
    <i r="1">
      <x v="18"/>
      <x v="1"/>
    </i>
    <i r="1">
      <x v="19"/>
      <x v="1"/>
    </i>
    <i r="1">
      <x v="20"/>
      <x v="1"/>
    </i>
    <i r="1">
      <x v="22"/>
      <x v="1"/>
    </i>
    <i r="1">
      <x v="25"/>
      <x v="1"/>
    </i>
    <i r="1">
      <x v="32"/>
      <x v="1"/>
    </i>
    <i r="1">
      <x v="34"/>
      <x v="1"/>
    </i>
    <i r="1">
      <x v="35"/>
      <x v="1"/>
    </i>
    <i r="1">
      <x v="38"/>
      <x v="1"/>
    </i>
    <i r="1">
      <x v="39"/>
      <x v="1"/>
    </i>
    <i r="1">
      <x v="52"/>
      <x v="1"/>
    </i>
    <i r="1">
      <x v="53"/>
      <x v="1"/>
    </i>
    <i r="1">
      <x v="57"/>
      <x v="29"/>
    </i>
    <i r="1">
      <x v="63"/>
      <x v="42"/>
    </i>
    <i r="1">
      <x v="76"/>
      <x v="1"/>
    </i>
    <i r="1">
      <x v="93"/>
      <x v="9"/>
    </i>
    <i t="default">
      <x v="1"/>
    </i>
    <i>
      <x v="2"/>
      <x v="95"/>
      <x v="51"/>
    </i>
    <i t="default">
      <x v="2"/>
    </i>
    <i t="grand">
      <x/>
    </i>
  </rowItems>
  <colItems count="1">
    <i/>
  </colItems>
  <dataFields count="1">
    <dataField name="Sum of Final Amount" fld="1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3896D-D566-4A1F-93DE-006615E783E0}" name="Table7" displayName="Table7" ref="A1:V189" totalsRowCount="1" headerRowDxfId="60" totalsRowDxfId="57" headerRowBorderDxfId="59" tableBorderDxfId="58">
  <autoFilter ref="A1:V188" xr:uid="{8513896D-D566-4A1F-93DE-006615E783E0}"/>
  <sortState xmlns:xlrd2="http://schemas.microsoft.com/office/spreadsheetml/2017/richdata2" ref="A2:V188">
    <sortCondition ref="H1:H188"/>
  </sortState>
  <tableColumns count="22">
    <tableColumn id="1" xr3:uid="{FBA146A7-0722-4C02-A9AE-F109E794BBF9}" name="Timestamp" dataDxfId="56" totalsRowDxfId="55"/>
    <tableColumn id="2" xr3:uid="{9A551815-1843-4388-B64D-761FEB99B973}" name="User Name" dataDxfId="54" totalsRowDxfId="53"/>
    <tableColumn id="3" xr3:uid="{BB1DCD99-33B1-4B70-BEC4-40E8CF0EE2A9}" name="Order Date" dataDxfId="52" totalsRowDxfId="51"/>
    <tableColumn id="4" xr3:uid="{E98C8170-4E65-4BE5-B964-2A8AD0C1DF92}" name="Deduction Cycle" dataDxfId="50" totalsRowDxfId="49"/>
    <tableColumn id="5" xr3:uid="{C4EE52AD-140C-4D4B-ACD5-4662AF93A5D3}" name="Item Name" dataDxfId="48" totalsRowDxfId="47"/>
    <tableColumn id="6" xr3:uid="{450AE24F-7B68-4AE3-A006-5EEB390E5AA4}" name="ID" dataDxfId="46" totalsRowDxfId="45">
      <calculatedColumnFormula>CONCATENATE(Table7[[#This Row],[MPG Code]],Table7[[#This Row],[Farmer code]])</calculatedColumnFormula>
    </tableColumn>
    <tableColumn id="7" xr3:uid="{2E924A7E-8A8F-4B98-905E-1FE95CC2E599}" name="MPG Code" dataDxfId="44" totalsRowDxfId="43"/>
    <tableColumn id="22" xr3:uid="{5C338D75-A225-4279-A86F-6FD973BA1CF4}" name="Type" dataDxfId="42" totalsRowDxfId="41"/>
    <tableColumn id="8" xr3:uid="{5F2D6177-112E-4CEE-9889-445B793B47D2}" name="MPG Name" dataDxfId="40" totalsRowDxfId="39"/>
    <tableColumn id="9" xr3:uid="{A4C48FDA-BBEF-4CE6-8400-76DA7E3FDC74}" name="Farmer code" dataDxfId="38" totalsRowDxfId="37"/>
    <tableColumn id="10" xr3:uid="{A33DF757-2AF5-4BCD-BD67-7B46757D5D33}" name="BMC Name" dataDxfId="36" totalsRowDxfId="35"/>
    <tableColumn id="11" xr3:uid="{64B2243A-018D-4941-9DF5-AEE5AB4C6720}" name="CSP" dataDxfId="34" totalsRowDxfId="33"/>
    <tableColumn id="12" xr3:uid="{2F9B86A6-6A13-4EB0-81A7-567609A8C89F}" name="Qty" dataDxfId="32" totalsRowDxfId="31"/>
    <tableColumn id="13" xr3:uid="{B4C59000-C952-4C66-870F-EB6A24AF9778}" name="Rate" dataDxfId="30" totalsRowDxfId="29"/>
    <tableColumn id="14" xr3:uid="{DF3DFEB8-51EC-49B7-8D0A-19765EB94FBC}" name="Total Amount" dataDxfId="28" totalsRowDxfId="27"/>
    <tableColumn id="15" xr3:uid="{A4F607F8-02FA-44A8-8D3D-0AFF7C624C72}" name="Other Due Amt" dataDxfId="26" totalsRowDxfId="25"/>
    <tableColumn id="16" xr3:uid="{87CF6782-A0EC-4173-8215-E3933ECAF151}" name="Total Amount (Proposed)" dataDxfId="24" totalsRowDxfId="23"/>
    <tableColumn id="17" xr3:uid="{5E3255FC-EDEA-4B9B-9286-F2FF3A780997}" name="Final Qty" dataDxfId="22" totalsRowDxfId="21"/>
    <tableColumn id="18" xr3:uid="{347719F0-9B68-4397-9A04-BB23821EAF75}" name="Final Amount" totalsRowFunction="sum" dataDxfId="20" totalsRowDxfId="19"/>
    <tableColumn id="19" xr3:uid="{B1127EA9-3BDD-490D-B850-B574A4E5F9D9}" name="Milk Amonnt" dataDxfId="18" totalsRowDxfId="17"/>
    <tableColumn id="21" xr3:uid="{987DB6FF-BCCD-47EA-A801-D5A10599ED69}" name="Deduction" totalsRowFunction="sum" dataDxfId="16" totalsRowDxfId="15"/>
    <tableColumn id="20" xr3:uid="{F716E310-F056-4B31-AC83-163B50352DB8}" name="Remarks" dataDxfId="14" totalsRowDxfId="13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9A24-4A69-432E-AB24-8F9D0990127D}">
  <dimension ref="A3:T183"/>
  <sheetViews>
    <sheetView topLeftCell="A3" workbookViewId="0">
      <selection activeCell="T4" sqref="T4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4.28515625" bestFit="1" customWidth="1"/>
    <col min="4" max="4" width="7" bestFit="1" customWidth="1"/>
    <col min="16" max="16" width="12.7109375" bestFit="1" customWidth="1"/>
    <col min="17" max="17" width="10.42578125" bestFit="1" customWidth="1"/>
    <col min="18" max="18" width="12" bestFit="1" customWidth="1"/>
    <col min="19" max="19" width="7" bestFit="1" customWidth="1"/>
    <col min="20" max="20" width="10.140625" bestFit="1" customWidth="1"/>
  </cols>
  <sheetData>
    <row r="3" spans="1:20" x14ac:dyDescent="0.25">
      <c r="A3" s="61" t="s">
        <v>237</v>
      </c>
    </row>
    <row r="4" spans="1:20" x14ac:dyDescent="0.25">
      <c r="A4" s="61" t="s">
        <v>229</v>
      </c>
      <c r="B4" s="61" t="s">
        <v>6</v>
      </c>
      <c r="C4" s="61" t="s">
        <v>8</v>
      </c>
      <c r="D4" t="s">
        <v>238</v>
      </c>
      <c r="G4" s="62" t="s">
        <v>240</v>
      </c>
      <c r="H4" s="62" t="s">
        <v>229</v>
      </c>
      <c r="I4" s="62" t="s">
        <v>6</v>
      </c>
      <c r="J4" s="62" t="s">
        <v>8</v>
      </c>
      <c r="K4" s="62" t="s">
        <v>238</v>
      </c>
      <c r="L4" s="62" t="s">
        <v>223</v>
      </c>
      <c r="P4" s="62" t="s">
        <v>229</v>
      </c>
      <c r="Q4" s="62" t="s">
        <v>6</v>
      </c>
      <c r="R4" s="62" t="s">
        <v>8</v>
      </c>
      <c r="S4" s="62" t="s">
        <v>238</v>
      </c>
      <c r="T4" s="62" t="s">
        <v>223</v>
      </c>
    </row>
    <row r="5" spans="1:20" x14ac:dyDescent="0.25">
      <c r="A5" t="s">
        <v>230</v>
      </c>
      <c r="B5">
        <v>10020027</v>
      </c>
      <c r="C5" t="s">
        <v>22</v>
      </c>
      <c r="D5" s="64">
        <v>3835.3</v>
      </c>
      <c r="G5" t="str">
        <f>CONCATENATE(I5,J5)</f>
        <v>100200270002</v>
      </c>
      <c r="H5" s="63" t="s">
        <v>230</v>
      </c>
      <c r="I5" s="63">
        <v>10020027</v>
      </c>
      <c r="J5" t="s">
        <v>22</v>
      </c>
      <c r="K5" s="64">
        <v>3835.3</v>
      </c>
      <c r="L5">
        <v>3835.3</v>
      </c>
      <c r="P5" s="63" t="s">
        <v>231</v>
      </c>
      <c r="Q5" s="63">
        <v>10030069</v>
      </c>
      <c r="R5" t="s">
        <v>22</v>
      </c>
      <c r="S5" s="64">
        <v>0.5</v>
      </c>
      <c r="T5">
        <v>0.5</v>
      </c>
    </row>
    <row r="6" spans="1:20" x14ac:dyDescent="0.25">
      <c r="A6" t="s">
        <v>230</v>
      </c>
      <c r="B6">
        <v>10060027</v>
      </c>
      <c r="C6" t="s">
        <v>156</v>
      </c>
      <c r="D6" s="64">
        <v>309.75</v>
      </c>
      <c r="G6" t="str">
        <f t="shared" ref="G6:G69" si="0">CONCATENATE(I6,J6)</f>
        <v>100600270012</v>
      </c>
      <c r="H6" s="63" t="s">
        <v>230</v>
      </c>
      <c r="I6" s="63">
        <v>10060027</v>
      </c>
      <c r="J6" t="s">
        <v>156</v>
      </c>
      <c r="K6" s="64">
        <v>309.75</v>
      </c>
      <c r="L6">
        <v>212</v>
      </c>
      <c r="P6" s="63" t="s">
        <v>231</v>
      </c>
      <c r="Q6" s="63">
        <v>10110008</v>
      </c>
      <c r="R6" t="s">
        <v>22</v>
      </c>
      <c r="S6" s="64">
        <v>144000</v>
      </c>
      <c r="T6">
        <v>144000</v>
      </c>
    </row>
    <row r="7" spans="1:20" x14ac:dyDescent="0.25">
      <c r="A7" t="s">
        <v>230</v>
      </c>
      <c r="B7">
        <v>10060027</v>
      </c>
      <c r="C7" t="s">
        <v>74</v>
      </c>
      <c r="D7" s="64">
        <v>360</v>
      </c>
      <c r="G7" t="str">
        <f t="shared" si="0"/>
        <v>100600270080</v>
      </c>
      <c r="H7" s="63" t="s">
        <v>230</v>
      </c>
      <c r="I7" s="63">
        <v>10060027</v>
      </c>
      <c r="J7" t="s">
        <v>74</v>
      </c>
      <c r="K7" s="64">
        <v>360</v>
      </c>
      <c r="L7">
        <v>360</v>
      </c>
      <c r="P7" s="63" t="s">
        <v>231</v>
      </c>
      <c r="Q7" s="63">
        <v>10110153</v>
      </c>
      <c r="R7" t="s">
        <v>22</v>
      </c>
      <c r="S7" s="64">
        <v>1350</v>
      </c>
      <c r="T7">
        <v>1350</v>
      </c>
    </row>
    <row r="8" spans="1:20" x14ac:dyDescent="0.25">
      <c r="A8" t="s">
        <v>230</v>
      </c>
      <c r="B8">
        <v>10060027</v>
      </c>
      <c r="C8" t="s">
        <v>225</v>
      </c>
      <c r="D8" s="64">
        <v>500.25</v>
      </c>
      <c r="G8" t="str">
        <f t="shared" si="0"/>
        <v>100600270150</v>
      </c>
      <c r="H8" s="63" t="s">
        <v>230</v>
      </c>
      <c r="I8" s="63">
        <v>10060027</v>
      </c>
      <c r="J8" t="s">
        <v>225</v>
      </c>
      <c r="K8" s="64">
        <v>500.25</v>
      </c>
      <c r="L8">
        <v>500.25</v>
      </c>
      <c r="P8" s="63" t="s">
        <v>231</v>
      </c>
      <c r="Q8" s="63">
        <v>10110161</v>
      </c>
      <c r="R8" t="s">
        <v>22</v>
      </c>
      <c r="S8" s="64">
        <v>1350</v>
      </c>
      <c r="T8">
        <v>1350</v>
      </c>
    </row>
    <row r="9" spans="1:20" x14ac:dyDescent="0.25">
      <c r="A9" t="s">
        <v>230</v>
      </c>
      <c r="B9">
        <v>10060027</v>
      </c>
      <c r="C9" t="s">
        <v>228</v>
      </c>
      <c r="D9" s="64">
        <v>3600</v>
      </c>
      <c r="G9" t="str">
        <f t="shared" si="0"/>
        <v>100600270282</v>
      </c>
      <c r="H9" s="63" t="s">
        <v>230</v>
      </c>
      <c r="I9" s="63">
        <v>10060027</v>
      </c>
      <c r="J9" t="s">
        <v>228</v>
      </c>
      <c r="K9" s="64">
        <v>3600</v>
      </c>
      <c r="L9">
        <v>3600</v>
      </c>
      <c r="P9" s="63" t="s">
        <v>231</v>
      </c>
      <c r="Q9" s="63">
        <v>10110183</v>
      </c>
      <c r="R9" t="s">
        <v>22</v>
      </c>
      <c r="S9" s="64">
        <v>1350</v>
      </c>
      <c r="T9">
        <v>1350</v>
      </c>
    </row>
    <row r="10" spans="1:20" x14ac:dyDescent="0.25">
      <c r="A10" t="s">
        <v>230</v>
      </c>
      <c r="B10">
        <v>10060027</v>
      </c>
      <c r="C10" t="s">
        <v>226</v>
      </c>
      <c r="D10" s="64">
        <v>885</v>
      </c>
      <c r="G10" t="str">
        <f t="shared" si="0"/>
        <v>100600270294</v>
      </c>
      <c r="H10" s="63" t="s">
        <v>230</v>
      </c>
      <c r="I10" s="63">
        <v>10060027</v>
      </c>
      <c r="J10" t="s">
        <v>226</v>
      </c>
      <c r="K10" s="64">
        <v>885</v>
      </c>
      <c r="L10">
        <v>749</v>
      </c>
      <c r="P10" s="63" t="s">
        <v>231</v>
      </c>
      <c r="Q10" s="63">
        <v>10120010</v>
      </c>
      <c r="R10" t="s">
        <v>22</v>
      </c>
      <c r="S10" s="64">
        <v>2800</v>
      </c>
      <c r="T10">
        <v>2800</v>
      </c>
    </row>
    <row r="11" spans="1:20" x14ac:dyDescent="0.25">
      <c r="A11" t="s">
        <v>230</v>
      </c>
      <c r="B11">
        <v>10060027</v>
      </c>
      <c r="C11" t="s">
        <v>227</v>
      </c>
      <c r="D11" s="64">
        <v>346.5</v>
      </c>
      <c r="G11" t="str">
        <f t="shared" si="0"/>
        <v>100600270306</v>
      </c>
      <c r="H11" s="63" t="s">
        <v>230</v>
      </c>
      <c r="I11" s="63">
        <v>10060027</v>
      </c>
      <c r="J11" t="s">
        <v>227</v>
      </c>
      <c r="K11" s="64">
        <v>346.5</v>
      </c>
      <c r="L11">
        <v>346.5</v>
      </c>
      <c r="P11" s="63" t="s">
        <v>231</v>
      </c>
      <c r="Q11" s="63">
        <v>10120011</v>
      </c>
      <c r="R11" t="s">
        <v>22</v>
      </c>
      <c r="S11" s="64">
        <v>4650</v>
      </c>
      <c r="T11">
        <v>4650</v>
      </c>
    </row>
    <row r="12" spans="1:20" x14ac:dyDescent="0.25">
      <c r="A12" t="s">
        <v>230</v>
      </c>
      <c r="B12">
        <v>10060069</v>
      </c>
      <c r="C12" t="s">
        <v>45</v>
      </c>
      <c r="D12" s="64">
        <v>2700</v>
      </c>
      <c r="G12" t="str">
        <f t="shared" si="0"/>
        <v>100600690009</v>
      </c>
      <c r="H12" s="63" t="s">
        <v>230</v>
      </c>
      <c r="I12" s="63">
        <v>10060069</v>
      </c>
      <c r="J12" t="s">
        <v>45</v>
      </c>
      <c r="K12" s="64">
        <v>2700</v>
      </c>
      <c r="L12">
        <v>2700</v>
      </c>
      <c r="P12" s="63" t="s">
        <v>231</v>
      </c>
      <c r="Q12" s="63">
        <v>10120013</v>
      </c>
      <c r="R12" t="s">
        <v>22</v>
      </c>
      <c r="S12" s="64">
        <v>2800</v>
      </c>
      <c r="T12">
        <v>2800</v>
      </c>
    </row>
    <row r="13" spans="1:20" x14ac:dyDescent="0.25">
      <c r="A13" t="s">
        <v>230</v>
      </c>
      <c r="B13">
        <v>10060090</v>
      </c>
      <c r="C13" t="s">
        <v>83</v>
      </c>
      <c r="D13" s="64">
        <v>2700</v>
      </c>
      <c r="G13" t="str">
        <f t="shared" si="0"/>
        <v>100600900018</v>
      </c>
      <c r="H13" s="63" t="s">
        <v>230</v>
      </c>
      <c r="I13" s="63">
        <v>10060090</v>
      </c>
      <c r="J13" t="s">
        <v>83</v>
      </c>
      <c r="K13" s="64">
        <v>2700</v>
      </c>
      <c r="L13">
        <v>2700</v>
      </c>
      <c r="P13" s="63" t="s">
        <v>231</v>
      </c>
      <c r="Q13" s="63">
        <v>10120022</v>
      </c>
      <c r="R13" t="s">
        <v>22</v>
      </c>
      <c r="S13" s="64">
        <v>640</v>
      </c>
      <c r="T13">
        <v>640</v>
      </c>
    </row>
    <row r="14" spans="1:20" x14ac:dyDescent="0.25">
      <c r="A14" t="s">
        <v>230</v>
      </c>
      <c r="B14">
        <v>10110001</v>
      </c>
      <c r="C14" t="s">
        <v>22</v>
      </c>
      <c r="D14" s="64">
        <v>2700</v>
      </c>
      <c r="G14" t="str">
        <f t="shared" si="0"/>
        <v>101100010002</v>
      </c>
      <c r="H14" s="63" t="s">
        <v>230</v>
      </c>
      <c r="I14" s="63">
        <v>10110001</v>
      </c>
      <c r="J14" t="s">
        <v>22</v>
      </c>
      <c r="K14" s="64">
        <v>2700</v>
      </c>
      <c r="L14">
        <v>2700</v>
      </c>
      <c r="P14" s="63" t="s">
        <v>231</v>
      </c>
      <c r="Q14" s="63">
        <v>10120049</v>
      </c>
      <c r="R14" t="s">
        <v>22</v>
      </c>
      <c r="S14" s="64">
        <v>3100</v>
      </c>
      <c r="T14">
        <v>3100</v>
      </c>
    </row>
    <row r="15" spans="1:20" x14ac:dyDescent="0.25">
      <c r="A15" t="s">
        <v>230</v>
      </c>
      <c r="B15">
        <v>10110021</v>
      </c>
      <c r="C15" t="s">
        <v>76</v>
      </c>
      <c r="D15" s="64">
        <v>2700</v>
      </c>
      <c r="G15" t="str">
        <f t="shared" si="0"/>
        <v>101100210030</v>
      </c>
      <c r="H15" s="63" t="s">
        <v>230</v>
      </c>
      <c r="I15" s="63">
        <v>10110021</v>
      </c>
      <c r="J15" t="s">
        <v>76</v>
      </c>
      <c r="K15" s="64">
        <v>2700</v>
      </c>
      <c r="L15">
        <v>2700</v>
      </c>
      <c r="P15" s="63" t="s">
        <v>231</v>
      </c>
      <c r="Q15" s="63">
        <v>10130005</v>
      </c>
      <c r="R15" t="s">
        <v>22</v>
      </c>
      <c r="S15" s="64">
        <v>1400</v>
      </c>
      <c r="T15">
        <v>1400</v>
      </c>
    </row>
    <row r="16" spans="1:20" x14ac:dyDescent="0.25">
      <c r="A16" t="s">
        <v>230</v>
      </c>
      <c r="B16">
        <v>10110076</v>
      </c>
      <c r="C16" t="s">
        <v>56</v>
      </c>
      <c r="D16" s="64">
        <v>9100</v>
      </c>
      <c r="G16" t="str">
        <f t="shared" si="0"/>
        <v>101100760004</v>
      </c>
      <c r="H16" s="63" t="s">
        <v>230</v>
      </c>
      <c r="I16" s="63">
        <v>10110076</v>
      </c>
      <c r="J16" t="s">
        <v>56</v>
      </c>
      <c r="K16" s="64">
        <v>9100</v>
      </c>
      <c r="L16">
        <v>9100</v>
      </c>
      <c r="P16" s="63" t="s">
        <v>231</v>
      </c>
      <c r="Q16" s="63">
        <v>10130018</v>
      </c>
      <c r="R16" t="s">
        <v>22</v>
      </c>
      <c r="S16" s="64">
        <v>1400</v>
      </c>
      <c r="T16">
        <v>1400</v>
      </c>
    </row>
    <row r="17" spans="1:20" x14ac:dyDescent="0.25">
      <c r="A17" t="s">
        <v>230</v>
      </c>
      <c r="B17">
        <v>10110076</v>
      </c>
      <c r="C17" t="s">
        <v>224</v>
      </c>
      <c r="D17" s="64">
        <v>10400</v>
      </c>
      <c r="G17" t="str">
        <f t="shared" si="0"/>
        <v>101100760008</v>
      </c>
      <c r="H17" s="63" t="s">
        <v>230</v>
      </c>
      <c r="I17" s="63">
        <v>10110076</v>
      </c>
      <c r="J17" t="s">
        <v>224</v>
      </c>
      <c r="K17" s="64">
        <v>10400</v>
      </c>
      <c r="L17">
        <v>10038</v>
      </c>
      <c r="P17" s="63" t="s">
        <v>231</v>
      </c>
      <c r="Q17" s="63">
        <v>10130031</v>
      </c>
      <c r="R17" t="s">
        <v>22</v>
      </c>
      <c r="S17" s="64">
        <v>1669</v>
      </c>
      <c r="T17">
        <v>1669</v>
      </c>
    </row>
    <row r="18" spans="1:20" x14ac:dyDescent="0.25">
      <c r="A18" t="s">
        <v>230</v>
      </c>
      <c r="B18">
        <v>10110086</v>
      </c>
      <c r="C18" t="s">
        <v>22</v>
      </c>
      <c r="D18" s="64">
        <v>12150</v>
      </c>
      <c r="G18" t="str">
        <f t="shared" si="0"/>
        <v>101100860002</v>
      </c>
      <c r="H18" s="63" t="s">
        <v>230</v>
      </c>
      <c r="I18" s="63">
        <v>10110086</v>
      </c>
      <c r="J18" t="s">
        <v>22</v>
      </c>
      <c r="K18" s="64">
        <v>12150</v>
      </c>
      <c r="L18">
        <v>4256</v>
      </c>
      <c r="P18" s="63" t="s">
        <v>231</v>
      </c>
      <c r="Q18" s="63">
        <v>10130081</v>
      </c>
      <c r="R18" t="s">
        <v>22</v>
      </c>
      <c r="S18" s="64">
        <v>1400</v>
      </c>
      <c r="T18">
        <v>1400</v>
      </c>
    </row>
    <row r="19" spans="1:20" x14ac:dyDescent="0.25">
      <c r="A19" t="s">
        <v>230</v>
      </c>
      <c r="B19">
        <v>10110123</v>
      </c>
      <c r="C19" t="s">
        <v>78</v>
      </c>
      <c r="D19" s="64">
        <v>1400</v>
      </c>
      <c r="G19" t="str">
        <f t="shared" si="0"/>
        <v>101101230006</v>
      </c>
      <c r="H19" s="63" t="s">
        <v>230</v>
      </c>
      <c r="I19" s="63">
        <v>10110123</v>
      </c>
      <c r="J19" t="s">
        <v>78</v>
      </c>
      <c r="K19" s="64">
        <v>1400</v>
      </c>
      <c r="L19">
        <v>1400</v>
      </c>
      <c r="P19" s="63" t="s">
        <v>231</v>
      </c>
      <c r="Q19" s="63">
        <v>10130122</v>
      </c>
      <c r="R19" t="s">
        <v>22</v>
      </c>
      <c r="S19" s="64">
        <v>2638</v>
      </c>
      <c r="T19">
        <v>2638</v>
      </c>
    </row>
    <row r="20" spans="1:20" x14ac:dyDescent="0.25">
      <c r="A20" t="s">
        <v>230</v>
      </c>
      <c r="B20">
        <v>10110123</v>
      </c>
      <c r="C20" t="s">
        <v>25</v>
      </c>
      <c r="D20" s="64">
        <v>2800</v>
      </c>
      <c r="G20" t="str">
        <f t="shared" si="0"/>
        <v>101101230007</v>
      </c>
      <c r="H20" s="63" t="s">
        <v>230</v>
      </c>
      <c r="I20" s="63">
        <v>10110123</v>
      </c>
      <c r="J20" t="s">
        <v>25</v>
      </c>
      <c r="K20" s="64">
        <v>2800</v>
      </c>
      <c r="L20">
        <v>2800</v>
      </c>
      <c r="P20" s="63" t="s">
        <v>231</v>
      </c>
      <c r="Q20" s="63">
        <v>10530015</v>
      </c>
      <c r="R20" t="s">
        <v>22</v>
      </c>
      <c r="S20" s="64">
        <v>2800</v>
      </c>
      <c r="T20">
        <v>2800</v>
      </c>
    </row>
    <row r="21" spans="1:20" x14ac:dyDescent="0.25">
      <c r="A21" t="s">
        <v>230</v>
      </c>
      <c r="B21">
        <v>10110123</v>
      </c>
      <c r="C21" t="s">
        <v>138</v>
      </c>
      <c r="D21" s="64">
        <v>1400</v>
      </c>
      <c r="G21" t="str">
        <f t="shared" si="0"/>
        <v>101101230011</v>
      </c>
      <c r="H21" s="63" t="s">
        <v>230</v>
      </c>
      <c r="I21" s="63">
        <v>10110123</v>
      </c>
      <c r="J21" t="s">
        <v>138</v>
      </c>
      <c r="K21" s="64">
        <v>1400</v>
      </c>
      <c r="L21">
        <v>1400</v>
      </c>
      <c r="P21" s="63" t="s">
        <v>231</v>
      </c>
      <c r="Q21" s="63">
        <v>10530031</v>
      </c>
      <c r="R21" t="s">
        <v>22</v>
      </c>
      <c r="S21" s="64">
        <v>1550</v>
      </c>
      <c r="T21">
        <v>1550</v>
      </c>
    </row>
    <row r="22" spans="1:20" x14ac:dyDescent="0.25">
      <c r="A22" t="s">
        <v>230</v>
      </c>
      <c r="B22">
        <v>10110124</v>
      </c>
      <c r="C22" t="s">
        <v>45</v>
      </c>
      <c r="D22" s="64">
        <v>1400</v>
      </c>
      <c r="G22" t="str">
        <f t="shared" si="0"/>
        <v>101101240009</v>
      </c>
      <c r="H22" s="63" t="s">
        <v>230</v>
      </c>
      <c r="I22" s="63">
        <v>10110124</v>
      </c>
      <c r="J22" t="s">
        <v>45</v>
      </c>
      <c r="K22" s="64">
        <v>1400</v>
      </c>
      <c r="L22">
        <v>1400</v>
      </c>
      <c r="P22" s="63" t="s">
        <v>231</v>
      </c>
      <c r="Q22" s="63">
        <v>10530038</v>
      </c>
      <c r="R22" t="s">
        <v>39</v>
      </c>
      <c r="S22" s="64">
        <v>1400</v>
      </c>
      <c r="T22">
        <v>1400</v>
      </c>
    </row>
    <row r="23" spans="1:20" x14ac:dyDescent="0.25">
      <c r="A23" t="s">
        <v>230</v>
      </c>
      <c r="B23">
        <v>10110144</v>
      </c>
      <c r="C23" t="s">
        <v>22</v>
      </c>
      <c r="D23" s="64">
        <v>3149</v>
      </c>
      <c r="G23" t="str">
        <f t="shared" si="0"/>
        <v>101101440002</v>
      </c>
      <c r="H23" s="63" t="s">
        <v>230</v>
      </c>
      <c r="I23" s="63">
        <v>10110144</v>
      </c>
      <c r="J23" t="s">
        <v>22</v>
      </c>
      <c r="K23" s="64">
        <v>3149</v>
      </c>
      <c r="L23">
        <v>3149</v>
      </c>
      <c r="P23" s="63" t="s">
        <v>231</v>
      </c>
      <c r="Q23" s="63">
        <v>10530069</v>
      </c>
      <c r="R23" t="s">
        <v>189</v>
      </c>
      <c r="S23" s="64">
        <v>1550</v>
      </c>
      <c r="T23">
        <v>1550</v>
      </c>
    </row>
    <row r="24" spans="1:20" x14ac:dyDescent="0.25">
      <c r="A24" t="s">
        <v>230</v>
      </c>
      <c r="B24">
        <v>10110168</v>
      </c>
      <c r="C24" t="s">
        <v>22</v>
      </c>
      <c r="D24" s="64">
        <v>10800</v>
      </c>
      <c r="G24" t="str">
        <f t="shared" si="0"/>
        <v>101101680002</v>
      </c>
      <c r="H24" s="63" t="s">
        <v>230</v>
      </c>
      <c r="I24" s="63">
        <v>10110168</v>
      </c>
      <c r="J24" t="s">
        <v>22</v>
      </c>
      <c r="K24" s="64">
        <v>10800</v>
      </c>
      <c r="L24">
        <v>10800</v>
      </c>
      <c r="P24" s="63" t="s">
        <v>231</v>
      </c>
      <c r="Q24" s="63">
        <v>10530117</v>
      </c>
      <c r="R24" t="s">
        <v>22</v>
      </c>
      <c r="S24" s="64">
        <v>24375</v>
      </c>
      <c r="T24">
        <v>24375</v>
      </c>
    </row>
    <row r="25" spans="1:20" x14ac:dyDescent="0.25">
      <c r="A25" t="s">
        <v>230</v>
      </c>
      <c r="B25">
        <v>10120007</v>
      </c>
      <c r="C25" t="s">
        <v>46</v>
      </c>
      <c r="D25" s="64">
        <v>588</v>
      </c>
      <c r="G25" t="str">
        <f t="shared" si="0"/>
        <v>101200070014</v>
      </c>
      <c r="H25" s="63" t="s">
        <v>230</v>
      </c>
      <c r="I25" s="63">
        <v>10120007</v>
      </c>
      <c r="J25" t="s">
        <v>46</v>
      </c>
      <c r="K25" s="64">
        <v>588</v>
      </c>
      <c r="L25">
        <v>588</v>
      </c>
      <c r="P25" s="65" t="s">
        <v>231</v>
      </c>
      <c r="Q25" s="63">
        <v>10660010</v>
      </c>
      <c r="R25" t="s">
        <v>53</v>
      </c>
      <c r="S25" s="64">
        <v>1001</v>
      </c>
      <c r="T25">
        <v>1001</v>
      </c>
    </row>
    <row r="26" spans="1:20" x14ac:dyDescent="0.25">
      <c r="A26" t="s">
        <v>230</v>
      </c>
      <c r="B26">
        <v>10120007</v>
      </c>
      <c r="C26" t="s">
        <v>39</v>
      </c>
      <c r="D26" s="64">
        <v>1400</v>
      </c>
      <c r="G26" t="str">
        <f t="shared" si="0"/>
        <v>101200070038</v>
      </c>
      <c r="H26" s="63" t="s">
        <v>230</v>
      </c>
      <c r="I26" s="63">
        <v>10120007</v>
      </c>
      <c r="J26" t="s">
        <v>39</v>
      </c>
      <c r="K26" s="64">
        <v>1400</v>
      </c>
      <c r="L26">
        <v>1400</v>
      </c>
      <c r="P26" s="66" t="s">
        <v>235</v>
      </c>
      <c r="Q26" s="66"/>
      <c r="R26" s="66"/>
      <c r="S26" s="70">
        <v>203223.5</v>
      </c>
      <c r="T26" s="70">
        <f>SUM(T5:T25)</f>
        <v>203223.5</v>
      </c>
    </row>
    <row r="27" spans="1:20" x14ac:dyDescent="0.25">
      <c r="A27" t="s">
        <v>230</v>
      </c>
      <c r="B27">
        <v>10120007</v>
      </c>
      <c r="C27" t="s">
        <v>127</v>
      </c>
      <c r="D27" s="64">
        <v>347</v>
      </c>
      <c r="G27" t="str">
        <f t="shared" si="0"/>
        <v>101200070079</v>
      </c>
      <c r="H27" s="63" t="s">
        <v>230</v>
      </c>
      <c r="I27" s="63">
        <v>10120007</v>
      </c>
      <c r="J27" t="s">
        <v>127</v>
      </c>
      <c r="K27" s="64">
        <v>347</v>
      </c>
      <c r="L27">
        <v>347</v>
      </c>
    </row>
    <row r="28" spans="1:20" x14ac:dyDescent="0.25">
      <c r="A28" t="s">
        <v>230</v>
      </c>
      <c r="B28">
        <v>10120007</v>
      </c>
      <c r="C28" t="s">
        <v>124</v>
      </c>
      <c r="D28" s="64">
        <v>1400</v>
      </c>
      <c r="G28" t="str">
        <f t="shared" si="0"/>
        <v>101200070105</v>
      </c>
      <c r="H28" s="63" t="s">
        <v>230</v>
      </c>
      <c r="I28" s="63">
        <v>10120007</v>
      </c>
      <c r="J28" t="s">
        <v>124</v>
      </c>
      <c r="K28" s="64">
        <v>1400</v>
      </c>
      <c r="L28">
        <v>1400</v>
      </c>
    </row>
    <row r="29" spans="1:20" x14ac:dyDescent="0.25">
      <c r="A29" t="s">
        <v>230</v>
      </c>
      <c r="B29">
        <v>10120007</v>
      </c>
      <c r="C29" t="s">
        <v>44</v>
      </c>
      <c r="D29" s="64">
        <v>1400</v>
      </c>
      <c r="G29" t="str">
        <f t="shared" si="0"/>
        <v>101200070107</v>
      </c>
      <c r="H29" s="63" t="s">
        <v>230</v>
      </c>
      <c r="I29" s="63">
        <v>10120007</v>
      </c>
      <c r="J29" t="s">
        <v>44</v>
      </c>
      <c r="K29" s="64">
        <v>1400</v>
      </c>
      <c r="L29">
        <v>1400</v>
      </c>
    </row>
    <row r="30" spans="1:20" x14ac:dyDescent="0.25">
      <c r="A30" t="s">
        <v>230</v>
      </c>
      <c r="B30">
        <v>10120007</v>
      </c>
      <c r="C30" t="s">
        <v>126</v>
      </c>
      <c r="D30" s="64">
        <v>1400</v>
      </c>
      <c r="G30" t="str">
        <f t="shared" si="0"/>
        <v>101200070127</v>
      </c>
      <c r="H30" s="63" t="s">
        <v>230</v>
      </c>
      <c r="I30" s="63">
        <v>10120007</v>
      </c>
      <c r="J30" t="s">
        <v>126</v>
      </c>
      <c r="K30" s="64">
        <v>1400</v>
      </c>
      <c r="L30">
        <v>1166</v>
      </c>
    </row>
    <row r="31" spans="1:20" x14ac:dyDescent="0.25">
      <c r="A31" t="s">
        <v>230</v>
      </c>
      <c r="B31">
        <v>10120007</v>
      </c>
      <c r="C31" t="s">
        <v>48</v>
      </c>
      <c r="D31" s="64">
        <v>1400</v>
      </c>
      <c r="G31" t="str">
        <f t="shared" si="0"/>
        <v>101200070149</v>
      </c>
      <c r="H31" s="63" t="s">
        <v>230</v>
      </c>
      <c r="I31" s="63">
        <v>10120007</v>
      </c>
      <c r="J31" t="s">
        <v>48</v>
      </c>
      <c r="K31" s="64">
        <v>1400</v>
      </c>
      <c r="L31">
        <v>1305</v>
      </c>
    </row>
    <row r="32" spans="1:20" x14ac:dyDescent="0.25">
      <c r="A32" t="s">
        <v>230</v>
      </c>
      <c r="B32">
        <v>10120017</v>
      </c>
      <c r="C32" t="s">
        <v>22</v>
      </c>
      <c r="D32" s="64">
        <v>9148</v>
      </c>
      <c r="G32" t="str">
        <f t="shared" si="0"/>
        <v>101200170002</v>
      </c>
      <c r="H32" s="63" t="s">
        <v>230</v>
      </c>
      <c r="I32" s="63">
        <v>10120017</v>
      </c>
      <c r="J32" t="s">
        <v>22</v>
      </c>
      <c r="K32" s="64">
        <v>9148</v>
      </c>
      <c r="L32">
        <v>9148</v>
      </c>
    </row>
    <row r="33" spans="1:12" x14ac:dyDescent="0.25">
      <c r="A33" t="s">
        <v>230</v>
      </c>
      <c r="B33">
        <v>10120031</v>
      </c>
      <c r="C33" t="s">
        <v>22</v>
      </c>
      <c r="D33" s="64">
        <v>2800</v>
      </c>
      <c r="G33" t="str">
        <f t="shared" si="0"/>
        <v>101200310002</v>
      </c>
      <c r="H33" s="63" t="s">
        <v>230</v>
      </c>
      <c r="I33" s="63">
        <v>10120031</v>
      </c>
      <c r="J33" t="s">
        <v>22</v>
      </c>
      <c r="K33" s="64">
        <v>2800</v>
      </c>
      <c r="L33">
        <v>2800</v>
      </c>
    </row>
    <row r="34" spans="1:12" x14ac:dyDescent="0.25">
      <c r="A34" t="s">
        <v>230</v>
      </c>
      <c r="B34">
        <v>10120034</v>
      </c>
      <c r="C34" t="s">
        <v>22</v>
      </c>
      <c r="D34" s="64">
        <v>4200</v>
      </c>
      <c r="G34" t="str">
        <f t="shared" si="0"/>
        <v>101200340002</v>
      </c>
      <c r="H34" s="63" t="s">
        <v>230</v>
      </c>
      <c r="I34" s="63">
        <v>10120034</v>
      </c>
      <c r="J34" t="s">
        <v>22</v>
      </c>
      <c r="K34" s="64">
        <v>4200</v>
      </c>
      <c r="L34">
        <v>1483</v>
      </c>
    </row>
    <row r="35" spans="1:12" x14ac:dyDescent="0.25">
      <c r="A35" t="s">
        <v>230</v>
      </c>
      <c r="B35">
        <v>10120052</v>
      </c>
      <c r="C35" t="s">
        <v>22</v>
      </c>
      <c r="D35" s="64">
        <v>2800</v>
      </c>
      <c r="G35" t="str">
        <f t="shared" si="0"/>
        <v>101200520002</v>
      </c>
      <c r="H35" s="63" t="s">
        <v>230</v>
      </c>
      <c r="I35" s="63">
        <v>10120052</v>
      </c>
      <c r="J35" t="s">
        <v>22</v>
      </c>
      <c r="K35" s="64">
        <v>2800</v>
      </c>
      <c r="L35">
        <v>2800</v>
      </c>
    </row>
    <row r="36" spans="1:12" x14ac:dyDescent="0.25">
      <c r="A36" t="s">
        <v>230</v>
      </c>
      <c r="B36">
        <v>10120089</v>
      </c>
      <c r="C36" t="s">
        <v>22</v>
      </c>
      <c r="D36" s="64">
        <v>1400</v>
      </c>
      <c r="G36" t="str">
        <f t="shared" si="0"/>
        <v>101200890002</v>
      </c>
      <c r="H36" s="63" t="s">
        <v>230</v>
      </c>
      <c r="I36" s="63">
        <v>10120089</v>
      </c>
      <c r="J36" t="s">
        <v>22</v>
      </c>
      <c r="K36" s="64">
        <v>1400</v>
      </c>
      <c r="L36">
        <v>1400</v>
      </c>
    </row>
    <row r="37" spans="1:12" x14ac:dyDescent="0.25">
      <c r="A37" t="s">
        <v>230</v>
      </c>
      <c r="B37">
        <v>10120094</v>
      </c>
      <c r="C37" t="s">
        <v>22</v>
      </c>
      <c r="D37" s="64">
        <v>7000</v>
      </c>
      <c r="G37" t="str">
        <f t="shared" si="0"/>
        <v>101200940002</v>
      </c>
      <c r="H37" s="63" t="s">
        <v>230</v>
      </c>
      <c r="I37" s="63">
        <v>10120094</v>
      </c>
      <c r="J37" t="s">
        <v>22</v>
      </c>
      <c r="K37" s="64">
        <v>7000</v>
      </c>
      <c r="L37">
        <v>5077</v>
      </c>
    </row>
    <row r="38" spans="1:12" x14ac:dyDescent="0.25">
      <c r="A38" t="s">
        <v>230</v>
      </c>
      <c r="B38">
        <v>10120104</v>
      </c>
      <c r="C38" t="s">
        <v>22</v>
      </c>
      <c r="D38" s="64">
        <v>1400</v>
      </c>
      <c r="G38" t="str">
        <f t="shared" si="0"/>
        <v>101201040002</v>
      </c>
      <c r="H38" s="63" t="s">
        <v>230</v>
      </c>
      <c r="I38" s="63">
        <v>10120104</v>
      </c>
      <c r="J38" t="s">
        <v>22</v>
      </c>
      <c r="K38" s="64">
        <v>1400</v>
      </c>
      <c r="L38">
        <v>1400</v>
      </c>
    </row>
    <row r="39" spans="1:12" x14ac:dyDescent="0.25">
      <c r="A39" t="s">
        <v>230</v>
      </c>
      <c r="B39">
        <v>10120120</v>
      </c>
      <c r="C39" t="s">
        <v>22</v>
      </c>
      <c r="D39" s="64">
        <v>7000</v>
      </c>
      <c r="G39" t="str">
        <f t="shared" si="0"/>
        <v>101201200002</v>
      </c>
      <c r="H39" s="63" t="s">
        <v>230</v>
      </c>
      <c r="I39" s="63">
        <v>10120120</v>
      </c>
      <c r="J39" t="s">
        <v>22</v>
      </c>
      <c r="K39" s="64">
        <v>7000</v>
      </c>
      <c r="L39">
        <v>3580</v>
      </c>
    </row>
    <row r="40" spans="1:12" x14ac:dyDescent="0.25">
      <c r="A40" t="s">
        <v>230</v>
      </c>
      <c r="B40">
        <v>10120122</v>
      </c>
      <c r="C40" t="s">
        <v>22</v>
      </c>
      <c r="D40" s="64">
        <v>14192</v>
      </c>
      <c r="G40" t="str">
        <f t="shared" si="0"/>
        <v>101201220002</v>
      </c>
      <c r="H40" s="63" t="s">
        <v>230</v>
      </c>
      <c r="I40" s="63">
        <v>10120122</v>
      </c>
      <c r="J40" t="s">
        <v>22</v>
      </c>
      <c r="K40" s="64">
        <v>14192</v>
      </c>
      <c r="L40">
        <v>0</v>
      </c>
    </row>
    <row r="41" spans="1:12" x14ac:dyDescent="0.25">
      <c r="A41" t="s">
        <v>230</v>
      </c>
      <c r="B41">
        <v>10130006</v>
      </c>
      <c r="C41" t="s">
        <v>208</v>
      </c>
      <c r="D41" s="64">
        <v>728</v>
      </c>
      <c r="G41" t="str">
        <f t="shared" si="0"/>
        <v>101300060000</v>
      </c>
      <c r="H41" s="63" t="s">
        <v>230</v>
      </c>
      <c r="I41" s="63">
        <v>10130006</v>
      </c>
      <c r="J41" t="s">
        <v>208</v>
      </c>
      <c r="K41" s="64">
        <v>728</v>
      </c>
      <c r="L41">
        <v>0</v>
      </c>
    </row>
    <row r="42" spans="1:12" x14ac:dyDescent="0.25">
      <c r="A42" t="s">
        <v>230</v>
      </c>
      <c r="B42">
        <v>10130047</v>
      </c>
      <c r="C42" t="s">
        <v>45</v>
      </c>
      <c r="D42" s="64">
        <v>286</v>
      </c>
      <c r="G42" t="str">
        <f t="shared" si="0"/>
        <v>101300470009</v>
      </c>
      <c r="H42" s="63" t="s">
        <v>230</v>
      </c>
      <c r="I42" s="63">
        <v>10130047</v>
      </c>
      <c r="J42" t="s">
        <v>45</v>
      </c>
      <c r="K42" s="64">
        <v>286</v>
      </c>
      <c r="L42">
        <v>286</v>
      </c>
    </row>
    <row r="43" spans="1:12" x14ac:dyDescent="0.25">
      <c r="A43" t="s">
        <v>230</v>
      </c>
      <c r="B43">
        <v>10130073</v>
      </c>
      <c r="C43" t="s">
        <v>22</v>
      </c>
      <c r="D43" s="64">
        <v>6200</v>
      </c>
      <c r="G43" t="str">
        <f t="shared" si="0"/>
        <v>101300730002</v>
      </c>
      <c r="H43" s="63" t="s">
        <v>230</v>
      </c>
      <c r="I43" s="63">
        <v>10130073</v>
      </c>
      <c r="J43" t="s">
        <v>22</v>
      </c>
      <c r="K43" s="64">
        <v>6200</v>
      </c>
      <c r="L43">
        <v>4448</v>
      </c>
    </row>
    <row r="44" spans="1:12" x14ac:dyDescent="0.25">
      <c r="A44" t="s">
        <v>230</v>
      </c>
      <c r="B44">
        <v>10140001</v>
      </c>
      <c r="C44" t="s">
        <v>213</v>
      </c>
      <c r="D44" s="64">
        <v>6650</v>
      </c>
      <c r="G44" t="str">
        <f t="shared" si="0"/>
        <v>101400010088</v>
      </c>
      <c r="H44" s="63" t="s">
        <v>230</v>
      </c>
      <c r="I44" s="63">
        <v>10140001</v>
      </c>
      <c r="J44" t="s">
        <v>213</v>
      </c>
      <c r="K44" s="64">
        <v>6650</v>
      </c>
      <c r="L44">
        <v>6650</v>
      </c>
    </row>
    <row r="45" spans="1:12" x14ac:dyDescent="0.25">
      <c r="A45" t="s">
        <v>230</v>
      </c>
      <c r="B45">
        <v>10140011</v>
      </c>
      <c r="C45" t="s">
        <v>22</v>
      </c>
      <c r="D45" s="64">
        <v>3990</v>
      </c>
      <c r="G45" t="str">
        <f t="shared" si="0"/>
        <v>101400110002</v>
      </c>
      <c r="H45" s="63" t="s">
        <v>230</v>
      </c>
      <c r="I45" s="63">
        <v>10140011</v>
      </c>
      <c r="J45" t="s">
        <v>22</v>
      </c>
      <c r="K45" s="64">
        <v>3990</v>
      </c>
      <c r="L45">
        <v>3990</v>
      </c>
    </row>
    <row r="46" spans="1:12" x14ac:dyDescent="0.25">
      <c r="A46" t="s">
        <v>230</v>
      </c>
      <c r="B46">
        <v>10140137</v>
      </c>
      <c r="C46" t="s">
        <v>22</v>
      </c>
      <c r="D46" s="64">
        <v>2141.54</v>
      </c>
      <c r="G46" t="str">
        <f t="shared" si="0"/>
        <v>101401370002</v>
      </c>
      <c r="H46" s="63" t="s">
        <v>230</v>
      </c>
      <c r="I46" s="63">
        <v>10140137</v>
      </c>
      <c r="J46" t="s">
        <v>22</v>
      </c>
      <c r="K46" s="64">
        <v>2141.54</v>
      </c>
      <c r="L46">
        <v>795</v>
      </c>
    </row>
    <row r="47" spans="1:12" x14ac:dyDescent="0.25">
      <c r="A47" t="s">
        <v>230</v>
      </c>
      <c r="B47">
        <v>10140137</v>
      </c>
      <c r="C47" t="s">
        <v>56</v>
      </c>
      <c r="D47" s="64">
        <v>3905.17</v>
      </c>
      <c r="G47" t="str">
        <f t="shared" si="0"/>
        <v>101401370004</v>
      </c>
      <c r="H47" s="63" t="s">
        <v>230</v>
      </c>
      <c r="I47" s="63">
        <v>10140137</v>
      </c>
      <c r="J47" t="s">
        <v>56</v>
      </c>
      <c r="K47" s="64">
        <v>3905.17</v>
      </c>
      <c r="L47">
        <v>3905.17</v>
      </c>
    </row>
    <row r="48" spans="1:12" x14ac:dyDescent="0.25">
      <c r="A48" t="s">
        <v>230</v>
      </c>
      <c r="B48">
        <v>10140173</v>
      </c>
      <c r="C48" t="s">
        <v>34</v>
      </c>
      <c r="D48" s="64">
        <v>6650</v>
      </c>
      <c r="G48" t="str">
        <f t="shared" si="0"/>
        <v>101401730003</v>
      </c>
      <c r="H48" s="63" t="s">
        <v>230</v>
      </c>
      <c r="I48" s="63">
        <v>10140173</v>
      </c>
      <c r="J48" t="s">
        <v>34</v>
      </c>
      <c r="K48" s="64">
        <v>6650</v>
      </c>
      <c r="L48">
        <v>6650</v>
      </c>
    </row>
    <row r="49" spans="1:12" x14ac:dyDescent="0.25">
      <c r="A49" t="s">
        <v>230</v>
      </c>
      <c r="B49">
        <v>10140180</v>
      </c>
      <c r="C49" t="s">
        <v>22</v>
      </c>
      <c r="D49" s="64">
        <v>290.38</v>
      </c>
      <c r="G49" t="str">
        <f t="shared" si="0"/>
        <v>101401800002</v>
      </c>
      <c r="H49" s="63" t="s">
        <v>230</v>
      </c>
      <c r="I49" s="63">
        <v>10140180</v>
      </c>
      <c r="J49" t="s">
        <v>22</v>
      </c>
      <c r="K49" s="64">
        <v>290.38</v>
      </c>
      <c r="L49">
        <v>290.38</v>
      </c>
    </row>
    <row r="50" spans="1:12" x14ac:dyDescent="0.25">
      <c r="A50" t="s">
        <v>230</v>
      </c>
      <c r="B50">
        <v>10140180</v>
      </c>
      <c r="C50" t="s">
        <v>34</v>
      </c>
      <c r="D50" s="64">
        <v>854.23</v>
      </c>
      <c r="G50" t="str">
        <f t="shared" si="0"/>
        <v>101401800003</v>
      </c>
      <c r="H50" s="63" t="s">
        <v>230</v>
      </c>
      <c r="I50" s="63">
        <v>10140180</v>
      </c>
      <c r="J50" t="s">
        <v>34</v>
      </c>
      <c r="K50" s="64">
        <v>854.23</v>
      </c>
      <c r="L50">
        <v>854.23</v>
      </c>
    </row>
    <row r="51" spans="1:12" x14ac:dyDescent="0.25">
      <c r="A51" t="s">
        <v>230</v>
      </c>
      <c r="B51">
        <v>10140180</v>
      </c>
      <c r="C51" t="s">
        <v>25</v>
      </c>
      <c r="D51" s="64">
        <v>1097.5700000000002</v>
      </c>
      <c r="G51" t="str">
        <f t="shared" si="0"/>
        <v>101401800007</v>
      </c>
      <c r="H51" s="63" t="s">
        <v>230</v>
      </c>
      <c r="I51" s="63">
        <v>10140180</v>
      </c>
      <c r="J51" t="s">
        <v>25</v>
      </c>
      <c r="K51" s="64">
        <v>1097.5700000000002</v>
      </c>
      <c r="L51">
        <v>1097.5700000000002</v>
      </c>
    </row>
    <row r="52" spans="1:12" x14ac:dyDescent="0.25">
      <c r="A52" t="s">
        <v>230</v>
      </c>
      <c r="B52">
        <v>10430001</v>
      </c>
      <c r="C52" t="s">
        <v>22</v>
      </c>
      <c r="D52" s="64">
        <v>1350</v>
      </c>
      <c r="G52" t="str">
        <f t="shared" si="0"/>
        <v>104300010002</v>
      </c>
      <c r="H52" s="63" t="s">
        <v>230</v>
      </c>
      <c r="I52" s="63">
        <v>10430001</v>
      </c>
      <c r="J52" t="s">
        <v>22</v>
      </c>
      <c r="K52" s="64">
        <v>1350</v>
      </c>
      <c r="L52">
        <v>0</v>
      </c>
    </row>
    <row r="53" spans="1:12" x14ac:dyDescent="0.25">
      <c r="A53" t="s">
        <v>230</v>
      </c>
      <c r="B53">
        <v>10530001</v>
      </c>
      <c r="C53" t="s">
        <v>78</v>
      </c>
      <c r="D53" s="64">
        <v>2800</v>
      </c>
      <c r="G53" t="str">
        <f t="shared" si="0"/>
        <v>105300010006</v>
      </c>
      <c r="H53" s="63" t="s">
        <v>230</v>
      </c>
      <c r="I53" s="63">
        <v>10530001</v>
      </c>
      <c r="J53" t="s">
        <v>78</v>
      </c>
      <c r="K53" s="64">
        <v>2800</v>
      </c>
      <c r="L53">
        <v>2800</v>
      </c>
    </row>
    <row r="54" spans="1:12" x14ac:dyDescent="0.25">
      <c r="A54" t="s">
        <v>230</v>
      </c>
      <c r="B54">
        <v>10530002</v>
      </c>
      <c r="C54" t="s">
        <v>22</v>
      </c>
      <c r="D54" s="64">
        <v>980</v>
      </c>
      <c r="G54" t="str">
        <f t="shared" si="0"/>
        <v>105300020002</v>
      </c>
      <c r="H54" s="63" t="s">
        <v>230</v>
      </c>
      <c r="I54" s="63">
        <v>10530002</v>
      </c>
      <c r="J54" t="s">
        <v>22</v>
      </c>
      <c r="K54" s="64">
        <v>980</v>
      </c>
      <c r="L54">
        <v>980</v>
      </c>
    </row>
    <row r="55" spans="1:12" x14ac:dyDescent="0.25">
      <c r="A55" t="s">
        <v>230</v>
      </c>
      <c r="B55">
        <v>10530002</v>
      </c>
      <c r="C55" t="s">
        <v>57</v>
      </c>
      <c r="D55" s="64">
        <v>928</v>
      </c>
      <c r="G55" t="str">
        <f t="shared" si="0"/>
        <v>105300020013</v>
      </c>
      <c r="H55" s="63" t="s">
        <v>230</v>
      </c>
      <c r="I55" s="63">
        <v>10530002</v>
      </c>
      <c r="J55" t="s">
        <v>57</v>
      </c>
      <c r="K55" s="64">
        <v>928</v>
      </c>
      <c r="L55">
        <v>600</v>
      </c>
    </row>
    <row r="56" spans="1:12" x14ac:dyDescent="0.25">
      <c r="A56" t="s">
        <v>230</v>
      </c>
      <c r="B56">
        <v>10530003</v>
      </c>
      <c r="C56" t="s">
        <v>77</v>
      </c>
      <c r="D56" s="64">
        <v>11</v>
      </c>
      <c r="G56" t="str">
        <f t="shared" si="0"/>
        <v>105300030022</v>
      </c>
      <c r="H56" s="63" t="s">
        <v>230</v>
      </c>
      <c r="I56" s="63">
        <v>10530003</v>
      </c>
      <c r="J56" t="s">
        <v>77</v>
      </c>
      <c r="K56" s="64">
        <v>11</v>
      </c>
      <c r="L56">
        <v>11</v>
      </c>
    </row>
    <row r="57" spans="1:12" x14ac:dyDescent="0.25">
      <c r="A57" t="s">
        <v>230</v>
      </c>
      <c r="B57">
        <v>10530003</v>
      </c>
      <c r="C57" t="s">
        <v>121</v>
      </c>
      <c r="D57" s="64">
        <v>1400</v>
      </c>
      <c r="G57" t="str">
        <f t="shared" si="0"/>
        <v>105300030044</v>
      </c>
      <c r="H57" s="63" t="s">
        <v>230</v>
      </c>
      <c r="I57" s="63">
        <v>10530003</v>
      </c>
      <c r="J57" t="s">
        <v>121</v>
      </c>
      <c r="K57" s="64">
        <v>1400</v>
      </c>
      <c r="L57">
        <v>1269</v>
      </c>
    </row>
    <row r="58" spans="1:12" x14ac:dyDescent="0.25">
      <c r="A58" t="s">
        <v>230</v>
      </c>
      <c r="B58">
        <v>10530003</v>
      </c>
      <c r="C58" t="s">
        <v>81</v>
      </c>
      <c r="D58" s="64">
        <v>1400</v>
      </c>
      <c r="G58" t="str">
        <f t="shared" si="0"/>
        <v>105300030051</v>
      </c>
      <c r="H58" s="63" t="s">
        <v>230</v>
      </c>
      <c r="I58" s="63">
        <v>10530003</v>
      </c>
      <c r="J58" t="s">
        <v>81</v>
      </c>
      <c r="K58" s="64">
        <v>1400</v>
      </c>
      <c r="L58">
        <v>333</v>
      </c>
    </row>
    <row r="59" spans="1:12" x14ac:dyDescent="0.25">
      <c r="A59" t="s">
        <v>230</v>
      </c>
      <c r="B59">
        <v>10530003</v>
      </c>
      <c r="C59" t="s">
        <v>205</v>
      </c>
      <c r="D59" s="64">
        <v>1400</v>
      </c>
      <c r="G59" t="str">
        <f t="shared" si="0"/>
        <v>105300030081</v>
      </c>
      <c r="H59" s="63" t="s">
        <v>230</v>
      </c>
      <c r="I59" s="63">
        <v>10530003</v>
      </c>
      <c r="J59" t="s">
        <v>205</v>
      </c>
      <c r="K59" s="64">
        <v>1400</v>
      </c>
      <c r="L59">
        <v>0</v>
      </c>
    </row>
    <row r="60" spans="1:12" x14ac:dyDescent="0.25">
      <c r="A60" t="s">
        <v>230</v>
      </c>
      <c r="B60">
        <v>10530003</v>
      </c>
      <c r="C60" t="s">
        <v>165</v>
      </c>
      <c r="D60" s="64">
        <v>289</v>
      </c>
      <c r="G60" t="str">
        <f t="shared" si="0"/>
        <v>105300030094</v>
      </c>
      <c r="H60" s="63" t="s">
        <v>230</v>
      </c>
      <c r="I60" s="63">
        <v>10530003</v>
      </c>
      <c r="J60" t="s">
        <v>165</v>
      </c>
      <c r="K60" s="64">
        <v>289</v>
      </c>
      <c r="L60">
        <v>289</v>
      </c>
    </row>
    <row r="61" spans="1:12" x14ac:dyDescent="0.25">
      <c r="A61" t="s">
        <v>230</v>
      </c>
      <c r="B61">
        <v>10530003</v>
      </c>
      <c r="C61" t="s">
        <v>187</v>
      </c>
      <c r="D61" s="64">
        <v>2800</v>
      </c>
      <c r="G61" t="str">
        <f t="shared" si="0"/>
        <v>105300030095</v>
      </c>
      <c r="H61" s="63" t="s">
        <v>230</v>
      </c>
      <c r="I61" s="63">
        <v>10530003</v>
      </c>
      <c r="J61" t="s">
        <v>187</v>
      </c>
      <c r="K61" s="64">
        <v>2800</v>
      </c>
      <c r="L61">
        <v>2800</v>
      </c>
    </row>
    <row r="62" spans="1:12" x14ac:dyDescent="0.25">
      <c r="A62" t="s">
        <v>230</v>
      </c>
      <c r="B62">
        <v>10530005</v>
      </c>
      <c r="C62" t="s">
        <v>22</v>
      </c>
      <c r="D62" s="64">
        <v>360</v>
      </c>
      <c r="G62" t="str">
        <f t="shared" si="0"/>
        <v>105300050002</v>
      </c>
      <c r="H62" s="63" t="s">
        <v>230</v>
      </c>
      <c r="I62" s="63">
        <v>10530005</v>
      </c>
      <c r="J62" t="s">
        <v>22</v>
      </c>
      <c r="K62" s="64">
        <v>360</v>
      </c>
      <c r="L62">
        <v>360</v>
      </c>
    </row>
    <row r="63" spans="1:12" x14ac:dyDescent="0.25">
      <c r="A63" t="s">
        <v>230</v>
      </c>
      <c r="B63">
        <v>10530005</v>
      </c>
      <c r="C63" t="s">
        <v>53</v>
      </c>
      <c r="D63" s="64">
        <v>1400</v>
      </c>
      <c r="G63" t="str">
        <f t="shared" si="0"/>
        <v>105300050010</v>
      </c>
      <c r="H63" s="63" t="s">
        <v>230</v>
      </c>
      <c r="I63" s="63">
        <v>10530005</v>
      </c>
      <c r="J63" t="s">
        <v>53</v>
      </c>
      <c r="K63" s="64">
        <v>1400</v>
      </c>
      <c r="L63">
        <v>1400</v>
      </c>
    </row>
    <row r="64" spans="1:12" x14ac:dyDescent="0.25">
      <c r="A64" t="s">
        <v>230</v>
      </c>
      <c r="B64">
        <v>10530005</v>
      </c>
      <c r="C64" t="s">
        <v>46</v>
      </c>
      <c r="D64" s="64">
        <v>1400</v>
      </c>
      <c r="G64" t="str">
        <f t="shared" si="0"/>
        <v>105300050014</v>
      </c>
      <c r="H64" s="63" t="s">
        <v>230</v>
      </c>
      <c r="I64" s="63">
        <v>10530005</v>
      </c>
      <c r="J64" t="s">
        <v>46</v>
      </c>
      <c r="K64" s="64">
        <v>1400</v>
      </c>
      <c r="L64">
        <v>1400</v>
      </c>
    </row>
    <row r="65" spans="1:12" x14ac:dyDescent="0.25">
      <c r="A65" t="s">
        <v>230</v>
      </c>
      <c r="B65">
        <v>10530005</v>
      </c>
      <c r="C65" t="s">
        <v>23</v>
      </c>
      <c r="D65" s="64">
        <v>1400</v>
      </c>
      <c r="G65" t="str">
        <f t="shared" si="0"/>
        <v>105300050016</v>
      </c>
      <c r="H65" s="63" t="s">
        <v>230</v>
      </c>
      <c r="I65" s="63">
        <v>10530005</v>
      </c>
      <c r="J65" t="s">
        <v>23</v>
      </c>
      <c r="K65" s="64">
        <v>1400</v>
      </c>
      <c r="L65">
        <v>1400</v>
      </c>
    </row>
    <row r="66" spans="1:12" x14ac:dyDescent="0.25">
      <c r="A66" t="s">
        <v>230</v>
      </c>
      <c r="B66">
        <v>10530005</v>
      </c>
      <c r="C66" t="s">
        <v>84</v>
      </c>
      <c r="D66" s="64">
        <v>1400</v>
      </c>
      <c r="G66" t="str">
        <f t="shared" si="0"/>
        <v>105300050023</v>
      </c>
      <c r="H66" s="63" t="s">
        <v>230</v>
      </c>
      <c r="I66" s="63">
        <v>10530005</v>
      </c>
      <c r="J66" t="s">
        <v>84</v>
      </c>
      <c r="K66" s="64">
        <v>1400</v>
      </c>
      <c r="L66">
        <v>1400</v>
      </c>
    </row>
    <row r="67" spans="1:12" x14ac:dyDescent="0.25">
      <c r="A67" t="s">
        <v>230</v>
      </c>
      <c r="B67">
        <v>10530006</v>
      </c>
      <c r="C67" t="s">
        <v>78</v>
      </c>
      <c r="D67" s="64">
        <v>1400</v>
      </c>
      <c r="G67" t="str">
        <f t="shared" si="0"/>
        <v>105300060006</v>
      </c>
      <c r="H67" s="63" t="s">
        <v>230</v>
      </c>
      <c r="I67" s="63">
        <v>10530006</v>
      </c>
      <c r="J67" t="s">
        <v>78</v>
      </c>
      <c r="K67" s="64">
        <v>1400</v>
      </c>
      <c r="L67">
        <v>1123</v>
      </c>
    </row>
    <row r="68" spans="1:12" x14ac:dyDescent="0.25">
      <c r="A68" t="s">
        <v>230</v>
      </c>
      <c r="B68">
        <v>10530006</v>
      </c>
      <c r="C68" t="s">
        <v>46</v>
      </c>
      <c r="D68" s="64">
        <v>1400</v>
      </c>
      <c r="G68" t="str">
        <f t="shared" si="0"/>
        <v>105300060014</v>
      </c>
      <c r="H68" s="63" t="s">
        <v>230</v>
      </c>
      <c r="I68" s="63">
        <v>10530006</v>
      </c>
      <c r="J68" t="s">
        <v>46</v>
      </c>
      <c r="K68" s="64">
        <v>1400</v>
      </c>
      <c r="L68">
        <v>1400</v>
      </c>
    </row>
    <row r="69" spans="1:12" x14ac:dyDescent="0.25">
      <c r="A69" t="s">
        <v>230</v>
      </c>
      <c r="B69">
        <v>10530006</v>
      </c>
      <c r="C69" t="s">
        <v>119</v>
      </c>
      <c r="D69" s="64">
        <v>1400</v>
      </c>
      <c r="G69" t="str">
        <f t="shared" si="0"/>
        <v>105300060124</v>
      </c>
      <c r="H69" s="63" t="s">
        <v>230</v>
      </c>
      <c r="I69" s="63">
        <v>10530006</v>
      </c>
      <c r="J69" t="s">
        <v>119</v>
      </c>
      <c r="K69" s="64">
        <v>1400</v>
      </c>
      <c r="L69">
        <v>468</v>
      </c>
    </row>
    <row r="70" spans="1:12" x14ac:dyDescent="0.25">
      <c r="A70" t="s">
        <v>230</v>
      </c>
      <c r="B70">
        <v>10530008</v>
      </c>
      <c r="C70" t="s">
        <v>22</v>
      </c>
      <c r="D70" s="64">
        <v>4200</v>
      </c>
      <c r="G70" t="str">
        <f t="shared" ref="G70:G133" si="1">CONCATENATE(I70,J70)</f>
        <v>105300080002</v>
      </c>
      <c r="H70" s="63" t="s">
        <v>230</v>
      </c>
      <c r="I70" s="63">
        <v>10530008</v>
      </c>
      <c r="J70" t="s">
        <v>22</v>
      </c>
      <c r="K70" s="64">
        <v>4200</v>
      </c>
      <c r="L70">
        <v>4200</v>
      </c>
    </row>
    <row r="71" spans="1:12" x14ac:dyDescent="0.25">
      <c r="A71" t="s">
        <v>230</v>
      </c>
      <c r="B71">
        <v>10530008</v>
      </c>
      <c r="C71" t="s">
        <v>78</v>
      </c>
      <c r="D71" s="64">
        <v>279</v>
      </c>
      <c r="G71" t="str">
        <f t="shared" si="1"/>
        <v>105300080006</v>
      </c>
      <c r="H71" s="63" t="s">
        <v>230</v>
      </c>
      <c r="I71" s="63">
        <v>10530008</v>
      </c>
      <c r="J71" t="s">
        <v>78</v>
      </c>
      <c r="K71" s="64">
        <v>279</v>
      </c>
      <c r="L71">
        <v>279</v>
      </c>
    </row>
    <row r="72" spans="1:12" x14ac:dyDescent="0.25">
      <c r="A72" t="s">
        <v>230</v>
      </c>
      <c r="B72">
        <v>10530008</v>
      </c>
      <c r="C72" t="s">
        <v>79</v>
      </c>
      <c r="D72" s="64">
        <v>4200</v>
      </c>
      <c r="G72" t="str">
        <f t="shared" si="1"/>
        <v>105300080020</v>
      </c>
      <c r="H72" s="63" t="s">
        <v>230</v>
      </c>
      <c r="I72" s="63">
        <v>10530008</v>
      </c>
      <c r="J72" t="s">
        <v>79</v>
      </c>
      <c r="K72" s="64">
        <v>4200</v>
      </c>
      <c r="L72">
        <v>4200</v>
      </c>
    </row>
    <row r="73" spans="1:12" x14ac:dyDescent="0.25">
      <c r="A73" t="s">
        <v>230</v>
      </c>
      <c r="B73">
        <v>10530032</v>
      </c>
      <c r="C73" t="s">
        <v>53</v>
      </c>
      <c r="D73" s="64">
        <v>1550</v>
      </c>
      <c r="G73" t="str">
        <f t="shared" si="1"/>
        <v>105300320010</v>
      </c>
      <c r="H73" s="63" t="s">
        <v>230</v>
      </c>
      <c r="I73" s="63">
        <v>10530032</v>
      </c>
      <c r="J73" t="s">
        <v>53</v>
      </c>
      <c r="K73" s="64">
        <v>1550</v>
      </c>
      <c r="L73">
        <v>1439</v>
      </c>
    </row>
    <row r="74" spans="1:12" x14ac:dyDescent="0.25">
      <c r="A74" t="s">
        <v>230</v>
      </c>
      <c r="B74">
        <v>10530032</v>
      </c>
      <c r="C74" t="s">
        <v>55</v>
      </c>
      <c r="D74" s="64">
        <v>264</v>
      </c>
      <c r="G74" t="str">
        <f t="shared" si="1"/>
        <v>105300320017</v>
      </c>
      <c r="H74" s="63" t="s">
        <v>230</v>
      </c>
      <c r="I74" s="63">
        <v>10530032</v>
      </c>
      <c r="J74" t="s">
        <v>55</v>
      </c>
      <c r="K74" s="64">
        <v>264</v>
      </c>
      <c r="L74">
        <v>264</v>
      </c>
    </row>
    <row r="75" spans="1:12" x14ac:dyDescent="0.25">
      <c r="A75" t="s">
        <v>230</v>
      </c>
      <c r="B75">
        <v>10530032</v>
      </c>
      <c r="C75" t="s">
        <v>38</v>
      </c>
      <c r="D75" s="64">
        <v>1550</v>
      </c>
      <c r="G75" t="str">
        <f t="shared" si="1"/>
        <v>105300320037</v>
      </c>
      <c r="H75" s="63" t="s">
        <v>230</v>
      </c>
      <c r="I75" s="63">
        <v>10530032</v>
      </c>
      <c r="J75" t="s">
        <v>38</v>
      </c>
      <c r="K75" s="64">
        <v>1550</v>
      </c>
      <c r="L75">
        <v>253</v>
      </c>
    </row>
    <row r="76" spans="1:12" x14ac:dyDescent="0.25">
      <c r="A76" t="s">
        <v>230</v>
      </c>
      <c r="B76">
        <v>10530032</v>
      </c>
      <c r="C76" t="s">
        <v>54</v>
      </c>
      <c r="D76" s="64">
        <v>1400</v>
      </c>
      <c r="G76" t="str">
        <f t="shared" si="1"/>
        <v>105300320071</v>
      </c>
      <c r="H76" s="63" t="s">
        <v>230</v>
      </c>
      <c r="I76" s="63">
        <v>10530032</v>
      </c>
      <c r="J76" t="s">
        <v>54</v>
      </c>
      <c r="K76" s="64">
        <v>1400</v>
      </c>
      <c r="L76">
        <v>1400</v>
      </c>
    </row>
    <row r="77" spans="1:12" x14ac:dyDescent="0.25">
      <c r="A77" t="s">
        <v>230</v>
      </c>
      <c r="B77">
        <v>10530032</v>
      </c>
      <c r="C77" t="s">
        <v>184</v>
      </c>
      <c r="D77" s="64">
        <v>464</v>
      </c>
      <c r="G77" t="str">
        <f t="shared" si="1"/>
        <v>105300320073</v>
      </c>
      <c r="H77" s="63" t="s">
        <v>230</v>
      </c>
      <c r="I77" s="63">
        <v>10530032</v>
      </c>
      <c r="J77" t="s">
        <v>184</v>
      </c>
      <c r="K77" s="64">
        <v>464</v>
      </c>
      <c r="L77">
        <v>464</v>
      </c>
    </row>
    <row r="78" spans="1:12" x14ac:dyDescent="0.25">
      <c r="A78" t="s">
        <v>230</v>
      </c>
      <c r="B78">
        <v>10530032</v>
      </c>
      <c r="C78" t="s">
        <v>174</v>
      </c>
      <c r="D78" s="64">
        <v>264</v>
      </c>
      <c r="G78" t="str">
        <f t="shared" si="1"/>
        <v>105300320074</v>
      </c>
      <c r="H78" s="63" t="s">
        <v>230</v>
      </c>
      <c r="I78" s="63">
        <v>10530032</v>
      </c>
      <c r="J78" t="s">
        <v>174</v>
      </c>
      <c r="K78" s="64">
        <v>264</v>
      </c>
      <c r="L78">
        <v>264</v>
      </c>
    </row>
    <row r="79" spans="1:12" x14ac:dyDescent="0.25">
      <c r="A79" t="s">
        <v>230</v>
      </c>
      <c r="B79">
        <v>10530034</v>
      </c>
      <c r="C79" t="s">
        <v>56</v>
      </c>
      <c r="D79" s="64">
        <v>259</v>
      </c>
      <c r="G79" t="str">
        <f t="shared" si="1"/>
        <v>105300340004</v>
      </c>
      <c r="H79" s="63" t="s">
        <v>230</v>
      </c>
      <c r="I79" s="63">
        <v>10530034</v>
      </c>
      <c r="J79" t="s">
        <v>56</v>
      </c>
      <c r="K79" s="64">
        <v>259</v>
      </c>
      <c r="L79">
        <v>259</v>
      </c>
    </row>
    <row r="80" spans="1:12" x14ac:dyDescent="0.25">
      <c r="A80" t="s">
        <v>230</v>
      </c>
      <c r="B80">
        <v>10530034</v>
      </c>
      <c r="C80" t="s">
        <v>78</v>
      </c>
      <c r="D80" s="64">
        <v>259</v>
      </c>
      <c r="G80" t="str">
        <f t="shared" si="1"/>
        <v>105300340006</v>
      </c>
      <c r="H80" s="63" t="s">
        <v>230</v>
      </c>
      <c r="I80" s="63">
        <v>10530034</v>
      </c>
      <c r="J80" t="s">
        <v>78</v>
      </c>
      <c r="K80" s="64">
        <v>259</v>
      </c>
      <c r="L80">
        <v>259</v>
      </c>
    </row>
    <row r="81" spans="1:12" x14ac:dyDescent="0.25">
      <c r="A81" t="s">
        <v>230</v>
      </c>
      <c r="B81">
        <v>10530034</v>
      </c>
      <c r="C81" t="s">
        <v>25</v>
      </c>
      <c r="D81" s="64">
        <v>1554</v>
      </c>
      <c r="G81" t="str">
        <f t="shared" si="1"/>
        <v>105300340007</v>
      </c>
      <c r="H81" s="63" t="s">
        <v>230</v>
      </c>
      <c r="I81" s="63">
        <v>10530034</v>
      </c>
      <c r="J81" t="s">
        <v>25</v>
      </c>
      <c r="K81" s="64">
        <v>1554</v>
      </c>
      <c r="L81">
        <v>1554</v>
      </c>
    </row>
    <row r="82" spans="1:12" x14ac:dyDescent="0.25">
      <c r="A82" t="s">
        <v>230</v>
      </c>
      <c r="B82">
        <v>10530034</v>
      </c>
      <c r="C82" t="s">
        <v>129</v>
      </c>
      <c r="D82" s="64">
        <v>424</v>
      </c>
      <c r="G82" t="str">
        <f t="shared" si="1"/>
        <v>105300340019</v>
      </c>
      <c r="H82" s="63" t="s">
        <v>230</v>
      </c>
      <c r="I82" s="63">
        <v>10530034</v>
      </c>
      <c r="J82" t="s">
        <v>129</v>
      </c>
      <c r="K82" s="64">
        <v>424</v>
      </c>
      <c r="L82">
        <v>424</v>
      </c>
    </row>
    <row r="83" spans="1:12" x14ac:dyDescent="0.25">
      <c r="A83" t="s">
        <v>230</v>
      </c>
      <c r="B83">
        <v>10530034</v>
      </c>
      <c r="C83" t="s">
        <v>76</v>
      </c>
      <c r="D83" s="64">
        <v>424</v>
      </c>
      <c r="G83" t="str">
        <f t="shared" si="1"/>
        <v>105300340030</v>
      </c>
      <c r="H83" s="63" t="s">
        <v>230</v>
      </c>
      <c r="I83" s="63">
        <v>10530034</v>
      </c>
      <c r="J83" t="s">
        <v>76</v>
      </c>
      <c r="K83" s="64">
        <v>424</v>
      </c>
      <c r="L83">
        <v>424</v>
      </c>
    </row>
    <row r="84" spans="1:12" x14ac:dyDescent="0.25">
      <c r="A84" t="s">
        <v>230</v>
      </c>
      <c r="B84">
        <v>10530034</v>
      </c>
      <c r="C84" t="s">
        <v>140</v>
      </c>
      <c r="D84" s="64">
        <v>165</v>
      </c>
      <c r="G84" t="str">
        <f t="shared" si="1"/>
        <v>105300340036</v>
      </c>
      <c r="H84" s="63" t="s">
        <v>230</v>
      </c>
      <c r="I84" s="63">
        <v>10530034</v>
      </c>
      <c r="J84" t="s">
        <v>140</v>
      </c>
      <c r="K84" s="64">
        <v>165</v>
      </c>
      <c r="L84">
        <v>165</v>
      </c>
    </row>
    <row r="85" spans="1:12" x14ac:dyDescent="0.25">
      <c r="A85" t="s">
        <v>230</v>
      </c>
      <c r="B85">
        <v>10530034</v>
      </c>
      <c r="C85" t="s">
        <v>121</v>
      </c>
      <c r="D85" s="64">
        <v>424</v>
      </c>
      <c r="G85" t="str">
        <f t="shared" si="1"/>
        <v>105300340044</v>
      </c>
      <c r="H85" s="63" t="s">
        <v>230</v>
      </c>
      <c r="I85" s="63">
        <v>10530034</v>
      </c>
      <c r="J85" t="s">
        <v>121</v>
      </c>
      <c r="K85" s="64">
        <v>424</v>
      </c>
      <c r="L85">
        <v>424</v>
      </c>
    </row>
    <row r="86" spans="1:12" x14ac:dyDescent="0.25">
      <c r="A86" t="s">
        <v>230</v>
      </c>
      <c r="B86">
        <v>10530034</v>
      </c>
      <c r="C86" t="s">
        <v>166</v>
      </c>
      <c r="D86" s="64">
        <v>259</v>
      </c>
      <c r="G86" t="str">
        <f t="shared" si="1"/>
        <v>105300340045</v>
      </c>
      <c r="H86" s="63" t="s">
        <v>230</v>
      </c>
      <c r="I86" s="63">
        <v>10530034</v>
      </c>
      <c r="J86" t="s">
        <v>166</v>
      </c>
      <c r="K86" s="64">
        <v>259</v>
      </c>
      <c r="L86">
        <v>259</v>
      </c>
    </row>
    <row r="87" spans="1:12" x14ac:dyDescent="0.25">
      <c r="A87" t="s">
        <v>230</v>
      </c>
      <c r="B87">
        <v>10530034</v>
      </c>
      <c r="C87" t="s">
        <v>86</v>
      </c>
      <c r="D87" s="64">
        <v>777</v>
      </c>
      <c r="G87" t="str">
        <f t="shared" si="1"/>
        <v>105300340046</v>
      </c>
      <c r="H87" s="63" t="s">
        <v>230</v>
      </c>
      <c r="I87" s="63">
        <v>10530034</v>
      </c>
      <c r="J87" t="s">
        <v>86</v>
      </c>
      <c r="K87" s="64">
        <v>777</v>
      </c>
      <c r="L87">
        <v>777</v>
      </c>
    </row>
    <row r="88" spans="1:12" x14ac:dyDescent="0.25">
      <c r="A88" t="s">
        <v>230</v>
      </c>
      <c r="B88">
        <v>10530034</v>
      </c>
      <c r="C88" t="s">
        <v>163</v>
      </c>
      <c r="D88" s="64">
        <v>1554</v>
      </c>
      <c r="G88" t="str">
        <f t="shared" si="1"/>
        <v>105300340049</v>
      </c>
      <c r="H88" s="63" t="s">
        <v>230</v>
      </c>
      <c r="I88" s="63">
        <v>10530034</v>
      </c>
      <c r="J88" t="s">
        <v>163</v>
      </c>
      <c r="K88" s="64">
        <v>1554</v>
      </c>
      <c r="L88">
        <v>1554</v>
      </c>
    </row>
    <row r="89" spans="1:12" x14ac:dyDescent="0.25">
      <c r="A89" t="s">
        <v>230</v>
      </c>
      <c r="B89">
        <v>10530034</v>
      </c>
      <c r="C89" t="s">
        <v>58</v>
      </c>
      <c r="D89" s="64">
        <v>259</v>
      </c>
      <c r="G89" t="str">
        <f t="shared" si="1"/>
        <v>105300340056</v>
      </c>
      <c r="H89" s="63" t="s">
        <v>230</v>
      </c>
      <c r="I89" s="63">
        <v>10530034</v>
      </c>
      <c r="J89" t="s">
        <v>58</v>
      </c>
      <c r="K89" s="64">
        <v>259</v>
      </c>
      <c r="L89">
        <v>259</v>
      </c>
    </row>
    <row r="90" spans="1:12" x14ac:dyDescent="0.25">
      <c r="A90" t="s">
        <v>230</v>
      </c>
      <c r="B90">
        <v>10530034</v>
      </c>
      <c r="C90" t="s">
        <v>206</v>
      </c>
      <c r="D90" s="64">
        <v>777</v>
      </c>
      <c r="G90" t="str">
        <f t="shared" si="1"/>
        <v>105300340063</v>
      </c>
      <c r="H90" s="63" t="s">
        <v>230</v>
      </c>
      <c r="I90" s="63">
        <v>10530034</v>
      </c>
      <c r="J90" t="s">
        <v>206</v>
      </c>
      <c r="K90" s="64">
        <v>777</v>
      </c>
      <c r="L90">
        <v>777</v>
      </c>
    </row>
    <row r="91" spans="1:12" x14ac:dyDescent="0.25">
      <c r="A91" t="s">
        <v>230</v>
      </c>
      <c r="B91">
        <v>10530034</v>
      </c>
      <c r="C91" t="s">
        <v>74</v>
      </c>
      <c r="D91" s="64">
        <v>259</v>
      </c>
      <c r="G91" t="str">
        <f t="shared" si="1"/>
        <v>105300340080</v>
      </c>
      <c r="H91" s="63" t="s">
        <v>230</v>
      </c>
      <c r="I91" s="63">
        <v>10530034</v>
      </c>
      <c r="J91" t="s">
        <v>74</v>
      </c>
      <c r="K91" s="64">
        <v>259</v>
      </c>
      <c r="L91">
        <v>259</v>
      </c>
    </row>
    <row r="92" spans="1:12" x14ac:dyDescent="0.25">
      <c r="A92" t="s">
        <v>230</v>
      </c>
      <c r="B92">
        <v>10530034</v>
      </c>
      <c r="C92" t="s">
        <v>157</v>
      </c>
      <c r="D92" s="64">
        <v>259</v>
      </c>
      <c r="G92" t="str">
        <f t="shared" si="1"/>
        <v>105300340084</v>
      </c>
      <c r="H92" s="63" t="s">
        <v>230</v>
      </c>
      <c r="I92" s="63">
        <v>10530034</v>
      </c>
      <c r="J92" t="s">
        <v>157</v>
      </c>
      <c r="K92" s="64">
        <v>259</v>
      </c>
      <c r="L92">
        <v>259</v>
      </c>
    </row>
    <row r="93" spans="1:12" x14ac:dyDescent="0.25">
      <c r="A93" t="s">
        <v>230</v>
      </c>
      <c r="B93">
        <v>10530034</v>
      </c>
      <c r="C93" t="s">
        <v>165</v>
      </c>
      <c r="D93" s="64">
        <v>165</v>
      </c>
      <c r="G93" t="str">
        <f t="shared" si="1"/>
        <v>105300340094</v>
      </c>
      <c r="H93" s="63" t="s">
        <v>230</v>
      </c>
      <c r="I93" s="63">
        <v>10530034</v>
      </c>
      <c r="J93" t="s">
        <v>165</v>
      </c>
      <c r="K93" s="64">
        <v>165</v>
      </c>
      <c r="L93">
        <v>165</v>
      </c>
    </row>
    <row r="94" spans="1:12" x14ac:dyDescent="0.25">
      <c r="A94" t="s">
        <v>230</v>
      </c>
      <c r="B94">
        <v>10530034</v>
      </c>
      <c r="C94" t="s">
        <v>164</v>
      </c>
      <c r="D94" s="64">
        <v>259</v>
      </c>
      <c r="G94" t="str">
        <f t="shared" si="1"/>
        <v>105300340096</v>
      </c>
      <c r="H94" s="63" t="s">
        <v>230</v>
      </c>
      <c r="I94" s="63">
        <v>10530034</v>
      </c>
      <c r="J94" t="s">
        <v>164</v>
      </c>
      <c r="K94" s="64">
        <v>259</v>
      </c>
      <c r="L94">
        <v>259</v>
      </c>
    </row>
    <row r="95" spans="1:12" x14ac:dyDescent="0.25">
      <c r="A95" t="s">
        <v>230</v>
      </c>
      <c r="B95">
        <v>10530034</v>
      </c>
      <c r="C95" t="s">
        <v>176</v>
      </c>
      <c r="D95" s="64">
        <v>165</v>
      </c>
      <c r="G95" t="str">
        <f t="shared" si="1"/>
        <v>105300340100</v>
      </c>
      <c r="H95" s="63" t="s">
        <v>230</v>
      </c>
      <c r="I95" s="63">
        <v>10530034</v>
      </c>
      <c r="J95" t="s">
        <v>176</v>
      </c>
      <c r="K95" s="64">
        <v>165</v>
      </c>
      <c r="L95">
        <v>165</v>
      </c>
    </row>
    <row r="96" spans="1:12" x14ac:dyDescent="0.25">
      <c r="A96" t="s">
        <v>230</v>
      </c>
      <c r="B96">
        <v>10530035</v>
      </c>
      <c r="C96" t="s">
        <v>34</v>
      </c>
      <c r="D96" s="64">
        <v>259</v>
      </c>
      <c r="G96" t="str">
        <f t="shared" si="1"/>
        <v>105300350003</v>
      </c>
      <c r="H96" s="63" t="s">
        <v>230</v>
      </c>
      <c r="I96" s="63">
        <v>10530035</v>
      </c>
      <c r="J96" t="s">
        <v>34</v>
      </c>
      <c r="K96" s="64">
        <v>259</v>
      </c>
      <c r="L96">
        <v>259</v>
      </c>
    </row>
    <row r="97" spans="1:12" x14ac:dyDescent="0.25">
      <c r="A97" t="s">
        <v>230</v>
      </c>
      <c r="B97">
        <v>10530035</v>
      </c>
      <c r="C97" t="s">
        <v>78</v>
      </c>
      <c r="D97" s="64">
        <v>259</v>
      </c>
      <c r="G97" t="str">
        <f t="shared" si="1"/>
        <v>105300350006</v>
      </c>
      <c r="H97" s="63" t="s">
        <v>230</v>
      </c>
      <c r="I97" s="63">
        <v>10530035</v>
      </c>
      <c r="J97" t="s">
        <v>78</v>
      </c>
      <c r="K97" s="64">
        <v>259</v>
      </c>
      <c r="L97">
        <v>259</v>
      </c>
    </row>
    <row r="98" spans="1:12" x14ac:dyDescent="0.25">
      <c r="A98" t="s">
        <v>230</v>
      </c>
      <c r="B98">
        <v>10530035</v>
      </c>
      <c r="C98" t="s">
        <v>53</v>
      </c>
      <c r="D98" s="64">
        <v>1554</v>
      </c>
      <c r="G98" t="str">
        <f t="shared" si="1"/>
        <v>105300350010</v>
      </c>
      <c r="H98" s="63" t="s">
        <v>230</v>
      </c>
      <c r="I98" s="63">
        <v>10530035</v>
      </c>
      <c r="J98" t="s">
        <v>53</v>
      </c>
      <c r="K98" s="64">
        <v>1554</v>
      </c>
      <c r="L98">
        <v>1554</v>
      </c>
    </row>
    <row r="99" spans="1:12" x14ac:dyDescent="0.25">
      <c r="A99" t="s">
        <v>230</v>
      </c>
      <c r="B99">
        <v>10530035</v>
      </c>
      <c r="C99" t="s">
        <v>57</v>
      </c>
      <c r="D99" s="64">
        <v>259</v>
      </c>
      <c r="G99" t="str">
        <f t="shared" si="1"/>
        <v>105300350013</v>
      </c>
      <c r="H99" s="63" t="s">
        <v>230</v>
      </c>
      <c r="I99" s="63">
        <v>10530035</v>
      </c>
      <c r="J99" t="s">
        <v>57</v>
      </c>
      <c r="K99" s="64">
        <v>259</v>
      </c>
      <c r="L99">
        <v>259</v>
      </c>
    </row>
    <row r="100" spans="1:12" x14ac:dyDescent="0.25">
      <c r="A100" t="s">
        <v>230</v>
      </c>
      <c r="B100">
        <v>10530035</v>
      </c>
      <c r="C100" t="s">
        <v>77</v>
      </c>
      <c r="D100" s="64">
        <v>683</v>
      </c>
      <c r="G100" t="str">
        <f t="shared" si="1"/>
        <v>105300350022</v>
      </c>
      <c r="H100" s="63" t="s">
        <v>230</v>
      </c>
      <c r="I100" s="63">
        <v>10530035</v>
      </c>
      <c r="J100" t="s">
        <v>77</v>
      </c>
      <c r="K100" s="64">
        <v>683</v>
      </c>
      <c r="L100">
        <v>683</v>
      </c>
    </row>
    <row r="101" spans="1:12" x14ac:dyDescent="0.25">
      <c r="A101" t="s">
        <v>230</v>
      </c>
      <c r="B101">
        <v>10530035</v>
      </c>
      <c r="C101" t="s">
        <v>140</v>
      </c>
      <c r="D101" s="64">
        <v>165</v>
      </c>
      <c r="G101" t="str">
        <f t="shared" si="1"/>
        <v>105300350036</v>
      </c>
      <c r="H101" s="63" t="s">
        <v>230</v>
      </c>
      <c r="I101" s="63">
        <v>10530035</v>
      </c>
      <c r="J101" t="s">
        <v>140</v>
      </c>
      <c r="K101" s="64">
        <v>165</v>
      </c>
      <c r="L101">
        <v>165</v>
      </c>
    </row>
    <row r="102" spans="1:12" x14ac:dyDescent="0.25">
      <c r="A102" t="s">
        <v>230</v>
      </c>
      <c r="B102">
        <v>10530035</v>
      </c>
      <c r="C102" t="s">
        <v>175</v>
      </c>
      <c r="D102" s="64">
        <v>165</v>
      </c>
      <c r="G102" t="str">
        <f t="shared" si="1"/>
        <v>105300350097</v>
      </c>
      <c r="H102" s="63" t="s">
        <v>230</v>
      </c>
      <c r="I102" s="63">
        <v>10530035</v>
      </c>
      <c r="J102" t="s">
        <v>175</v>
      </c>
      <c r="K102" s="64">
        <v>165</v>
      </c>
      <c r="L102">
        <v>0</v>
      </c>
    </row>
    <row r="103" spans="1:12" x14ac:dyDescent="0.25">
      <c r="A103" t="s">
        <v>230</v>
      </c>
      <c r="B103">
        <v>10530040</v>
      </c>
      <c r="C103" t="s">
        <v>34</v>
      </c>
      <c r="D103" s="64">
        <v>4200</v>
      </c>
      <c r="G103" t="str">
        <f t="shared" si="1"/>
        <v>105300400003</v>
      </c>
      <c r="H103" s="63" t="s">
        <v>230</v>
      </c>
      <c r="I103" s="63">
        <v>10530040</v>
      </c>
      <c r="J103" t="s">
        <v>34</v>
      </c>
      <c r="K103" s="64">
        <v>4200</v>
      </c>
      <c r="L103">
        <v>4200</v>
      </c>
    </row>
    <row r="104" spans="1:12" x14ac:dyDescent="0.25">
      <c r="A104" t="s">
        <v>230</v>
      </c>
      <c r="B104">
        <v>10530040</v>
      </c>
      <c r="C104" t="s">
        <v>73</v>
      </c>
      <c r="D104" s="64">
        <v>1400</v>
      </c>
      <c r="G104" t="str">
        <f t="shared" si="1"/>
        <v>105300400029</v>
      </c>
      <c r="H104" s="63" t="s">
        <v>230</v>
      </c>
      <c r="I104" s="63">
        <v>10530040</v>
      </c>
      <c r="J104" t="s">
        <v>73</v>
      </c>
      <c r="K104" s="64">
        <v>1400</v>
      </c>
      <c r="L104">
        <v>1400</v>
      </c>
    </row>
    <row r="105" spans="1:12" x14ac:dyDescent="0.25">
      <c r="A105" t="s">
        <v>230</v>
      </c>
      <c r="B105">
        <v>10530040</v>
      </c>
      <c r="C105" t="s">
        <v>100</v>
      </c>
      <c r="D105" s="64">
        <v>1400</v>
      </c>
      <c r="G105" t="str">
        <f t="shared" si="1"/>
        <v>105300400052</v>
      </c>
      <c r="H105" s="63" t="s">
        <v>230</v>
      </c>
      <c r="I105" s="63">
        <v>10530040</v>
      </c>
      <c r="J105" t="s">
        <v>100</v>
      </c>
      <c r="K105" s="64">
        <v>1400</v>
      </c>
      <c r="L105">
        <v>373</v>
      </c>
    </row>
    <row r="106" spans="1:12" x14ac:dyDescent="0.25">
      <c r="A106" t="s">
        <v>230</v>
      </c>
      <c r="B106">
        <v>10530044</v>
      </c>
      <c r="C106" t="s">
        <v>45</v>
      </c>
      <c r="D106" s="64">
        <v>1001</v>
      </c>
      <c r="G106" t="str">
        <f t="shared" si="1"/>
        <v>105300440009</v>
      </c>
      <c r="H106" s="63" t="s">
        <v>230</v>
      </c>
      <c r="I106" s="63">
        <v>10530044</v>
      </c>
      <c r="J106" t="s">
        <v>45</v>
      </c>
      <c r="K106" s="64">
        <v>1001</v>
      </c>
      <c r="L106">
        <v>1001</v>
      </c>
    </row>
    <row r="107" spans="1:12" x14ac:dyDescent="0.25">
      <c r="A107" t="s">
        <v>230</v>
      </c>
      <c r="B107">
        <v>10530044</v>
      </c>
      <c r="C107" t="s">
        <v>40</v>
      </c>
      <c r="D107" s="64">
        <v>1001</v>
      </c>
      <c r="G107" t="str">
        <f t="shared" si="1"/>
        <v>105300440027</v>
      </c>
      <c r="H107" s="63" t="s">
        <v>230</v>
      </c>
      <c r="I107" s="63">
        <v>10530044</v>
      </c>
      <c r="J107" t="s">
        <v>40</v>
      </c>
      <c r="K107" s="64">
        <v>1001</v>
      </c>
      <c r="L107">
        <v>1001</v>
      </c>
    </row>
    <row r="108" spans="1:12" x14ac:dyDescent="0.25">
      <c r="A108" t="s">
        <v>230</v>
      </c>
      <c r="B108">
        <v>10530047</v>
      </c>
      <c r="C108" t="s">
        <v>64</v>
      </c>
      <c r="D108" s="64">
        <v>3100</v>
      </c>
      <c r="G108" t="str">
        <f t="shared" si="1"/>
        <v>105300470005</v>
      </c>
      <c r="H108" s="63" t="s">
        <v>230</v>
      </c>
      <c r="I108" s="63">
        <v>10530047</v>
      </c>
      <c r="J108" t="s">
        <v>64</v>
      </c>
      <c r="K108" s="64">
        <v>3100</v>
      </c>
      <c r="L108">
        <v>3100</v>
      </c>
    </row>
    <row r="109" spans="1:12" x14ac:dyDescent="0.25">
      <c r="A109" t="s">
        <v>230</v>
      </c>
      <c r="B109">
        <v>10530055</v>
      </c>
      <c r="C109" t="s">
        <v>22</v>
      </c>
      <c r="D109" s="64">
        <v>336</v>
      </c>
      <c r="G109" t="str">
        <f t="shared" si="1"/>
        <v>105300550002</v>
      </c>
      <c r="H109" s="63" t="s">
        <v>230</v>
      </c>
      <c r="I109" s="63">
        <v>10530055</v>
      </c>
      <c r="J109" t="s">
        <v>22</v>
      </c>
      <c r="K109" s="64">
        <v>336</v>
      </c>
      <c r="L109">
        <v>336</v>
      </c>
    </row>
    <row r="110" spans="1:12" x14ac:dyDescent="0.25">
      <c r="A110" t="s">
        <v>230</v>
      </c>
      <c r="B110">
        <v>10530055</v>
      </c>
      <c r="C110" t="s">
        <v>175</v>
      </c>
      <c r="D110" s="64">
        <v>588</v>
      </c>
      <c r="G110" t="str">
        <f t="shared" si="1"/>
        <v>105300550097</v>
      </c>
      <c r="H110" s="63" t="s">
        <v>230</v>
      </c>
      <c r="I110" s="63">
        <v>10530055</v>
      </c>
      <c r="J110" t="s">
        <v>175</v>
      </c>
      <c r="K110" s="64">
        <v>588</v>
      </c>
      <c r="L110">
        <v>588</v>
      </c>
    </row>
    <row r="111" spans="1:12" x14ac:dyDescent="0.25">
      <c r="A111" t="s">
        <v>230</v>
      </c>
      <c r="B111">
        <v>10530064</v>
      </c>
      <c r="C111" t="s">
        <v>67</v>
      </c>
      <c r="D111" s="64">
        <v>1561</v>
      </c>
      <c r="G111" t="str">
        <f t="shared" si="1"/>
        <v>105300640034</v>
      </c>
      <c r="H111" s="63" t="s">
        <v>230</v>
      </c>
      <c r="I111" s="63">
        <v>10530064</v>
      </c>
      <c r="J111" t="s">
        <v>67</v>
      </c>
      <c r="K111" s="64">
        <v>1561</v>
      </c>
      <c r="L111">
        <v>1561</v>
      </c>
    </row>
    <row r="112" spans="1:12" x14ac:dyDescent="0.25">
      <c r="A112" t="s">
        <v>230</v>
      </c>
      <c r="B112">
        <v>10530070</v>
      </c>
      <c r="C112" t="s">
        <v>145</v>
      </c>
      <c r="D112" s="64">
        <v>107</v>
      </c>
      <c r="G112" t="str">
        <f t="shared" si="1"/>
        <v>105300700048</v>
      </c>
      <c r="H112" s="63" t="s">
        <v>230</v>
      </c>
      <c r="I112" s="63">
        <v>10530070</v>
      </c>
      <c r="J112" t="s">
        <v>145</v>
      </c>
      <c r="K112" s="64">
        <v>107</v>
      </c>
      <c r="L112">
        <v>107</v>
      </c>
    </row>
    <row r="113" spans="1:12" x14ac:dyDescent="0.25">
      <c r="A113" t="s">
        <v>230</v>
      </c>
      <c r="B113">
        <v>10530076</v>
      </c>
      <c r="C113" t="s">
        <v>22</v>
      </c>
      <c r="D113" s="64">
        <v>1238</v>
      </c>
      <c r="G113" t="str">
        <f t="shared" si="1"/>
        <v>105300760002</v>
      </c>
      <c r="H113" s="63" t="s">
        <v>230</v>
      </c>
      <c r="I113" s="63">
        <v>10530076</v>
      </c>
      <c r="J113" t="s">
        <v>22</v>
      </c>
      <c r="K113" s="64">
        <v>1238</v>
      </c>
      <c r="L113">
        <v>1238</v>
      </c>
    </row>
    <row r="114" spans="1:12" x14ac:dyDescent="0.25">
      <c r="A114" t="s">
        <v>230</v>
      </c>
      <c r="B114">
        <v>10530076</v>
      </c>
      <c r="C114" t="s">
        <v>34</v>
      </c>
      <c r="D114" s="64">
        <v>1550</v>
      </c>
      <c r="G114" t="str">
        <f t="shared" si="1"/>
        <v>105300760003</v>
      </c>
      <c r="H114" s="63" t="s">
        <v>230</v>
      </c>
      <c r="I114" s="63">
        <v>10530076</v>
      </c>
      <c r="J114" t="s">
        <v>34</v>
      </c>
      <c r="K114" s="64">
        <v>1550</v>
      </c>
      <c r="L114">
        <v>1550</v>
      </c>
    </row>
    <row r="115" spans="1:12" x14ac:dyDescent="0.25">
      <c r="A115" t="s">
        <v>230</v>
      </c>
      <c r="B115">
        <v>10530076</v>
      </c>
      <c r="C115" t="s">
        <v>84</v>
      </c>
      <c r="D115" s="64">
        <v>1238</v>
      </c>
      <c r="G115" t="str">
        <f t="shared" si="1"/>
        <v>105300760023</v>
      </c>
      <c r="H115" s="63" t="s">
        <v>230</v>
      </c>
      <c r="I115" s="63">
        <v>10530076</v>
      </c>
      <c r="J115" t="s">
        <v>84</v>
      </c>
      <c r="K115" s="64">
        <v>1238</v>
      </c>
      <c r="L115">
        <v>1238</v>
      </c>
    </row>
    <row r="116" spans="1:12" x14ac:dyDescent="0.25">
      <c r="A116" t="s">
        <v>230</v>
      </c>
      <c r="B116">
        <v>10530076</v>
      </c>
      <c r="C116" t="s">
        <v>39</v>
      </c>
      <c r="D116" s="64">
        <v>1550</v>
      </c>
      <c r="G116" t="str">
        <f t="shared" si="1"/>
        <v>105300760038</v>
      </c>
      <c r="H116" s="63" t="s">
        <v>230</v>
      </c>
      <c r="I116" s="63">
        <v>10530076</v>
      </c>
      <c r="J116" t="s">
        <v>39</v>
      </c>
      <c r="K116" s="64">
        <v>1550</v>
      </c>
      <c r="L116">
        <v>1550</v>
      </c>
    </row>
    <row r="117" spans="1:12" x14ac:dyDescent="0.25">
      <c r="A117" t="s">
        <v>230</v>
      </c>
      <c r="B117">
        <v>10530078</v>
      </c>
      <c r="C117" t="s">
        <v>22</v>
      </c>
      <c r="D117" s="64">
        <v>1554</v>
      </c>
      <c r="G117" t="str">
        <f t="shared" si="1"/>
        <v>105300780002</v>
      </c>
      <c r="H117" s="63" t="s">
        <v>230</v>
      </c>
      <c r="I117" s="63">
        <v>10530078</v>
      </c>
      <c r="J117" t="s">
        <v>22</v>
      </c>
      <c r="K117" s="64">
        <v>1554</v>
      </c>
      <c r="L117">
        <v>1554</v>
      </c>
    </row>
    <row r="118" spans="1:12" x14ac:dyDescent="0.25">
      <c r="A118" t="s">
        <v>230</v>
      </c>
      <c r="B118">
        <v>10530078</v>
      </c>
      <c r="C118" t="s">
        <v>40</v>
      </c>
      <c r="D118" s="64">
        <v>543</v>
      </c>
      <c r="G118" t="str">
        <f t="shared" si="1"/>
        <v>105300780027</v>
      </c>
      <c r="H118" s="63" t="s">
        <v>230</v>
      </c>
      <c r="I118" s="63">
        <v>10530078</v>
      </c>
      <c r="J118" t="s">
        <v>40</v>
      </c>
      <c r="K118" s="64">
        <v>543</v>
      </c>
      <c r="L118">
        <v>543</v>
      </c>
    </row>
    <row r="119" spans="1:12" x14ac:dyDescent="0.25">
      <c r="A119" t="s">
        <v>230</v>
      </c>
      <c r="B119">
        <v>10530081</v>
      </c>
      <c r="C119" t="s">
        <v>22</v>
      </c>
      <c r="D119" s="64">
        <v>1400</v>
      </c>
      <c r="G119" t="str">
        <f t="shared" si="1"/>
        <v>105300810002</v>
      </c>
      <c r="H119" s="63" t="s">
        <v>230</v>
      </c>
      <c r="I119" s="63">
        <v>10530081</v>
      </c>
      <c r="J119" t="s">
        <v>22</v>
      </c>
      <c r="K119" s="64">
        <v>1400</v>
      </c>
      <c r="L119">
        <v>1400</v>
      </c>
    </row>
    <row r="120" spans="1:12" x14ac:dyDescent="0.25">
      <c r="A120" t="s">
        <v>230</v>
      </c>
      <c r="B120">
        <v>10530082</v>
      </c>
      <c r="C120" t="s">
        <v>85</v>
      </c>
      <c r="D120" s="64">
        <v>446</v>
      </c>
      <c r="G120" t="str">
        <f t="shared" si="1"/>
        <v>105300820055</v>
      </c>
      <c r="H120" s="63" t="s">
        <v>230</v>
      </c>
      <c r="I120" s="63">
        <v>10530082</v>
      </c>
      <c r="J120" t="s">
        <v>85</v>
      </c>
      <c r="K120" s="64">
        <v>446</v>
      </c>
      <c r="L120">
        <v>187</v>
      </c>
    </row>
    <row r="121" spans="1:12" x14ac:dyDescent="0.25">
      <c r="A121" t="s">
        <v>230</v>
      </c>
      <c r="B121">
        <v>10530084</v>
      </c>
      <c r="C121" t="s">
        <v>62</v>
      </c>
      <c r="D121" s="64">
        <v>1550.4</v>
      </c>
      <c r="G121" t="str">
        <f t="shared" si="1"/>
        <v>105300840065</v>
      </c>
      <c r="H121" s="63" t="s">
        <v>230</v>
      </c>
      <c r="I121" s="63">
        <v>10530084</v>
      </c>
      <c r="J121" t="s">
        <v>62</v>
      </c>
      <c r="K121" s="64">
        <v>1550.4</v>
      </c>
      <c r="L121">
        <v>1550.4</v>
      </c>
    </row>
    <row r="122" spans="1:12" x14ac:dyDescent="0.25">
      <c r="A122" t="s">
        <v>230</v>
      </c>
      <c r="B122">
        <v>10530092</v>
      </c>
      <c r="C122" t="s">
        <v>34</v>
      </c>
      <c r="D122" s="64">
        <v>518</v>
      </c>
      <c r="G122" t="str">
        <f t="shared" si="1"/>
        <v>105300920003</v>
      </c>
      <c r="H122" s="63" t="s">
        <v>230</v>
      </c>
      <c r="I122" s="63">
        <v>10530092</v>
      </c>
      <c r="J122" t="s">
        <v>34</v>
      </c>
      <c r="K122" s="64">
        <v>518</v>
      </c>
      <c r="L122">
        <v>518</v>
      </c>
    </row>
    <row r="123" spans="1:12" x14ac:dyDescent="0.25">
      <c r="A123" t="s">
        <v>230</v>
      </c>
      <c r="B123">
        <v>10530093</v>
      </c>
      <c r="C123" t="s">
        <v>121</v>
      </c>
      <c r="D123" s="64">
        <v>743</v>
      </c>
      <c r="G123" t="str">
        <f t="shared" si="1"/>
        <v>105300930044</v>
      </c>
      <c r="H123" s="63" t="s">
        <v>230</v>
      </c>
      <c r="I123" s="63">
        <v>10530093</v>
      </c>
      <c r="J123" t="s">
        <v>121</v>
      </c>
      <c r="K123" s="64">
        <v>743</v>
      </c>
      <c r="L123">
        <v>78</v>
      </c>
    </row>
    <row r="124" spans="1:12" x14ac:dyDescent="0.25">
      <c r="A124" t="s">
        <v>230</v>
      </c>
      <c r="B124">
        <v>10530096</v>
      </c>
      <c r="C124" t="s">
        <v>22</v>
      </c>
      <c r="D124" s="64">
        <v>12600</v>
      </c>
      <c r="G124" t="str">
        <f t="shared" si="1"/>
        <v>105300960002</v>
      </c>
      <c r="H124" s="63" t="s">
        <v>230</v>
      </c>
      <c r="I124" s="63">
        <v>10530096</v>
      </c>
      <c r="J124" t="s">
        <v>22</v>
      </c>
      <c r="K124" s="64">
        <v>12600</v>
      </c>
      <c r="L124">
        <v>12600</v>
      </c>
    </row>
    <row r="125" spans="1:12" x14ac:dyDescent="0.25">
      <c r="A125" t="s">
        <v>230</v>
      </c>
      <c r="B125">
        <v>10530103</v>
      </c>
      <c r="C125" t="s">
        <v>22</v>
      </c>
      <c r="D125" s="64">
        <v>6200</v>
      </c>
      <c r="G125" t="str">
        <f t="shared" si="1"/>
        <v>105301030002</v>
      </c>
      <c r="H125" s="63" t="s">
        <v>230</v>
      </c>
      <c r="I125" s="63">
        <v>10530103</v>
      </c>
      <c r="J125" t="s">
        <v>22</v>
      </c>
      <c r="K125" s="64">
        <v>6200</v>
      </c>
      <c r="L125">
        <v>6200</v>
      </c>
    </row>
    <row r="126" spans="1:12" x14ac:dyDescent="0.25">
      <c r="A126" t="s">
        <v>230</v>
      </c>
      <c r="B126">
        <v>10530103</v>
      </c>
      <c r="C126" t="s">
        <v>56</v>
      </c>
      <c r="D126" s="64">
        <v>4650</v>
      </c>
      <c r="G126" t="str">
        <f t="shared" si="1"/>
        <v>105301030004</v>
      </c>
      <c r="H126" s="63" t="s">
        <v>230</v>
      </c>
      <c r="I126" s="63">
        <v>10530103</v>
      </c>
      <c r="J126" t="s">
        <v>56</v>
      </c>
      <c r="K126" s="64">
        <v>4650</v>
      </c>
      <c r="L126">
        <v>4650</v>
      </c>
    </row>
    <row r="127" spans="1:12" x14ac:dyDescent="0.25">
      <c r="A127" t="s">
        <v>230</v>
      </c>
      <c r="B127">
        <v>10530103</v>
      </c>
      <c r="C127" t="s">
        <v>78</v>
      </c>
      <c r="D127" s="64">
        <v>1550</v>
      </c>
      <c r="G127" t="str">
        <f t="shared" si="1"/>
        <v>105301030006</v>
      </c>
      <c r="H127" s="63" t="s">
        <v>230</v>
      </c>
      <c r="I127" s="63">
        <v>10530103</v>
      </c>
      <c r="J127" t="s">
        <v>78</v>
      </c>
      <c r="K127" s="64">
        <v>1550</v>
      </c>
      <c r="L127">
        <v>1550</v>
      </c>
    </row>
    <row r="128" spans="1:12" x14ac:dyDescent="0.25">
      <c r="A128" t="s">
        <v>230</v>
      </c>
      <c r="B128">
        <v>10530103</v>
      </c>
      <c r="C128" t="s">
        <v>45</v>
      </c>
      <c r="D128" s="64">
        <v>948</v>
      </c>
      <c r="G128" t="str">
        <f t="shared" si="1"/>
        <v>105301030009</v>
      </c>
      <c r="H128" s="63" t="s">
        <v>230</v>
      </c>
      <c r="I128" s="63">
        <v>10530103</v>
      </c>
      <c r="J128" t="s">
        <v>45</v>
      </c>
      <c r="K128" s="64">
        <v>948</v>
      </c>
      <c r="L128">
        <v>577</v>
      </c>
    </row>
    <row r="129" spans="1:12" x14ac:dyDescent="0.25">
      <c r="A129" t="s">
        <v>230</v>
      </c>
      <c r="B129">
        <v>10530103</v>
      </c>
      <c r="C129" t="s">
        <v>76</v>
      </c>
      <c r="D129" s="64">
        <v>3100</v>
      </c>
      <c r="G129" t="str">
        <f t="shared" si="1"/>
        <v>105301030030</v>
      </c>
      <c r="H129" s="63" t="s">
        <v>230</v>
      </c>
      <c r="I129" s="63">
        <v>10530103</v>
      </c>
      <c r="J129" t="s">
        <v>76</v>
      </c>
      <c r="K129" s="64">
        <v>3100</v>
      </c>
      <c r="L129">
        <v>3100</v>
      </c>
    </row>
    <row r="130" spans="1:12" x14ac:dyDescent="0.25">
      <c r="A130" t="s">
        <v>230</v>
      </c>
      <c r="B130">
        <v>10530103</v>
      </c>
      <c r="C130" t="s">
        <v>183</v>
      </c>
      <c r="D130" s="64">
        <v>524</v>
      </c>
      <c r="G130" t="str">
        <f t="shared" si="1"/>
        <v>105301030050</v>
      </c>
      <c r="H130" s="63" t="s">
        <v>230</v>
      </c>
      <c r="I130" s="63">
        <v>10530103</v>
      </c>
      <c r="J130" t="s">
        <v>183</v>
      </c>
      <c r="K130" s="64">
        <v>524</v>
      </c>
      <c r="L130">
        <v>524</v>
      </c>
    </row>
    <row r="131" spans="1:12" x14ac:dyDescent="0.25">
      <c r="A131" t="s">
        <v>230</v>
      </c>
      <c r="B131">
        <v>10530109</v>
      </c>
      <c r="C131" t="s">
        <v>56</v>
      </c>
      <c r="D131" s="64">
        <v>7750</v>
      </c>
      <c r="G131" t="str">
        <f t="shared" si="1"/>
        <v>105301090004</v>
      </c>
      <c r="H131" s="63" t="s">
        <v>230</v>
      </c>
      <c r="I131" s="63">
        <v>10530109</v>
      </c>
      <c r="J131" t="s">
        <v>56</v>
      </c>
      <c r="K131" s="64">
        <v>7750</v>
      </c>
      <c r="L131">
        <v>7750</v>
      </c>
    </row>
    <row r="132" spans="1:12" x14ac:dyDescent="0.25">
      <c r="A132" t="s">
        <v>230</v>
      </c>
      <c r="B132">
        <v>10530109</v>
      </c>
      <c r="C132" t="s">
        <v>53</v>
      </c>
      <c r="D132" s="64">
        <v>1550</v>
      </c>
      <c r="G132" t="str">
        <f t="shared" si="1"/>
        <v>105301090010</v>
      </c>
      <c r="H132" s="63" t="s">
        <v>230</v>
      </c>
      <c r="I132" s="63">
        <v>10530109</v>
      </c>
      <c r="J132" t="s">
        <v>53</v>
      </c>
      <c r="K132" s="64">
        <v>1550</v>
      </c>
      <c r="L132">
        <v>1550</v>
      </c>
    </row>
    <row r="133" spans="1:12" x14ac:dyDescent="0.25">
      <c r="A133" t="s">
        <v>230</v>
      </c>
      <c r="B133">
        <v>10530109</v>
      </c>
      <c r="C133" t="s">
        <v>20</v>
      </c>
      <c r="D133" s="64">
        <v>1550</v>
      </c>
      <c r="G133" t="str">
        <f t="shared" si="1"/>
        <v>105301090015</v>
      </c>
      <c r="H133" s="63" t="s">
        <v>230</v>
      </c>
      <c r="I133" s="63">
        <v>10530109</v>
      </c>
      <c r="J133" t="s">
        <v>20</v>
      </c>
      <c r="K133" s="64">
        <v>1550</v>
      </c>
      <c r="L133">
        <v>1550</v>
      </c>
    </row>
    <row r="134" spans="1:12" x14ac:dyDescent="0.25">
      <c r="A134" t="s">
        <v>230</v>
      </c>
      <c r="B134">
        <v>10530109</v>
      </c>
      <c r="C134" t="s">
        <v>94</v>
      </c>
      <c r="D134" s="64">
        <v>54</v>
      </c>
      <c r="G134" t="str">
        <f t="shared" ref="G134:G157" si="2">CONCATENATE(I134,J134)</f>
        <v>105301090024</v>
      </c>
      <c r="H134" s="63" t="s">
        <v>230</v>
      </c>
      <c r="I134" s="63">
        <v>10530109</v>
      </c>
      <c r="J134" t="s">
        <v>94</v>
      </c>
      <c r="K134" s="64">
        <v>54</v>
      </c>
      <c r="L134">
        <v>54</v>
      </c>
    </row>
    <row r="135" spans="1:12" x14ac:dyDescent="0.25">
      <c r="A135" t="s">
        <v>230</v>
      </c>
      <c r="B135">
        <v>10530113</v>
      </c>
      <c r="C135" t="s">
        <v>22</v>
      </c>
      <c r="D135" s="64">
        <v>4650</v>
      </c>
      <c r="G135" t="str">
        <f t="shared" si="2"/>
        <v>105301130002</v>
      </c>
      <c r="H135" s="63" t="s">
        <v>230</v>
      </c>
      <c r="I135" s="63">
        <v>10530113</v>
      </c>
      <c r="J135" t="s">
        <v>22</v>
      </c>
      <c r="K135" s="64">
        <v>4650</v>
      </c>
      <c r="L135">
        <v>4650</v>
      </c>
    </row>
    <row r="136" spans="1:12" x14ac:dyDescent="0.25">
      <c r="A136" t="s">
        <v>230</v>
      </c>
      <c r="B136">
        <v>10540008</v>
      </c>
      <c r="C136" t="s">
        <v>53</v>
      </c>
      <c r="D136" s="64">
        <v>1289</v>
      </c>
      <c r="G136" t="str">
        <f t="shared" si="2"/>
        <v>105400080010</v>
      </c>
      <c r="H136" s="63" t="s">
        <v>230</v>
      </c>
      <c r="I136" s="63">
        <v>10540008</v>
      </c>
      <c r="J136" t="s">
        <v>53</v>
      </c>
      <c r="K136" s="64">
        <v>1289</v>
      </c>
      <c r="L136">
        <v>1018</v>
      </c>
    </row>
    <row r="137" spans="1:12" x14ac:dyDescent="0.25">
      <c r="A137" t="s">
        <v>230</v>
      </c>
      <c r="B137">
        <v>10540043</v>
      </c>
      <c r="C137" t="s">
        <v>22</v>
      </c>
      <c r="D137" s="64">
        <v>9573</v>
      </c>
      <c r="G137" t="str">
        <f t="shared" si="2"/>
        <v>105400430002</v>
      </c>
      <c r="H137" s="63" t="s">
        <v>230</v>
      </c>
      <c r="I137" s="63">
        <v>10540043</v>
      </c>
      <c r="J137" t="s">
        <v>22</v>
      </c>
      <c r="K137" s="64">
        <v>9573</v>
      </c>
      <c r="L137">
        <v>6111</v>
      </c>
    </row>
    <row r="138" spans="1:12" x14ac:dyDescent="0.25">
      <c r="A138" t="s">
        <v>230</v>
      </c>
      <c r="B138">
        <v>10540050</v>
      </c>
      <c r="C138" t="s">
        <v>22</v>
      </c>
      <c r="D138" s="64">
        <v>3064</v>
      </c>
      <c r="G138" t="str">
        <f t="shared" si="2"/>
        <v>105400500002</v>
      </c>
      <c r="H138" s="63" t="s">
        <v>230</v>
      </c>
      <c r="I138" s="63">
        <v>10540050</v>
      </c>
      <c r="J138" t="s">
        <v>22</v>
      </c>
      <c r="K138" s="64">
        <v>3064</v>
      </c>
      <c r="L138">
        <v>3064</v>
      </c>
    </row>
    <row r="139" spans="1:12" x14ac:dyDescent="0.25">
      <c r="A139" t="s">
        <v>230</v>
      </c>
      <c r="B139">
        <v>10590001</v>
      </c>
      <c r="C139" t="s">
        <v>22</v>
      </c>
      <c r="D139" s="64">
        <v>4050</v>
      </c>
      <c r="G139" t="str">
        <f t="shared" si="2"/>
        <v>105900010002</v>
      </c>
      <c r="H139" s="63" t="s">
        <v>230</v>
      </c>
      <c r="I139" s="63">
        <v>10590001</v>
      </c>
      <c r="J139" t="s">
        <v>22</v>
      </c>
      <c r="K139" s="64">
        <v>4050</v>
      </c>
      <c r="L139">
        <v>4050</v>
      </c>
    </row>
    <row r="140" spans="1:12" x14ac:dyDescent="0.25">
      <c r="A140" t="s">
        <v>230</v>
      </c>
      <c r="B140">
        <v>10590004</v>
      </c>
      <c r="C140" t="s">
        <v>45</v>
      </c>
      <c r="D140" s="64">
        <v>6750</v>
      </c>
      <c r="G140" t="str">
        <f t="shared" si="2"/>
        <v>105900040009</v>
      </c>
      <c r="H140" s="63" t="s">
        <v>230</v>
      </c>
      <c r="I140" s="63">
        <v>10590004</v>
      </c>
      <c r="J140" t="s">
        <v>45</v>
      </c>
      <c r="K140" s="64">
        <v>6750</v>
      </c>
      <c r="L140">
        <v>6750</v>
      </c>
    </row>
    <row r="141" spans="1:12" x14ac:dyDescent="0.25">
      <c r="A141" t="s">
        <v>230</v>
      </c>
      <c r="B141">
        <v>10590009</v>
      </c>
      <c r="C141" t="s">
        <v>22</v>
      </c>
      <c r="D141" s="64">
        <v>2700</v>
      </c>
      <c r="G141" t="str">
        <f t="shared" si="2"/>
        <v>105900090002</v>
      </c>
      <c r="H141" s="63" t="s">
        <v>230</v>
      </c>
      <c r="I141" s="63">
        <v>10590009</v>
      </c>
      <c r="J141" t="s">
        <v>22</v>
      </c>
      <c r="K141" s="64">
        <v>2700</v>
      </c>
      <c r="L141">
        <v>2700</v>
      </c>
    </row>
    <row r="142" spans="1:12" x14ac:dyDescent="0.25">
      <c r="A142" t="s">
        <v>230</v>
      </c>
      <c r="B142">
        <v>10590012</v>
      </c>
      <c r="C142" t="s">
        <v>22</v>
      </c>
      <c r="D142" s="64">
        <v>1350</v>
      </c>
      <c r="G142" t="str">
        <f t="shared" si="2"/>
        <v>105900120002</v>
      </c>
      <c r="H142" s="63" t="s">
        <v>230</v>
      </c>
      <c r="I142" s="63">
        <v>10590012</v>
      </c>
      <c r="J142" t="s">
        <v>22</v>
      </c>
      <c r="K142" s="64">
        <v>1350</v>
      </c>
      <c r="L142">
        <v>1350</v>
      </c>
    </row>
    <row r="143" spans="1:12" x14ac:dyDescent="0.25">
      <c r="A143" t="s">
        <v>230</v>
      </c>
      <c r="B143">
        <v>10590013</v>
      </c>
      <c r="C143" t="s">
        <v>22</v>
      </c>
      <c r="D143" s="64">
        <v>1350</v>
      </c>
      <c r="G143" t="str">
        <f t="shared" si="2"/>
        <v>105900130002</v>
      </c>
      <c r="H143" s="63" t="s">
        <v>230</v>
      </c>
      <c r="I143" s="63">
        <v>10590013</v>
      </c>
      <c r="J143" t="s">
        <v>22</v>
      </c>
      <c r="K143" s="64">
        <v>1350</v>
      </c>
      <c r="L143">
        <v>1350</v>
      </c>
    </row>
    <row r="144" spans="1:12" x14ac:dyDescent="0.25">
      <c r="A144" t="s">
        <v>230</v>
      </c>
      <c r="B144">
        <v>10600004</v>
      </c>
      <c r="C144" t="s">
        <v>34</v>
      </c>
      <c r="D144" s="64">
        <v>1330</v>
      </c>
      <c r="G144" t="str">
        <f t="shared" si="2"/>
        <v>106000040003</v>
      </c>
      <c r="H144" s="63" t="s">
        <v>230</v>
      </c>
      <c r="I144" s="63">
        <v>10600004</v>
      </c>
      <c r="J144" t="s">
        <v>34</v>
      </c>
      <c r="K144" s="64">
        <v>1330</v>
      </c>
      <c r="L144">
        <v>1330</v>
      </c>
    </row>
    <row r="145" spans="1:12" x14ac:dyDescent="0.25">
      <c r="A145" t="s">
        <v>230</v>
      </c>
      <c r="B145">
        <v>10600005</v>
      </c>
      <c r="C145" t="s">
        <v>22</v>
      </c>
      <c r="D145" s="64">
        <v>1330</v>
      </c>
      <c r="G145" t="str">
        <f t="shared" si="2"/>
        <v>106000050002</v>
      </c>
      <c r="H145" s="63" t="s">
        <v>230</v>
      </c>
      <c r="I145" s="63">
        <v>10600005</v>
      </c>
      <c r="J145" t="s">
        <v>22</v>
      </c>
      <c r="K145" s="64">
        <v>1330</v>
      </c>
      <c r="L145">
        <v>1330</v>
      </c>
    </row>
    <row r="146" spans="1:12" x14ac:dyDescent="0.25">
      <c r="A146" t="s">
        <v>230</v>
      </c>
      <c r="B146">
        <v>10610005</v>
      </c>
      <c r="C146" t="s">
        <v>22</v>
      </c>
      <c r="D146" s="64">
        <v>3100</v>
      </c>
      <c r="G146" t="str">
        <f t="shared" si="2"/>
        <v>106100050002</v>
      </c>
      <c r="H146" s="63" t="s">
        <v>230</v>
      </c>
      <c r="I146" s="63">
        <v>10610005</v>
      </c>
      <c r="J146" t="s">
        <v>22</v>
      </c>
      <c r="K146" s="64">
        <v>3100</v>
      </c>
      <c r="L146">
        <v>3100</v>
      </c>
    </row>
    <row r="147" spans="1:12" x14ac:dyDescent="0.25">
      <c r="A147" t="s">
        <v>230</v>
      </c>
      <c r="B147">
        <v>10610009</v>
      </c>
      <c r="C147" t="s">
        <v>127</v>
      </c>
      <c r="D147" s="64">
        <v>0</v>
      </c>
      <c r="G147" t="str">
        <f t="shared" si="2"/>
        <v>106100090079</v>
      </c>
      <c r="H147" s="63" t="s">
        <v>230</v>
      </c>
      <c r="I147" s="63">
        <v>10610009</v>
      </c>
      <c r="J147" t="s">
        <v>127</v>
      </c>
      <c r="K147" s="64">
        <v>0</v>
      </c>
      <c r="L147">
        <v>0</v>
      </c>
    </row>
    <row r="148" spans="1:12" x14ac:dyDescent="0.25">
      <c r="A148" t="s">
        <v>230</v>
      </c>
      <c r="B148">
        <v>10610018</v>
      </c>
      <c r="C148" t="s">
        <v>22</v>
      </c>
      <c r="D148" s="64">
        <v>5600</v>
      </c>
      <c r="G148" t="str">
        <f t="shared" si="2"/>
        <v>106100180002</v>
      </c>
      <c r="H148" s="63" t="s">
        <v>230</v>
      </c>
      <c r="I148" s="63">
        <v>10610018</v>
      </c>
      <c r="J148" t="s">
        <v>22</v>
      </c>
      <c r="K148" s="64">
        <v>5600</v>
      </c>
      <c r="L148">
        <v>5600</v>
      </c>
    </row>
    <row r="149" spans="1:12" x14ac:dyDescent="0.25">
      <c r="A149" t="s">
        <v>230</v>
      </c>
      <c r="B149">
        <v>10610018</v>
      </c>
      <c r="C149" t="s">
        <v>78</v>
      </c>
      <c r="D149" s="64">
        <v>1400</v>
      </c>
      <c r="G149" t="str">
        <f t="shared" si="2"/>
        <v>106100180006</v>
      </c>
      <c r="H149" s="63" t="s">
        <v>230</v>
      </c>
      <c r="I149" s="63">
        <v>10610018</v>
      </c>
      <c r="J149" t="s">
        <v>78</v>
      </c>
      <c r="K149" s="64">
        <v>1400</v>
      </c>
      <c r="L149">
        <v>1238</v>
      </c>
    </row>
    <row r="150" spans="1:12" x14ac:dyDescent="0.25">
      <c r="A150" t="s">
        <v>230</v>
      </c>
      <c r="B150">
        <v>10610018</v>
      </c>
      <c r="C150" t="s">
        <v>83</v>
      </c>
      <c r="D150" s="64">
        <v>1376</v>
      </c>
      <c r="G150" t="str">
        <f t="shared" si="2"/>
        <v>106100180018</v>
      </c>
      <c r="H150" s="63" t="s">
        <v>230</v>
      </c>
      <c r="I150" s="63">
        <v>10610018</v>
      </c>
      <c r="J150" t="s">
        <v>83</v>
      </c>
      <c r="K150" s="64">
        <v>1376</v>
      </c>
      <c r="L150">
        <v>1319</v>
      </c>
    </row>
    <row r="151" spans="1:12" x14ac:dyDescent="0.25">
      <c r="A151" t="s">
        <v>230</v>
      </c>
      <c r="B151">
        <v>10660001</v>
      </c>
      <c r="C151" t="s">
        <v>22</v>
      </c>
      <c r="D151" s="64">
        <v>1550</v>
      </c>
      <c r="G151" t="str">
        <f t="shared" si="2"/>
        <v>106600010002</v>
      </c>
      <c r="H151" s="63" t="s">
        <v>230</v>
      </c>
      <c r="I151" s="63">
        <v>10660001</v>
      </c>
      <c r="J151" t="s">
        <v>22</v>
      </c>
      <c r="K151" s="64">
        <v>1550</v>
      </c>
      <c r="L151">
        <v>1550</v>
      </c>
    </row>
    <row r="152" spans="1:12" x14ac:dyDescent="0.25">
      <c r="A152" t="s">
        <v>230</v>
      </c>
      <c r="B152">
        <v>10660001</v>
      </c>
      <c r="C152" t="s">
        <v>56</v>
      </c>
      <c r="D152" s="64">
        <v>1550</v>
      </c>
      <c r="G152" t="str">
        <f t="shared" si="2"/>
        <v>106600010004</v>
      </c>
      <c r="H152" s="63" t="s">
        <v>230</v>
      </c>
      <c r="I152" s="63">
        <v>10660001</v>
      </c>
      <c r="J152" t="s">
        <v>56</v>
      </c>
      <c r="K152" s="64">
        <v>1550</v>
      </c>
      <c r="L152">
        <v>1550</v>
      </c>
    </row>
    <row r="153" spans="1:12" x14ac:dyDescent="0.25">
      <c r="A153" t="s">
        <v>230</v>
      </c>
      <c r="B153">
        <v>10660001</v>
      </c>
      <c r="C153" t="s">
        <v>156</v>
      </c>
      <c r="D153" s="64">
        <v>1550</v>
      </c>
      <c r="G153" t="str">
        <f t="shared" si="2"/>
        <v>106600010012</v>
      </c>
      <c r="H153" s="63" t="s">
        <v>230</v>
      </c>
      <c r="I153" s="63">
        <v>10660001</v>
      </c>
      <c r="J153" t="s">
        <v>156</v>
      </c>
      <c r="K153" s="64">
        <v>1550</v>
      </c>
      <c r="L153">
        <v>1550</v>
      </c>
    </row>
    <row r="154" spans="1:12" x14ac:dyDescent="0.25">
      <c r="A154" t="s">
        <v>230</v>
      </c>
      <c r="B154">
        <v>10660001</v>
      </c>
      <c r="C154" t="s">
        <v>55</v>
      </c>
      <c r="D154" s="64">
        <v>1550</v>
      </c>
      <c r="G154" t="str">
        <f t="shared" si="2"/>
        <v>106600010017</v>
      </c>
      <c r="H154" s="63" t="s">
        <v>230</v>
      </c>
      <c r="I154" s="63">
        <v>10660001</v>
      </c>
      <c r="J154" t="s">
        <v>55</v>
      </c>
      <c r="K154" s="64">
        <v>1550</v>
      </c>
      <c r="L154">
        <v>615</v>
      </c>
    </row>
    <row r="155" spans="1:12" x14ac:dyDescent="0.25">
      <c r="A155" t="s">
        <v>230</v>
      </c>
      <c r="B155">
        <v>10660002</v>
      </c>
      <c r="C155" t="s">
        <v>22</v>
      </c>
      <c r="D155" s="64">
        <v>2590</v>
      </c>
      <c r="G155" t="str">
        <f t="shared" si="2"/>
        <v>106600020002</v>
      </c>
      <c r="H155" s="63" t="s">
        <v>230</v>
      </c>
      <c r="I155" s="63">
        <v>10660002</v>
      </c>
      <c r="J155" t="s">
        <v>22</v>
      </c>
      <c r="K155" s="64">
        <v>2590</v>
      </c>
      <c r="L155">
        <v>2590</v>
      </c>
    </row>
    <row r="156" spans="1:12" x14ac:dyDescent="0.25">
      <c r="A156" t="s">
        <v>230</v>
      </c>
      <c r="B156">
        <v>10660004</v>
      </c>
      <c r="C156" t="s">
        <v>34</v>
      </c>
      <c r="D156" s="64">
        <v>1700</v>
      </c>
      <c r="G156" t="str">
        <f t="shared" si="2"/>
        <v>106600040003</v>
      </c>
      <c r="H156" s="63" t="s">
        <v>230</v>
      </c>
      <c r="I156" s="63">
        <v>10660004</v>
      </c>
      <c r="J156" t="s">
        <v>34</v>
      </c>
      <c r="K156" s="64">
        <v>1700</v>
      </c>
      <c r="L156">
        <v>1650</v>
      </c>
    </row>
    <row r="157" spans="1:12" x14ac:dyDescent="0.25">
      <c r="A157" t="s">
        <v>230</v>
      </c>
      <c r="B157">
        <v>10660028</v>
      </c>
      <c r="C157" t="s">
        <v>22</v>
      </c>
      <c r="D157" s="64">
        <v>2590</v>
      </c>
      <c r="G157" t="str">
        <f t="shared" si="2"/>
        <v>106600280002</v>
      </c>
      <c r="H157" s="65" t="s">
        <v>230</v>
      </c>
      <c r="I157" s="63">
        <v>10660028</v>
      </c>
      <c r="J157" t="s">
        <v>22</v>
      </c>
      <c r="K157" s="64">
        <v>2590</v>
      </c>
      <c r="L157">
        <v>2590</v>
      </c>
    </row>
    <row r="158" spans="1:12" x14ac:dyDescent="0.25">
      <c r="A158" t="s">
        <v>234</v>
      </c>
      <c r="D158" s="64">
        <v>342671.09</v>
      </c>
      <c r="G158" s="66" t="s">
        <v>234</v>
      </c>
      <c r="H158" s="66"/>
      <c r="I158" s="66"/>
      <c r="J158" s="66"/>
      <c r="K158" s="70">
        <v>342671.09</v>
      </c>
      <c r="L158" s="70">
        <f>SUM(L5:L157)</f>
        <v>293456.80000000005</v>
      </c>
    </row>
    <row r="159" spans="1:12" x14ac:dyDescent="0.25">
      <c r="A159" t="s">
        <v>231</v>
      </c>
      <c r="B159">
        <v>10030069</v>
      </c>
      <c r="C159" t="s">
        <v>22</v>
      </c>
      <c r="D159" s="64">
        <v>0.5</v>
      </c>
    </row>
    <row r="160" spans="1:12" x14ac:dyDescent="0.25">
      <c r="A160" t="s">
        <v>231</v>
      </c>
      <c r="B160">
        <v>10110008</v>
      </c>
      <c r="C160" t="s">
        <v>22</v>
      </c>
      <c r="D160" s="64">
        <v>144000</v>
      </c>
    </row>
    <row r="161" spans="1:4" x14ac:dyDescent="0.25">
      <c r="A161" t="s">
        <v>231</v>
      </c>
      <c r="B161">
        <v>10110153</v>
      </c>
      <c r="C161" t="s">
        <v>22</v>
      </c>
      <c r="D161" s="64">
        <v>1350</v>
      </c>
    </row>
    <row r="162" spans="1:4" x14ac:dyDescent="0.25">
      <c r="A162" t="s">
        <v>231</v>
      </c>
      <c r="B162">
        <v>10110161</v>
      </c>
      <c r="C162" t="s">
        <v>22</v>
      </c>
      <c r="D162" s="64">
        <v>1350</v>
      </c>
    </row>
    <row r="163" spans="1:4" x14ac:dyDescent="0.25">
      <c r="A163" t="s">
        <v>231</v>
      </c>
      <c r="B163">
        <v>10110183</v>
      </c>
      <c r="C163" t="s">
        <v>22</v>
      </c>
      <c r="D163" s="64">
        <v>1350</v>
      </c>
    </row>
    <row r="164" spans="1:4" x14ac:dyDescent="0.25">
      <c r="A164" t="s">
        <v>231</v>
      </c>
      <c r="B164">
        <v>10120010</v>
      </c>
      <c r="C164" t="s">
        <v>22</v>
      </c>
      <c r="D164" s="64">
        <v>2800</v>
      </c>
    </row>
    <row r="165" spans="1:4" x14ac:dyDescent="0.25">
      <c r="A165" t="s">
        <v>231</v>
      </c>
      <c r="B165">
        <v>10120011</v>
      </c>
      <c r="C165" t="s">
        <v>22</v>
      </c>
      <c r="D165" s="64">
        <v>4650</v>
      </c>
    </row>
    <row r="166" spans="1:4" x14ac:dyDescent="0.25">
      <c r="A166" t="s">
        <v>231</v>
      </c>
      <c r="B166">
        <v>10120013</v>
      </c>
      <c r="C166" t="s">
        <v>22</v>
      </c>
      <c r="D166" s="64">
        <v>2800</v>
      </c>
    </row>
    <row r="167" spans="1:4" x14ac:dyDescent="0.25">
      <c r="A167" t="s">
        <v>231</v>
      </c>
      <c r="B167">
        <v>10120022</v>
      </c>
      <c r="C167" t="s">
        <v>22</v>
      </c>
      <c r="D167" s="64">
        <v>640</v>
      </c>
    </row>
    <row r="168" spans="1:4" x14ac:dyDescent="0.25">
      <c r="A168" t="s">
        <v>231</v>
      </c>
      <c r="B168">
        <v>10120049</v>
      </c>
      <c r="C168" t="s">
        <v>22</v>
      </c>
      <c r="D168" s="64">
        <v>3100</v>
      </c>
    </row>
    <row r="169" spans="1:4" x14ac:dyDescent="0.25">
      <c r="A169" t="s">
        <v>231</v>
      </c>
      <c r="B169">
        <v>10130005</v>
      </c>
      <c r="C169" t="s">
        <v>22</v>
      </c>
      <c r="D169" s="64">
        <v>1400</v>
      </c>
    </row>
    <row r="170" spans="1:4" x14ac:dyDescent="0.25">
      <c r="A170" t="s">
        <v>231</v>
      </c>
      <c r="B170">
        <v>10130018</v>
      </c>
      <c r="C170" t="s">
        <v>22</v>
      </c>
      <c r="D170" s="64">
        <v>1400</v>
      </c>
    </row>
    <row r="171" spans="1:4" x14ac:dyDescent="0.25">
      <c r="A171" t="s">
        <v>231</v>
      </c>
      <c r="B171">
        <v>10130031</v>
      </c>
      <c r="C171" t="s">
        <v>22</v>
      </c>
      <c r="D171" s="64">
        <v>1669</v>
      </c>
    </row>
    <row r="172" spans="1:4" x14ac:dyDescent="0.25">
      <c r="A172" t="s">
        <v>231</v>
      </c>
      <c r="B172">
        <v>10130081</v>
      </c>
      <c r="C172" t="s">
        <v>22</v>
      </c>
      <c r="D172" s="64">
        <v>1400</v>
      </c>
    </row>
    <row r="173" spans="1:4" x14ac:dyDescent="0.25">
      <c r="A173" t="s">
        <v>231</v>
      </c>
      <c r="B173">
        <v>10130122</v>
      </c>
      <c r="C173" t="s">
        <v>22</v>
      </c>
      <c r="D173" s="64">
        <v>2638</v>
      </c>
    </row>
    <row r="174" spans="1:4" x14ac:dyDescent="0.25">
      <c r="A174" t="s">
        <v>231</v>
      </c>
      <c r="B174">
        <v>10530015</v>
      </c>
      <c r="C174" t="s">
        <v>22</v>
      </c>
      <c r="D174" s="64">
        <v>2800</v>
      </c>
    </row>
    <row r="175" spans="1:4" x14ac:dyDescent="0.25">
      <c r="A175" t="s">
        <v>231</v>
      </c>
      <c r="B175">
        <v>10530031</v>
      </c>
      <c r="C175" t="s">
        <v>22</v>
      </c>
      <c r="D175" s="64">
        <v>1550</v>
      </c>
    </row>
    <row r="176" spans="1:4" x14ac:dyDescent="0.25">
      <c r="A176" t="s">
        <v>231</v>
      </c>
      <c r="B176">
        <v>10530038</v>
      </c>
      <c r="C176" t="s">
        <v>39</v>
      </c>
      <c r="D176" s="64">
        <v>1400</v>
      </c>
    </row>
    <row r="177" spans="1:4" x14ac:dyDescent="0.25">
      <c r="A177" t="s">
        <v>231</v>
      </c>
      <c r="B177">
        <v>10530069</v>
      </c>
      <c r="C177" t="s">
        <v>189</v>
      </c>
      <c r="D177" s="64">
        <v>1550</v>
      </c>
    </row>
    <row r="178" spans="1:4" x14ac:dyDescent="0.25">
      <c r="A178" t="s">
        <v>231</v>
      </c>
      <c r="B178">
        <v>10530117</v>
      </c>
      <c r="C178" t="s">
        <v>22</v>
      </c>
      <c r="D178" s="64">
        <v>24375</v>
      </c>
    </row>
    <row r="179" spans="1:4" x14ac:dyDescent="0.25">
      <c r="A179" t="s">
        <v>231</v>
      </c>
      <c r="B179">
        <v>10660010</v>
      </c>
      <c r="C179" t="s">
        <v>53</v>
      </c>
      <c r="D179" s="64">
        <v>1001</v>
      </c>
    </row>
    <row r="180" spans="1:4" x14ac:dyDescent="0.25">
      <c r="A180" t="s">
        <v>235</v>
      </c>
      <c r="D180" s="64">
        <v>203223.5</v>
      </c>
    </row>
    <row r="181" spans="1:4" x14ac:dyDescent="0.25">
      <c r="A181" t="s">
        <v>232</v>
      </c>
      <c r="B181">
        <v>10660094</v>
      </c>
      <c r="C181" t="s">
        <v>165</v>
      </c>
      <c r="D181" s="64">
        <v>1400</v>
      </c>
    </row>
    <row r="182" spans="1:4" x14ac:dyDescent="0.25">
      <c r="A182" t="s">
        <v>236</v>
      </c>
      <c r="D182" s="64">
        <v>1400</v>
      </c>
    </row>
    <row r="183" spans="1:4" x14ac:dyDescent="0.25">
      <c r="A183" t="s">
        <v>233</v>
      </c>
      <c r="D183" s="64">
        <v>547294.59000000008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AEB4-0EFD-4157-9AB6-F82F5A30F6D5}">
  <sheetPr>
    <pageSetUpPr fitToPage="1"/>
  </sheetPr>
  <dimension ref="A1:Y198"/>
  <sheetViews>
    <sheetView tabSelected="1" topLeftCell="F173" workbookViewId="0">
      <selection activeCell="V203" sqref="V203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30" bestFit="1" customWidth="1"/>
    <col min="6" max="6" width="13.140625" bestFit="1" customWidth="1"/>
    <col min="7" max="7" width="12.28515625" bestFit="1" customWidth="1"/>
    <col min="8" max="8" width="7.85546875" bestFit="1" customWidth="1"/>
    <col min="9" max="9" width="26.85546875" style="34" bestFit="1" customWidth="1"/>
    <col min="10" max="10" width="14.28515625" bestFit="1" customWidth="1"/>
    <col min="11" max="11" width="18" customWidth="1"/>
    <col min="12" max="12" width="11.5703125" bestFit="1" customWidth="1"/>
    <col min="18" max="18" width="14.7109375" bestFit="1" customWidth="1"/>
    <col min="21" max="21" width="11.42578125" bestFit="1" customWidth="1"/>
    <col min="22" max="22" width="29.28515625" bestFit="1" customWidth="1"/>
  </cols>
  <sheetData>
    <row r="1" spans="1:24" s="25" customForma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229</v>
      </c>
      <c r="I1" s="23" t="s">
        <v>7</v>
      </c>
      <c r="J1" s="30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4" t="s">
        <v>223</v>
      </c>
      <c r="V1" s="24" t="s">
        <v>239</v>
      </c>
    </row>
    <row r="2" spans="1:24" x14ac:dyDescent="0.25">
      <c r="A2" s="1">
        <v>46235.449916377314</v>
      </c>
      <c r="B2" s="2" t="s">
        <v>96</v>
      </c>
      <c r="C2" s="3">
        <v>46235</v>
      </c>
      <c r="D2" s="2" t="s">
        <v>214</v>
      </c>
      <c r="E2" s="2" t="s">
        <v>30</v>
      </c>
      <c r="F2" t="str">
        <f>CONCATENATE(Table7[[#This Row],[MPG Code]],Table7[[#This Row],[Farmer code]])</f>
        <v>101100760004</v>
      </c>
      <c r="G2" s="9">
        <v>10110076</v>
      </c>
      <c r="H2" s="57" t="s">
        <v>230</v>
      </c>
      <c r="I2" s="7" t="s">
        <v>113</v>
      </c>
      <c r="J2" s="8" t="s">
        <v>56</v>
      </c>
      <c r="K2" s="7" t="s">
        <v>97</v>
      </c>
      <c r="L2" s="2" t="s">
        <v>21</v>
      </c>
      <c r="M2" s="4">
        <v>7</v>
      </c>
      <c r="N2" s="4">
        <v>1300</v>
      </c>
      <c r="O2" s="4">
        <v>9100</v>
      </c>
      <c r="P2" s="4">
        <v>0</v>
      </c>
      <c r="Q2" s="4">
        <v>9100</v>
      </c>
      <c r="R2" s="4">
        <v>7</v>
      </c>
      <c r="S2" s="55">
        <v>9100</v>
      </c>
      <c r="T2" s="5"/>
      <c r="U2" s="71">
        <v>9100</v>
      </c>
      <c r="V2" s="6"/>
    </row>
    <row r="3" spans="1:24" x14ac:dyDescent="0.25">
      <c r="A3" s="1">
        <v>46235.450382337964</v>
      </c>
      <c r="B3" s="2" t="s">
        <v>96</v>
      </c>
      <c r="C3" s="3">
        <v>46235</v>
      </c>
      <c r="D3" s="2" t="s">
        <v>214</v>
      </c>
      <c r="E3" s="2" t="s">
        <v>30</v>
      </c>
      <c r="F3" t="str">
        <f>CONCATENATE(Table7[[#This Row],[MPG Code]],Table7[[#This Row],[Farmer code]])</f>
        <v>101100760008</v>
      </c>
      <c r="G3" s="9">
        <v>10110076</v>
      </c>
      <c r="H3" s="57" t="s">
        <v>230</v>
      </c>
      <c r="I3" s="7" t="s">
        <v>113</v>
      </c>
      <c r="J3" s="8" t="s">
        <v>224</v>
      </c>
      <c r="K3" s="7" t="s">
        <v>97</v>
      </c>
      <c r="L3" s="2" t="s">
        <v>21</v>
      </c>
      <c r="M3" s="4">
        <v>8</v>
      </c>
      <c r="N3" s="4">
        <v>1300</v>
      </c>
      <c r="O3" s="4">
        <v>10400</v>
      </c>
      <c r="P3" s="4">
        <v>0</v>
      </c>
      <c r="Q3" s="4">
        <v>10400</v>
      </c>
      <c r="R3" s="4">
        <v>8</v>
      </c>
      <c r="S3" s="55">
        <v>10400</v>
      </c>
      <c r="T3" s="5"/>
      <c r="U3" s="71">
        <v>10400</v>
      </c>
      <c r="V3" s="6" t="s">
        <v>192</v>
      </c>
      <c r="X3" s="77">
        <f>Table7[[#This Row],[Final Amount]]-Table7[[#This Row],[Deduction]]</f>
        <v>0</v>
      </c>
    </row>
    <row r="4" spans="1:24" x14ac:dyDescent="0.25">
      <c r="A4" s="1">
        <v>46235.452820879626</v>
      </c>
      <c r="B4" s="2" t="s">
        <v>96</v>
      </c>
      <c r="C4" s="3">
        <v>46235</v>
      </c>
      <c r="D4" s="2" t="s">
        <v>214</v>
      </c>
      <c r="E4" s="2" t="s">
        <v>30</v>
      </c>
      <c r="F4" t="str">
        <f>CONCATENATE(Table7[[#This Row],[MPG Code]],Table7[[#This Row],[Farmer code]])</f>
        <v>101100860002</v>
      </c>
      <c r="G4" s="9">
        <v>10110086</v>
      </c>
      <c r="H4" s="57" t="s">
        <v>230</v>
      </c>
      <c r="I4" s="7" t="s">
        <v>130</v>
      </c>
      <c r="J4" s="8" t="s">
        <v>22</v>
      </c>
      <c r="K4" s="7" t="s">
        <v>97</v>
      </c>
      <c r="L4" s="2" t="s">
        <v>21</v>
      </c>
      <c r="M4" s="4">
        <v>9</v>
      </c>
      <c r="N4" s="4">
        <v>1350</v>
      </c>
      <c r="O4" s="4">
        <v>12150</v>
      </c>
      <c r="P4" s="4">
        <v>0</v>
      </c>
      <c r="Q4" s="4">
        <v>12150</v>
      </c>
      <c r="R4" s="4">
        <v>9</v>
      </c>
      <c r="S4" s="55">
        <v>12150</v>
      </c>
      <c r="T4" s="5"/>
      <c r="U4" s="71">
        <v>8637</v>
      </c>
      <c r="V4" s="6" t="s">
        <v>192</v>
      </c>
      <c r="X4" s="77">
        <f>Table7[[#This Row],[Final Amount]]-Table7[[#This Row],[Deduction]]</f>
        <v>3513</v>
      </c>
    </row>
    <row r="5" spans="1:24" x14ac:dyDescent="0.25">
      <c r="A5" s="1">
        <v>46236.395127835647</v>
      </c>
      <c r="B5" s="2" t="s">
        <v>26</v>
      </c>
      <c r="C5" s="3">
        <v>46236</v>
      </c>
      <c r="D5" s="2" t="s">
        <v>214</v>
      </c>
      <c r="E5" s="2" t="s">
        <v>30</v>
      </c>
      <c r="F5" t="str">
        <f>CONCATENATE(Table7[[#This Row],[MPG Code]],Table7[[#This Row],[Farmer code]])</f>
        <v>106100180018</v>
      </c>
      <c r="G5" s="9">
        <v>10610018</v>
      </c>
      <c r="H5" s="57" t="s">
        <v>230</v>
      </c>
      <c r="I5" s="7" t="s">
        <v>114</v>
      </c>
      <c r="J5" s="8" t="s">
        <v>83</v>
      </c>
      <c r="K5" s="7" t="s">
        <v>29</v>
      </c>
      <c r="L5" s="2" t="s">
        <v>21</v>
      </c>
      <c r="M5" s="4">
        <v>0</v>
      </c>
      <c r="N5" s="4">
        <v>1376</v>
      </c>
      <c r="O5" s="4">
        <v>0</v>
      </c>
      <c r="P5" s="4">
        <v>1376</v>
      </c>
      <c r="Q5" s="4">
        <v>1376</v>
      </c>
      <c r="R5" s="4">
        <v>0</v>
      </c>
      <c r="S5" s="55">
        <v>1376</v>
      </c>
      <c r="T5" s="5"/>
      <c r="U5" s="71">
        <v>1319</v>
      </c>
      <c r="V5" s="6"/>
    </row>
    <row r="6" spans="1:24" x14ac:dyDescent="0.25">
      <c r="A6" s="1">
        <v>46237.994452094907</v>
      </c>
      <c r="B6" s="2" t="s">
        <v>26</v>
      </c>
      <c r="C6" s="3">
        <v>46237</v>
      </c>
      <c r="D6" s="2" t="s">
        <v>214</v>
      </c>
      <c r="E6" s="2" t="s">
        <v>30</v>
      </c>
      <c r="F6" t="str">
        <f>CONCATENATE(Table7[[#This Row],[MPG Code]],Table7[[#This Row],[Farmer code]])</f>
        <v>106100090079</v>
      </c>
      <c r="G6" s="9">
        <v>10610009</v>
      </c>
      <c r="H6" s="57" t="s">
        <v>230</v>
      </c>
      <c r="I6" s="7" t="s">
        <v>91</v>
      </c>
      <c r="J6" s="8" t="s">
        <v>127</v>
      </c>
      <c r="K6" s="7" t="s">
        <v>29</v>
      </c>
      <c r="L6" s="2" t="s">
        <v>21</v>
      </c>
      <c r="M6" s="4">
        <v>0</v>
      </c>
      <c r="N6" s="4">
        <v>1400</v>
      </c>
      <c r="O6" s="4">
        <v>0</v>
      </c>
      <c r="P6" s="4">
        <v>0</v>
      </c>
      <c r="Q6" s="4">
        <v>0</v>
      </c>
      <c r="R6" s="4">
        <v>0</v>
      </c>
      <c r="S6" s="55">
        <v>0</v>
      </c>
      <c r="T6" s="5"/>
      <c r="U6" s="71">
        <v>0</v>
      </c>
      <c r="V6" s="6"/>
    </row>
    <row r="7" spans="1:24" x14ac:dyDescent="0.25">
      <c r="A7" s="1">
        <v>46239.491983148153</v>
      </c>
      <c r="B7" s="2" t="s">
        <v>96</v>
      </c>
      <c r="C7" s="3">
        <v>46239</v>
      </c>
      <c r="D7" s="2" t="s">
        <v>214</v>
      </c>
      <c r="E7" s="2" t="s">
        <v>30</v>
      </c>
      <c r="F7" t="str">
        <f>CONCATENATE(Table7[[#This Row],[MPG Code]],Table7[[#This Row],[Farmer code]])</f>
        <v>104300010002</v>
      </c>
      <c r="G7" s="9">
        <v>10430001</v>
      </c>
      <c r="H7" s="57" t="s">
        <v>230</v>
      </c>
      <c r="I7" s="7" t="s">
        <v>98</v>
      </c>
      <c r="J7" s="8" t="s">
        <v>22</v>
      </c>
      <c r="K7" s="7" t="s">
        <v>97</v>
      </c>
      <c r="L7" s="2" t="s">
        <v>21</v>
      </c>
      <c r="M7" s="4">
        <v>1</v>
      </c>
      <c r="N7" s="4">
        <v>1350</v>
      </c>
      <c r="O7" s="4">
        <v>1350</v>
      </c>
      <c r="P7" s="4">
        <v>0</v>
      </c>
      <c r="Q7" s="4">
        <v>1350</v>
      </c>
      <c r="R7" s="4">
        <v>1</v>
      </c>
      <c r="S7" s="55">
        <v>1350</v>
      </c>
      <c r="T7" s="5"/>
      <c r="U7" s="71">
        <v>0</v>
      </c>
      <c r="V7" s="6"/>
    </row>
    <row r="8" spans="1:24" x14ac:dyDescent="0.25">
      <c r="A8" s="1">
        <v>46239.492872465278</v>
      </c>
      <c r="B8" s="2" t="s">
        <v>96</v>
      </c>
      <c r="C8" s="3">
        <v>46239</v>
      </c>
      <c r="D8" s="2" t="s">
        <v>214</v>
      </c>
      <c r="E8" s="2" t="s">
        <v>30</v>
      </c>
      <c r="F8" t="str">
        <f>CONCATENATE(Table7[[#This Row],[MPG Code]],Table7[[#This Row],[Farmer code]])</f>
        <v>101101680002</v>
      </c>
      <c r="G8" s="9">
        <v>10110168</v>
      </c>
      <c r="H8" s="57" t="s">
        <v>230</v>
      </c>
      <c r="I8" s="7" t="s">
        <v>141</v>
      </c>
      <c r="J8" s="8" t="s">
        <v>22</v>
      </c>
      <c r="K8" s="7" t="s">
        <v>97</v>
      </c>
      <c r="L8" s="2" t="s">
        <v>21</v>
      </c>
      <c r="M8" s="4">
        <v>8</v>
      </c>
      <c r="N8" s="4">
        <v>1350</v>
      </c>
      <c r="O8" s="4">
        <v>10800</v>
      </c>
      <c r="P8" s="4">
        <v>0</v>
      </c>
      <c r="Q8" s="4">
        <v>10800</v>
      </c>
      <c r="R8" s="4">
        <v>8</v>
      </c>
      <c r="S8" s="55">
        <v>10800</v>
      </c>
      <c r="T8" s="5"/>
      <c r="U8" s="71">
        <v>10800</v>
      </c>
      <c r="V8" s="10" t="s">
        <v>193</v>
      </c>
      <c r="X8" s="77">
        <f>Table7[[#This Row],[Final Amount]]-Table7[[#This Row],[Deduction]]</f>
        <v>0</v>
      </c>
    </row>
    <row r="9" spans="1:24" x14ac:dyDescent="0.25">
      <c r="A9" s="1">
        <v>46239.493108877316</v>
      </c>
      <c r="B9" s="2" t="s">
        <v>96</v>
      </c>
      <c r="C9" s="3">
        <v>46239</v>
      </c>
      <c r="D9" s="2" t="s">
        <v>214</v>
      </c>
      <c r="E9" s="2" t="s">
        <v>30</v>
      </c>
      <c r="F9" t="str">
        <f>CONCATENATE(Table7[[#This Row],[MPG Code]],Table7[[#This Row],[Farmer code]])</f>
        <v>101100210030</v>
      </c>
      <c r="G9" s="9">
        <v>10110021</v>
      </c>
      <c r="H9" s="57" t="s">
        <v>230</v>
      </c>
      <c r="I9" s="7" t="s">
        <v>131</v>
      </c>
      <c r="J9" s="8" t="s">
        <v>76</v>
      </c>
      <c r="K9" s="7" t="s">
        <v>97</v>
      </c>
      <c r="L9" s="2" t="s">
        <v>21</v>
      </c>
      <c r="M9" s="4">
        <v>2</v>
      </c>
      <c r="N9" s="4">
        <v>1350</v>
      </c>
      <c r="O9" s="4">
        <v>2700</v>
      </c>
      <c r="P9" s="4">
        <v>0</v>
      </c>
      <c r="Q9" s="4">
        <v>2700</v>
      </c>
      <c r="R9" s="4">
        <v>2</v>
      </c>
      <c r="S9" s="55">
        <v>2700</v>
      </c>
      <c r="T9" s="5"/>
      <c r="U9" s="71">
        <v>2700</v>
      </c>
      <c r="V9" s="6"/>
    </row>
    <row r="10" spans="1:24" x14ac:dyDescent="0.25">
      <c r="A10" s="1">
        <v>46240.385243032404</v>
      </c>
      <c r="B10" s="2" t="s">
        <v>185</v>
      </c>
      <c r="C10" s="3">
        <v>46240</v>
      </c>
      <c r="D10" s="2" t="s">
        <v>214</v>
      </c>
      <c r="E10" s="2" t="s">
        <v>30</v>
      </c>
      <c r="F10" t="str">
        <f>CONCATENATE(Table7[[#This Row],[MPG Code]],Table7[[#This Row],[Farmer code]])</f>
        <v>105900120002</v>
      </c>
      <c r="G10" s="9">
        <v>10590012</v>
      </c>
      <c r="H10" s="57" t="s">
        <v>230</v>
      </c>
      <c r="I10" s="7" t="s">
        <v>180</v>
      </c>
      <c r="J10" s="8" t="s">
        <v>22</v>
      </c>
      <c r="K10" s="7" t="s">
        <v>159</v>
      </c>
      <c r="L10" s="2" t="s">
        <v>21</v>
      </c>
      <c r="M10" s="4">
        <v>1</v>
      </c>
      <c r="N10" s="4">
        <v>1350</v>
      </c>
      <c r="O10" s="4">
        <f>Table7[[#This Row],[Rate]]*Table7[[#This Row],[Qty]]</f>
        <v>1350</v>
      </c>
      <c r="P10" s="4">
        <v>0</v>
      </c>
      <c r="Q10" s="4">
        <f>Table7[[#This Row],[Rate]]*Table7[[#This Row],[Qty]]</f>
        <v>1350</v>
      </c>
      <c r="R10" s="4">
        <v>1</v>
      </c>
      <c r="S10" s="55">
        <f>Table7[[#This Row],[Rate]]*Table7[[#This Row],[Qty]]</f>
        <v>1350</v>
      </c>
      <c r="T10" s="5"/>
      <c r="U10" s="71">
        <v>1350</v>
      </c>
      <c r="V10" s="6"/>
    </row>
    <row r="11" spans="1:24" x14ac:dyDescent="0.25">
      <c r="A11" s="1">
        <v>46240.385749236113</v>
      </c>
      <c r="B11" s="2" t="s">
        <v>185</v>
      </c>
      <c r="C11" s="3">
        <v>46240</v>
      </c>
      <c r="D11" s="2" t="s">
        <v>214</v>
      </c>
      <c r="E11" s="2" t="s">
        <v>30</v>
      </c>
      <c r="F11" t="str">
        <f>CONCATENATE(Table7[[#This Row],[MPG Code]],Table7[[#This Row],[Farmer code]])</f>
        <v>105900040009</v>
      </c>
      <c r="G11" s="9">
        <v>10590004</v>
      </c>
      <c r="H11" s="57" t="s">
        <v>230</v>
      </c>
      <c r="I11" s="7" t="s">
        <v>181</v>
      </c>
      <c r="J11" s="8" t="s">
        <v>45</v>
      </c>
      <c r="K11" s="7" t="s">
        <v>159</v>
      </c>
      <c r="L11" s="2" t="s">
        <v>21</v>
      </c>
      <c r="M11" s="4">
        <v>5</v>
      </c>
      <c r="N11" s="4">
        <v>1350</v>
      </c>
      <c r="O11" s="4">
        <f>Table7[[#This Row],[Rate]]*Table7[[#This Row],[Qty]]</f>
        <v>6750</v>
      </c>
      <c r="P11" s="4">
        <v>0</v>
      </c>
      <c r="Q11" s="4">
        <f>Table7[[#This Row],[Rate]]*Table7[[#This Row],[Qty]]</f>
        <v>6750</v>
      </c>
      <c r="R11" s="4">
        <v>5</v>
      </c>
      <c r="S11" s="55">
        <f>Table7[[#This Row],[Rate]]*Table7[[#This Row],[Qty]]</f>
        <v>6750</v>
      </c>
      <c r="T11" s="5"/>
      <c r="U11" s="71">
        <v>6750</v>
      </c>
      <c r="V11" s="6"/>
    </row>
    <row r="12" spans="1:24" x14ac:dyDescent="0.25">
      <c r="A12" s="1">
        <v>46240.38660380787</v>
      </c>
      <c r="B12" s="2" t="s">
        <v>185</v>
      </c>
      <c r="C12" s="3">
        <v>46240</v>
      </c>
      <c r="D12" s="2" t="s">
        <v>214</v>
      </c>
      <c r="E12" s="2" t="s">
        <v>30</v>
      </c>
      <c r="F12" t="str">
        <f>CONCATENATE(Table7[[#This Row],[MPG Code]],Table7[[#This Row],[Farmer code]])</f>
        <v>105900010002</v>
      </c>
      <c r="G12" s="9">
        <v>10590001</v>
      </c>
      <c r="H12" s="57" t="s">
        <v>230</v>
      </c>
      <c r="I12" s="7" t="s">
        <v>194</v>
      </c>
      <c r="J12" s="8" t="s">
        <v>22</v>
      </c>
      <c r="K12" s="7" t="s">
        <v>159</v>
      </c>
      <c r="L12" s="2" t="s">
        <v>21</v>
      </c>
      <c r="M12" s="4">
        <v>3</v>
      </c>
      <c r="N12" s="4">
        <v>1350</v>
      </c>
      <c r="O12" s="4">
        <f>Table7[[#This Row],[Rate]]*Table7[[#This Row],[Qty]]</f>
        <v>4050</v>
      </c>
      <c r="P12" s="4">
        <v>0</v>
      </c>
      <c r="Q12" s="4">
        <f>Table7[[#This Row],[Rate]]*Table7[[#This Row],[Qty]]</f>
        <v>4050</v>
      </c>
      <c r="R12" s="4">
        <v>3</v>
      </c>
      <c r="S12" s="55">
        <f>Table7[[#This Row],[Rate]]*Table7[[#This Row],[Qty]]</f>
        <v>4050</v>
      </c>
      <c r="T12" s="5"/>
      <c r="U12" s="71">
        <v>4050</v>
      </c>
      <c r="V12" s="6"/>
    </row>
    <row r="13" spans="1:24" x14ac:dyDescent="0.25">
      <c r="A13" s="1">
        <v>46240.387710243056</v>
      </c>
      <c r="B13" s="2" t="s">
        <v>185</v>
      </c>
      <c r="C13" s="3">
        <v>46240</v>
      </c>
      <c r="D13" s="2" t="s">
        <v>214</v>
      </c>
      <c r="E13" s="2" t="s">
        <v>30</v>
      </c>
      <c r="F13" t="str">
        <f>CONCATENATE(Table7[[#This Row],[MPG Code]],Table7[[#This Row],[Farmer code]])</f>
        <v>100600690009</v>
      </c>
      <c r="G13" s="9">
        <v>10060069</v>
      </c>
      <c r="H13" s="57" t="s">
        <v>230</v>
      </c>
      <c r="I13" s="7" t="s">
        <v>178</v>
      </c>
      <c r="J13" s="8" t="s">
        <v>45</v>
      </c>
      <c r="K13" s="7" t="s">
        <v>159</v>
      </c>
      <c r="L13" s="2" t="s">
        <v>21</v>
      </c>
      <c r="M13" s="4">
        <v>2</v>
      </c>
      <c r="N13" s="4">
        <v>1350</v>
      </c>
      <c r="O13" s="4">
        <f>Table7[[#This Row],[Rate]]*Table7[[#This Row],[Qty]]</f>
        <v>2700</v>
      </c>
      <c r="P13" s="4">
        <v>0</v>
      </c>
      <c r="Q13" s="4">
        <f>Table7[[#This Row],[Rate]]*Table7[[#This Row],[Qty]]</f>
        <v>2700</v>
      </c>
      <c r="R13" s="4">
        <v>2</v>
      </c>
      <c r="S13" s="55">
        <f>Table7[[#This Row],[Rate]]*Table7[[#This Row],[Qty]]</f>
        <v>2700</v>
      </c>
      <c r="T13" s="5"/>
      <c r="U13" s="71">
        <v>2700</v>
      </c>
      <c r="V13" s="6"/>
    </row>
    <row r="14" spans="1:24" x14ac:dyDescent="0.25">
      <c r="A14" s="1">
        <v>46240.389014548608</v>
      </c>
      <c r="B14" s="2" t="s">
        <v>185</v>
      </c>
      <c r="C14" s="3">
        <v>46240</v>
      </c>
      <c r="D14" s="2" t="s">
        <v>214</v>
      </c>
      <c r="E14" s="2" t="s">
        <v>30</v>
      </c>
      <c r="F14" t="str">
        <f>CONCATENATE(Table7[[#This Row],[MPG Code]],Table7[[#This Row],[Farmer code]])</f>
        <v>100600900018</v>
      </c>
      <c r="G14" s="9">
        <v>10060090</v>
      </c>
      <c r="H14" s="57" t="s">
        <v>230</v>
      </c>
      <c r="I14" s="7" t="s">
        <v>179</v>
      </c>
      <c r="J14" s="8" t="s">
        <v>83</v>
      </c>
      <c r="K14" s="7" t="s">
        <v>159</v>
      </c>
      <c r="L14" s="2" t="s">
        <v>21</v>
      </c>
      <c r="M14" s="4">
        <v>2</v>
      </c>
      <c r="N14" s="4">
        <v>1350</v>
      </c>
      <c r="O14" s="4">
        <f>Table7[[#This Row],[Rate]]*Table7[[#This Row],[Qty]]</f>
        <v>2700</v>
      </c>
      <c r="P14" s="4">
        <v>0</v>
      </c>
      <c r="Q14" s="4">
        <f>Table7[[#This Row],[Rate]]*Table7[[#This Row],[Qty]]</f>
        <v>2700</v>
      </c>
      <c r="R14" s="4">
        <v>2</v>
      </c>
      <c r="S14" s="55">
        <f>Table7[[#This Row],[Rate]]*Table7[[#This Row],[Qty]]</f>
        <v>2700</v>
      </c>
      <c r="T14" s="5"/>
      <c r="U14" s="71">
        <v>2700</v>
      </c>
      <c r="V14" s="6"/>
    </row>
    <row r="15" spans="1:24" x14ac:dyDescent="0.25">
      <c r="A15" s="1">
        <v>46240.389391446763</v>
      </c>
      <c r="B15" s="2" t="s">
        <v>185</v>
      </c>
      <c r="C15" s="3">
        <v>46240</v>
      </c>
      <c r="D15" s="2" t="s">
        <v>214</v>
      </c>
      <c r="E15" s="2" t="s">
        <v>30</v>
      </c>
      <c r="F15" t="str">
        <f>CONCATENATE(Table7[[#This Row],[MPG Code]],Table7[[#This Row],[Farmer code]])</f>
        <v>105900090002</v>
      </c>
      <c r="G15" s="9">
        <v>10590009</v>
      </c>
      <c r="H15" s="57" t="s">
        <v>230</v>
      </c>
      <c r="I15" s="7" t="s">
        <v>195</v>
      </c>
      <c r="J15" s="8" t="s">
        <v>22</v>
      </c>
      <c r="K15" s="7" t="s">
        <v>159</v>
      </c>
      <c r="L15" s="2" t="s">
        <v>21</v>
      </c>
      <c r="M15" s="4">
        <v>2</v>
      </c>
      <c r="N15" s="4">
        <v>1350</v>
      </c>
      <c r="O15" s="4">
        <f>Table7[[#This Row],[Rate]]*Table7[[#This Row],[Qty]]</f>
        <v>2700</v>
      </c>
      <c r="P15" s="4">
        <v>0</v>
      </c>
      <c r="Q15" s="4">
        <f>Table7[[#This Row],[Rate]]*Table7[[#This Row],[Qty]]</f>
        <v>2700</v>
      </c>
      <c r="R15" s="4">
        <v>2</v>
      </c>
      <c r="S15" s="55">
        <f>Table7[[#This Row],[Rate]]*Table7[[#This Row],[Qty]]</f>
        <v>2700</v>
      </c>
      <c r="T15" s="5"/>
      <c r="U15" s="71">
        <v>2700</v>
      </c>
      <c r="V15" s="6"/>
    </row>
    <row r="16" spans="1:24" x14ac:dyDescent="0.25">
      <c r="A16" s="1">
        <v>46240.389704953704</v>
      </c>
      <c r="B16" s="2" t="s">
        <v>185</v>
      </c>
      <c r="C16" s="3">
        <v>46240</v>
      </c>
      <c r="D16" s="2" t="s">
        <v>214</v>
      </c>
      <c r="E16" s="2" t="s">
        <v>30</v>
      </c>
      <c r="F16" t="str">
        <f>CONCATENATE(Table7[[#This Row],[MPG Code]],Table7[[#This Row],[Farmer code]])</f>
        <v>105900130002</v>
      </c>
      <c r="G16" s="9">
        <v>10590013</v>
      </c>
      <c r="H16" s="57" t="s">
        <v>230</v>
      </c>
      <c r="I16" s="7" t="s">
        <v>196</v>
      </c>
      <c r="J16" s="8" t="s">
        <v>22</v>
      </c>
      <c r="K16" s="7" t="s">
        <v>159</v>
      </c>
      <c r="L16" s="2" t="s">
        <v>21</v>
      </c>
      <c r="M16" s="4">
        <v>1</v>
      </c>
      <c r="N16" s="4">
        <v>1350</v>
      </c>
      <c r="O16" s="4">
        <f>Table7[[#This Row],[Rate]]*Table7[[#This Row],[Qty]]</f>
        <v>1350</v>
      </c>
      <c r="P16" s="4">
        <v>0</v>
      </c>
      <c r="Q16" s="4">
        <f>Table7[[#This Row],[Rate]]*Table7[[#This Row],[Qty]]</f>
        <v>1350</v>
      </c>
      <c r="R16" s="4">
        <v>1</v>
      </c>
      <c r="S16" s="55">
        <f>Table7[[#This Row],[Rate]]*Table7[[#This Row],[Qty]]</f>
        <v>1350</v>
      </c>
      <c r="T16" s="5"/>
      <c r="U16" s="71">
        <v>1350</v>
      </c>
      <c r="V16" s="6"/>
    </row>
    <row r="17" spans="1:24" x14ac:dyDescent="0.25">
      <c r="A17" s="1">
        <v>46240.432918657403</v>
      </c>
      <c r="B17" s="2" t="s">
        <v>26</v>
      </c>
      <c r="C17" s="3">
        <v>46240</v>
      </c>
      <c r="D17" s="2" t="s">
        <v>214</v>
      </c>
      <c r="E17" s="2" t="s">
        <v>27</v>
      </c>
      <c r="F17" t="str">
        <f>CONCATENATE(Table7[[#This Row],[MPG Code]],Table7[[#This Row],[Farmer code]])</f>
        <v>106100050002</v>
      </c>
      <c r="G17" s="9">
        <v>10610005</v>
      </c>
      <c r="H17" s="57" t="s">
        <v>230</v>
      </c>
      <c r="I17" s="7" t="s">
        <v>28</v>
      </c>
      <c r="J17" s="8" t="s">
        <v>22</v>
      </c>
      <c r="K17" s="7" t="s">
        <v>29</v>
      </c>
      <c r="L17" s="2" t="s">
        <v>21</v>
      </c>
      <c r="M17" s="4">
        <v>2</v>
      </c>
      <c r="N17" s="4">
        <v>1550</v>
      </c>
      <c r="O17" s="4">
        <v>3100</v>
      </c>
      <c r="P17" s="4">
        <v>0</v>
      </c>
      <c r="Q17" s="4">
        <v>3100</v>
      </c>
      <c r="R17" s="4">
        <v>2</v>
      </c>
      <c r="S17" s="55">
        <v>3100</v>
      </c>
      <c r="T17" s="5"/>
      <c r="U17" s="71">
        <v>3100</v>
      </c>
      <c r="V17" s="6"/>
    </row>
    <row r="18" spans="1:24" x14ac:dyDescent="0.25">
      <c r="A18" s="1">
        <v>46240.481561562498</v>
      </c>
      <c r="B18" s="2" t="s">
        <v>26</v>
      </c>
      <c r="C18" s="3">
        <v>46240</v>
      </c>
      <c r="D18" s="2" t="s">
        <v>214</v>
      </c>
      <c r="E18" s="2" t="s">
        <v>30</v>
      </c>
      <c r="F18" t="str">
        <f>CONCATENATE(Table7[[#This Row],[MPG Code]],Table7[[#This Row],[Farmer code]])</f>
        <v>106100180002</v>
      </c>
      <c r="G18" s="9">
        <v>10610018</v>
      </c>
      <c r="H18" s="57" t="s">
        <v>230</v>
      </c>
      <c r="I18" s="7" t="s">
        <v>114</v>
      </c>
      <c r="J18" s="8" t="s">
        <v>22</v>
      </c>
      <c r="K18" s="7" t="s">
        <v>29</v>
      </c>
      <c r="L18" s="2" t="s">
        <v>21</v>
      </c>
      <c r="M18" s="4">
        <v>4</v>
      </c>
      <c r="N18" s="4">
        <v>1400</v>
      </c>
      <c r="O18" s="4">
        <v>5600</v>
      </c>
      <c r="P18" s="4">
        <v>0</v>
      </c>
      <c r="Q18" s="4">
        <v>5600</v>
      </c>
      <c r="R18" s="4">
        <v>4</v>
      </c>
      <c r="S18" s="55">
        <v>5600</v>
      </c>
      <c r="T18" s="5"/>
      <c r="U18" s="71">
        <v>5600</v>
      </c>
      <c r="V18" s="6"/>
    </row>
    <row r="19" spans="1:24" x14ac:dyDescent="0.25">
      <c r="A19" s="1">
        <v>46240.481838240739</v>
      </c>
      <c r="B19" s="2" t="s">
        <v>26</v>
      </c>
      <c r="C19" s="3">
        <v>46240</v>
      </c>
      <c r="D19" s="2" t="s">
        <v>214</v>
      </c>
      <c r="E19" s="2" t="s">
        <v>30</v>
      </c>
      <c r="F19" t="str">
        <f>CONCATENATE(Table7[[#This Row],[MPG Code]],Table7[[#This Row],[Farmer code]])</f>
        <v>106100180006</v>
      </c>
      <c r="G19" s="9">
        <v>10610018</v>
      </c>
      <c r="H19" s="57" t="s">
        <v>230</v>
      </c>
      <c r="I19" s="7" t="s">
        <v>114</v>
      </c>
      <c r="J19" s="8" t="s">
        <v>78</v>
      </c>
      <c r="K19" s="7" t="s">
        <v>29</v>
      </c>
      <c r="L19" s="2" t="s">
        <v>21</v>
      </c>
      <c r="M19" s="4">
        <v>1</v>
      </c>
      <c r="N19" s="4">
        <v>1400</v>
      </c>
      <c r="O19" s="4">
        <v>1400</v>
      </c>
      <c r="P19" s="4">
        <v>0</v>
      </c>
      <c r="Q19" s="4">
        <v>1400</v>
      </c>
      <c r="R19" s="4">
        <v>1</v>
      </c>
      <c r="S19" s="55">
        <v>1400</v>
      </c>
      <c r="T19" s="5"/>
      <c r="U19" s="71">
        <v>1238</v>
      </c>
      <c r="V19" s="6"/>
    </row>
    <row r="20" spans="1:24" x14ac:dyDescent="0.25">
      <c r="A20" s="1">
        <v>46241.562410625003</v>
      </c>
      <c r="B20" s="2" t="s">
        <v>31</v>
      </c>
      <c r="C20" s="3">
        <v>46241</v>
      </c>
      <c r="D20" s="2" t="s">
        <v>214</v>
      </c>
      <c r="E20" s="2" t="s">
        <v>30</v>
      </c>
      <c r="F20" t="str">
        <f>CONCATENATE(Table7[[#This Row],[MPG Code]],Table7[[#This Row],[Farmer code]])</f>
        <v>101200520002</v>
      </c>
      <c r="G20" s="9">
        <v>10120052</v>
      </c>
      <c r="H20" s="57" t="s">
        <v>230</v>
      </c>
      <c r="I20" s="7" t="s">
        <v>36</v>
      </c>
      <c r="J20" s="31" t="s">
        <v>22</v>
      </c>
      <c r="K20" s="7" t="s">
        <v>32</v>
      </c>
      <c r="L20" s="2" t="s">
        <v>21</v>
      </c>
      <c r="M20" s="4">
        <v>2</v>
      </c>
      <c r="N20" s="4">
        <v>1400</v>
      </c>
      <c r="O20" s="4">
        <v>2800</v>
      </c>
      <c r="P20" s="4">
        <v>0</v>
      </c>
      <c r="Q20" s="4">
        <v>2800</v>
      </c>
      <c r="R20" s="4">
        <v>2</v>
      </c>
      <c r="S20" s="55">
        <v>2800</v>
      </c>
      <c r="T20" s="5"/>
      <c r="U20" s="71">
        <v>2800</v>
      </c>
      <c r="V20" s="10" t="s">
        <v>37</v>
      </c>
      <c r="X20" s="77">
        <f>Table7[[#This Row],[Final Amount]]-Table7[[#This Row],[Deduction]]</f>
        <v>0</v>
      </c>
    </row>
    <row r="21" spans="1:24" x14ac:dyDescent="0.25">
      <c r="A21" s="1">
        <v>46241.562806851856</v>
      </c>
      <c r="B21" s="2" t="s">
        <v>31</v>
      </c>
      <c r="C21" s="3">
        <v>46241</v>
      </c>
      <c r="D21" s="2" t="s">
        <v>214</v>
      </c>
      <c r="E21" s="2" t="s">
        <v>30</v>
      </c>
      <c r="F21" t="str">
        <f>CONCATENATE(Table7[[#This Row],[MPG Code]],Table7[[#This Row],[Farmer code]])</f>
        <v>101200310002</v>
      </c>
      <c r="G21" s="9">
        <v>10120031</v>
      </c>
      <c r="H21" s="57" t="s">
        <v>230</v>
      </c>
      <c r="I21" s="7" t="s">
        <v>35</v>
      </c>
      <c r="J21" s="31" t="s">
        <v>22</v>
      </c>
      <c r="K21" s="7" t="s">
        <v>32</v>
      </c>
      <c r="L21" s="2" t="s">
        <v>21</v>
      </c>
      <c r="M21" s="4">
        <v>2</v>
      </c>
      <c r="N21" s="4">
        <v>1400</v>
      </c>
      <c r="O21" s="4">
        <v>2800</v>
      </c>
      <c r="P21" s="4">
        <v>0</v>
      </c>
      <c r="Q21" s="4">
        <v>2800</v>
      </c>
      <c r="R21" s="4">
        <v>2</v>
      </c>
      <c r="S21" s="55">
        <v>2800</v>
      </c>
      <c r="T21" s="5"/>
      <c r="U21" s="71">
        <v>2800</v>
      </c>
      <c r="V21" s="10" t="s">
        <v>37</v>
      </c>
      <c r="X21" s="77">
        <f>Table7[[#This Row],[Final Amount]]-Table7[[#This Row],[Deduction]]</f>
        <v>0</v>
      </c>
    </row>
    <row r="22" spans="1:24" x14ac:dyDescent="0.25">
      <c r="A22" s="1">
        <v>46241.563603009257</v>
      </c>
      <c r="B22" s="2" t="s">
        <v>31</v>
      </c>
      <c r="C22" s="3">
        <v>46241</v>
      </c>
      <c r="D22" s="2" t="s">
        <v>214</v>
      </c>
      <c r="E22" s="2" t="s">
        <v>30</v>
      </c>
      <c r="F22" t="str">
        <f>CONCATENATE(Table7[[#This Row],[MPG Code]],Table7[[#This Row],[Farmer code]])</f>
        <v>101200890002</v>
      </c>
      <c r="G22" s="9">
        <v>10120089</v>
      </c>
      <c r="H22" s="57" t="s">
        <v>230</v>
      </c>
      <c r="I22" s="7" t="s">
        <v>136</v>
      </c>
      <c r="J22" s="8" t="s">
        <v>22</v>
      </c>
      <c r="K22" s="7" t="s">
        <v>32</v>
      </c>
      <c r="L22" s="2" t="s">
        <v>21</v>
      </c>
      <c r="M22" s="4">
        <v>1</v>
      </c>
      <c r="N22" s="4">
        <v>1400</v>
      </c>
      <c r="O22" s="4">
        <v>1400</v>
      </c>
      <c r="P22" s="4">
        <v>0</v>
      </c>
      <c r="Q22" s="4">
        <v>1400</v>
      </c>
      <c r="R22" s="4">
        <v>1</v>
      </c>
      <c r="S22" s="55">
        <v>1400</v>
      </c>
      <c r="T22" s="5"/>
      <c r="U22" s="71">
        <v>1400</v>
      </c>
      <c r="V22" s="6"/>
    </row>
    <row r="23" spans="1:24" x14ac:dyDescent="0.25">
      <c r="A23" s="1">
        <v>46241.563845949073</v>
      </c>
      <c r="B23" s="2" t="s">
        <v>31</v>
      </c>
      <c r="C23" s="3">
        <v>46241</v>
      </c>
      <c r="D23" s="2" t="s">
        <v>214</v>
      </c>
      <c r="E23" s="2" t="s">
        <v>30</v>
      </c>
      <c r="F23" t="str">
        <f>CONCATENATE(Table7[[#This Row],[MPG Code]],Table7[[#This Row],[Farmer code]])</f>
        <v>101201040002</v>
      </c>
      <c r="G23" s="9">
        <v>10120104</v>
      </c>
      <c r="H23" s="57" t="s">
        <v>230</v>
      </c>
      <c r="I23" s="7" t="s">
        <v>47</v>
      </c>
      <c r="J23" s="8" t="s">
        <v>22</v>
      </c>
      <c r="K23" s="7" t="s">
        <v>32</v>
      </c>
      <c r="L23" s="2" t="s">
        <v>21</v>
      </c>
      <c r="M23" s="4">
        <v>1</v>
      </c>
      <c r="N23" s="4">
        <v>1400</v>
      </c>
      <c r="O23" s="4">
        <v>1400</v>
      </c>
      <c r="P23" s="4">
        <v>0</v>
      </c>
      <c r="Q23" s="4">
        <v>1400</v>
      </c>
      <c r="R23" s="4">
        <v>1</v>
      </c>
      <c r="S23" s="55">
        <v>1400</v>
      </c>
      <c r="T23" s="5"/>
      <c r="U23" s="71">
        <v>1400</v>
      </c>
      <c r="V23" s="6"/>
    </row>
    <row r="24" spans="1:24" x14ac:dyDescent="0.25">
      <c r="A24" s="1">
        <v>46241.948018564814</v>
      </c>
      <c r="B24" s="2" t="s">
        <v>116</v>
      </c>
      <c r="C24" s="3">
        <v>46241</v>
      </c>
      <c r="D24" s="2" t="s">
        <v>214</v>
      </c>
      <c r="E24" s="2" t="s">
        <v>30</v>
      </c>
      <c r="F24" t="str">
        <f>CONCATENATE(Table7[[#This Row],[MPG Code]],Table7[[#This Row],[Farmer code]])</f>
        <v>101101240009</v>
      </c>
      <c r="G24" s="9">
        <v>10110124</v>
      </c>
      <c r="H24" s="57" t="s">
        <v>230</v>
      </c>
      <c r="I24" s="7" t="s">
        <v>117</v>
      </c>
      <c r="J24" s="8" t="s">
        <v>45</v>
      </c>
      <c r="K24" s="7" t="s">
        <v>106</v>
      </c>
      <c r="L24" s="2" t="s">
        <v>21</v>
      </c>
      <c r="M24" s="4">
        <v>1</v>
      </c>
      <c r="N24" s="4">
        <v>1400</v>
      </c>
      <c r="O24" s="4">
        <v>1400</v>
      </c>
      <c r="P24" s="4">
        <v>0</v>
      </c>
      <c r="Q24" s="4">
        <v>1400</v>
      </c>
      <c r="R24" s="4">
        <v>1</v>
      </c>
      <c r="S24" s="55">
        <v>1400</v>
      </c>
      <c r="T24" s="5"/>
      <c r="U24" s="71">
        <v>1400</v>
      </c>
      <c r="V24" s="6"/>
    </row>
    <row r="25" spans="1:24" x14ac:dyDescent="0.25">
      <c r="A25" s="1">
        <v>46241.948712708334</v>
      </c>
      <c r="B25" s="2" t="s">
        <v>116</v>
      </c>
      <c r="C25" s="3">
        <v>46241</v>
      </c>
      <c r="D25" s="2" t="s">
        <v>214</v>
      </c>
      <c r="E25" s="2" t="s">
        <v>30</v>
      </c>
      <c r="F25" t="str">
        <f>CONCATENATE(Table7[[#This Row],[MPG Code]],Table7[[#This Row],[Farmer code]])</f>
        <v>101100010002</v>
      </c>
      <c r="G25" s="9">
        <v>10110001</v>
      </c>
      <c r="H25" s="57" t="s">
        <v>230</v>
      </c>
      <c r="I25" s="7" t="s">
        <v>105</v>
      </c>
      <c r="J25" s="8" t="s">
        <v>22</v>
      </c>
      <c r="K25" s="7" t="s">
        <v>106</v>
      </c>
      <c r="L25" s="2" t="s">
        <v>21</v>
      </c>
      <c r="M25" s="4">
        <v>2</v>
      </c>
      <c r="N25" s="4">
        <v>1350</v>
      </c>
      <c r="O25" s="4">
        <v>2700</v>
      </c>
      <c r="P25" s="4">
        <v>0</v>
      </c>
      <c r="Q25" s="4">
        <v>2700</v>
      </c>
      <c r="R25" s="4">
        <v>2</v>
      </c>
      <c r="S25" s="55">
        <v>2700</v>
      </c>
      <c r="T25" s="5"/>
      <c r="U25" s="71">
        <v>2700</v>
      </c>
      <c r="V25" s="6"/>
    </row>
    <row r="26" spans="1:24" x14ac:dyDescent="0.25">
      <c r="A26" s="1">
        <v>46242.282845416667</v>
      </c>
      <c r="B26" s="2" t="s">
        <v>70</v>
      </c>
      <c r="C26" s="3">
        <v>46242</v>
      </c>
      <c r="D26" s="2" t="s">
        <v>214</v>
      </c>
      <c r="E26" s="2" t="s">
        <v>27</v>
      </c>
      <c r="F26" t="str">
        <f>CONCATENATE(Table7[[#This Row],[MPG Code]],Table7[[#This Row],[Farmer code]])</f>
        <v>105301030006</v>
      </c>
      <c r="G26" s="9">
        <v>10530103</v>
      </c>
      <c r="H26" s="57" t="s">
        <v>230</v>
      </c>
      <c r="I26" s="7" t="s">
        <v>75</v>
      </c>
      <c r="J26" s="8" t="s">
        <v>78</v>
      </c>
      <c r="K26" s="7" t="s">
        <v>24</v>
      </c>
      <c r="L26" s="2" t="s">
        <v>21</v>
      </c>
      <c r="M26" s="4">
        <v>1</v>
      </c>
      <c r="N26" s="4">
        <v>1550</v>
      </c>
      <c r="O26" s="4">
        <v>1550</v>
      </c>
      <c r="P26" s="4">
        <v>0</v>
      </c>
      <c r="Q26" s="4">
        <v>1550</v>
      </c>
      <c r="R26" s="4">
        <v>1</v>
      </c>
      <c r="S26" s="55">
        <v>1550</v>
      </c>
      <c r="T26" s="5"/>
      <c r="U26" s="71">
        <v>1550</v>
      </c>
      <c r="V26" s="6"/>
    </row>
    <row r="27" spans="1:24" x14ac:dyDescent="0.25">
      <c r="A27" s="1">
        <v>46242.283221400459</v>
      </c>
      <c r="B27" s="2" t="s">
        <v>70</v>
      </c>
      <c r="C27" s="3">
        <v>46242</v>
      </c>
      <c r="D27" s="2" t="s">
        <v>214</v>
      </c>
      <c r="E27" s="2" t="s">
        <v>27</v>
      </c>
      <c r="F27" t="str">
        <f>CONCATENATE(Table7[[#This Row],[MPG Code]],Table7[[#This Row],[Farmer code]])</f>
        <v>105301030030</v>
      </c>
      <c r="G27" s="9">
        <v>10530103</v>
      </c>
      <c r="H27" s="57" t="s">
        <v>230</v>
      </c>
      <c r="I27" s="7" t="s">
        <v>75</v>
      </c>
      <c r="J27" s="8" t="s">
        <v>76</v>
      </c>
      <c r="K27" s="7" t="s">
        <v>24</v>
      </c>
      <c r="L27" s="2" t="s">
        <v>21</v>
      </c>
      <c r="M27" s="4">
        <v>2</v>
      </c>
      <c r="N27" s="4">
        <v>1550</v>
      </c>
      <c r="O27" s="4">
        <v>3100</v>
      </c>
      <c r="P27" s="4">
        <v>0</v>
      </c>
      <c r="Q27" s="4">
        <v>3100</v>
      </c>
      <c r="R27" s="4">
        <v>2</v>
      </c>
      <c r="S27" s="55">
        <v>3100</v>
      </c>
      <c r="T27" s="5"/>
      <c r="U27" s="71">
        <v>3100</v>
      </c>
      <c r="V27" s="6"/>
    </row>
    <row r="28" spans="1:24" x14ac:dyDescent="0.25">
      <c r="A28" s="1">
        <v>46242.283735787038</v>
      </c>
      <c r="B28" s="2" t="s">
        <v>70</v>
      </c>
      <c r="C28" s="3">
        <v>46242</v>
      </c>
      <c r="D28" s="2" t="s">
        <v>214</v>
      </c>
      <c r="E28" s="2" t="s">
        <v>27</v>
      </c>
      <c r="F28" t="str">
        <f>CONCATENATE(Table7[[#This Row],[MPG Code]],Table7[[#This Row],[Farmer code]])</f>
        <v>105301030002</v>
      </c>
      <c r="G28" s="9">
        <v>10530103</v>
      </c>
      <c r="H28" s="57" t="s">
        <v>230</v>
      </c>
      <c r="I28" s="7" t="s">
        <v>75</v>
      </c>
      <c r="J28" s="8" t="s">
        <v>22</v>
      </c>
      <c r="K28" s="7" t="s">
        <v>24</v>
      </c>
      <c r="L28" s="2" t="s">
        <v>21</v>
      </c>
      <c r="M28" s="4">
        <v>4</v>
      </c>
      <c r="N28" s="4">
        <v>1550</v>
      </c>
      <c r="O28" s="4">
        <v>6200</v>
      </c>
      <c r="P28" s="4">
        <v>0</v>
      </c>
      <c r="Q28" s="4">
        <v>6200</v>
      </c>
      <c r="R28" s="4">
        <v>4</v>
      </c>
      <c r="S28" s="55">
        <v>6200</v>
      </c>
      <c r="T28" s="5"/>
      <c r="U28" s="71">
        <v>6200</v>
      </c>
      <c r="V28" s="6"/>
    </row>
    <row r="29" spans="1:24" x14ac:dyDescent="0.25">
      <c r="A29" s="1">
        <v>46242.284039143517</v>
      </c>
      <c r="B29" s="2" t="s">
        <v>70</v>
      </c>
      <c r="C29" s="3">
        <v>46242</v>
      </c>
      <c r="D29" s="2" t="s">
        <v>214</v>
      </c>
      <c r="E29" s="2" t="s">
        <v>27</v>
      </c>
      <c r="F29" t="str">
        <f>CONCATENATE(Table7[[#This Row],[MPG Code]],Table7[[#This Row],[Farmer code]])</f>
        <v>105301030004</v>
      </c>
      <c r="G29" s="9">
        <v>10530103</v>
      </c>
      <c r="H29" s="57" t="s">
        <v>230</v>
      </c>
      <c r="I29" s="7" t="s">
        <v>75</v>
      </c>
      <c r="J29" s="8" t="s">
        <v>56</v>
      </c>
      <c r="K29" s="7" t="s">
        <v>24</v>
      </c>
      <c r="L29" s="2" t="s">
        <v>21</v>
      </c>
      <c r="M29" s="4">
        <v>3</v>
      </c>
      <c r="N29" s="4">
        <v>1550</v>
      </c>
      <c r="O29" s="4">
        <v>4650</v>
      </c>
      <c r="P29" s="4">
        <v>0</v>
      </c>
      <c r="Q29" s="4">
        <v>4650</v>
      </c>
      <c r="R29" s="4">
        <v>3</v>
      </c>
      <c r="S29" s="55">
        <v>4650</v>
      </c>
      <c r="T29" s="5"/>
      <c r="U29" s="71">
        <v>4650</v>
      </c>
      <c r="V29" s="6"/>
    </row>
    <row r="30" spans="1:24" x14ac:dyDescent="0.25">
      <c r="A30" s="1">
        <v>46242.284366990745</v>
      </c>
      <c r="B30" s="2" t="s">
        <v>70</v>
      </c>
      <c r="C30" s="3">
        <v>46242</v>
      </c>
      <c r="D30" s="2" t="s">
        <v>214</v>
      </c>
      <c r="E30" s="2" t="s">
        <v>27</v>
      </c>
      <c r="F30" t="str">
        <f>CONCATENATE(Table7[[#This Row],[MPG Code]],Table7[[#This Row],[Farmer code]])</f>
        <v>105300760038</v>
      </c>
      <c r="G30" s="9">
        <v>10530076</v>
      </c>
      <c r="H30" s="57" t="s">
        <v>230</v>
      </c>
      <c r="I30" s="7" t="s">
        <v>148</v>
      </c>
      <c r="J30" s="8" t="s">
        <v>39</v>
      </c>
      <c r="K30" s="7" t="s">
        <v>24</v>
      </c>
      <c r="L30" s="2" t="s">
        <v>21</v>
      </c>
      <c r="M30" s="4">
        <v>1</v>
      </c>
      <c r="N30" s="4">
        <v>1550</v>
      </c>
      <c r="O30" s="4">
        <v>1550</v>
      </c>
      <c r="P30" s="4">
        <v>0</v>
      </c>
      <c r="Q30" s="4">
        <v>1550</v>
      </c>
      <c r="R30" s="4">
        <v>1</v>
      </c>
      <c r="S30" s="55">
        <v>1550</v>
      </c>
      <c r="T30" s="5"/>
      <c r="U30" s="71">
        <v>1550</v>
      </c>
      <c r="V30" s="6"/>
    </row>
    <row r="31" spans="1:24" x14ac:dyDescent="0.25">
      <c r="A31" s="1">
        <v>46242.284647673616</v>
      </c>
      <c r="B31" s="2" t="s">
        <v>70</v>
      </c>
      <c r="C31" s="3">
        <v>46242</v>
      </c>
      <c r="D31" s="2" t="s">
        <v>214</v>
      </c>
      <c r="E31" s="2" t="s">
        <v>27</v>
      </c>
      <c r="F31" t="str">
        <f>CONCATENATE(Table7[[#This Row],[MPG Code]],Table7[[#This Row],[Farmer code]])</f>
        <v>105300760003</v>
      </c>
      <c r="G31" s="9">
        <v>10530076</v>
      </c>
      <c r="H31" s="57" t="s">
        <v>230</v>
      </c>
      <c r="I31" s="7" t="s">
        <v>148</v>
      </c>
      <c r="J31" s="8" t="s">
        <v>34</v>
      </c>
      <c r="K31" s="7" t="s">
        <v>24</v>
      </c>
      <c r="L31" s="2" t="s">
        <v>21</v>
      </c>
      <c r="M31" s="4">
        <v>1</v>
      </c>
      <c r="N31" s="4">
        <v>1550</v>
      </c>
      <c r="O31" s="4">
        <v>1550</v>
      </c>
      <c r="P31" s="4">
        <v>0</v>
      </c>
      <c r="Q31" s="4">
        <v>1550</v>
      </c>
      <c r="R31" s="4">
        <v>1</v>
      </c>
      <c r="S31" s="55">
        <v>1550</v>
      </c>
      <c r="T31" s="5"/>
      <c r="U31" s="71">
        <v>1550</v>
      </c>
      <c r="V31" s="6"/>
    </row>
    <row r="32" spans="1:24" x14ac:dyDescent="0.25">
      <c r="A32" s="1">
        <v>46242.285303819444</v>
      </c>
      <c r="B32" s="2" t="s">
        <v>70</v>
      </c>
      <c r="C32" s="3">
        <v>46242</v>
      </c>
      <c r="D32" s="2" t="s">
        <v>214</v>
      </c>
      <c r="E32" s="2" t="s">
        <v>122</v>
      </c>
      <c r="F32" t="str">
        <f>CONCATENATE(Table7[[#This Row],[MPG Code]],Table7[[#This Row],[Farmer code]])</f>
        <v>105300760002</v>
      </c>
      <c r="G32" s="9">
        <v>10530076</v>
      </c>
      <c r="H32" s="57" t="s">
        <v>230</v>
      </c>
      <c r="I32" s="7" t="s">
        <v>148</v>
      </c>
      <c r="J32" s="8" t="s">
        <v>22</v>
      </c>
      <c r="K32" s="7" t="s">
        <v>24</v>
      </c>
      <c r="L32" s="2" t="s">
        <v>21</v>
      </c>
      <c r="M32" s="4">
        <v>1</v>
      </c>
      <c r="N32" s="4">
        <v>1238</v>
      </c>
      <c r="O32" s="4">
        <v>1238</v>
      </c>
      <c r="P32" s="4">
        <v>0</v>
      </c>
      <c r="Q32" s="4">
        <v>1238</v>
      </c>
      <c r="R32" s="4">
        <v>1</v>
      </c>
      <c r="S32" s="55">
        <v>1238</v>
      </c>
      <c r="T32" s="5"/>
      <c r="U32" s="71">
        <v>1238</v>
      </c>
      <c r="V32" s="6"/>
    </row>
    <row r="33" spans="1:22" x14ac:dyDescent="0.25">
      <c r="A33" s="1">
        <v>46242.285843113423</v>
      </c>
      <c r="B33" s="2" t="s">
        <v>70</v>
      </c>
      <c r="C33" s="3">
        <v>46242</v>
      </c>
      <c r="D33" s="2" t="s">
        <v>214</v>
      </c>
      <c r="E33" s="2" t="s">
        <v>122</v>
      </c>
      <c r="F33" t="str">
        <f>CONCATENATE(Table7[[#This Row],[MPG Code]],Table7[[#This Row],[Farmer code]])</f>
        <v>105300760023</v>
      </c>
      <c r="G33" s="9">
        <v>10530076</v>
      </c>
      <c r="H33" s="57" t="s">
        <v>230</v>
      </c>
      <c r="I33" s="7" t="s">
        <v>148</v>
      </c>
      <c r="J33" s="8" t="s">
        <v>84</v>
      </c>
      <c r="K33" s="7" t="s">
        <v>24</v>
      </c>
      <c r="L33" s="2" t="s">
        <v>21</v>
      </c>
      <c r="M33" s="4">
        <v>1</v>
      </c>
      <c r="N33" s="4">
        <v>1238</v>
      </c>
      <c r="O33" s="4">
        <v>1238</v>
      </c>
      <c r="P33" s="4">
        <v>0</v>
      </c>
      <c r="Q33" s="4">
        <v>1238</v>
      </c>
      <c r="R33" s="4">
        <v>1</v>
      </c>
      <c r="S33" s="55">
        <v>1238</v>
      </c>
      <c r="T33" s="5"/>
      <c r="U33" s="71">
        <v>1238</v>
      </c>
      <c r="V33" s="6"/>
    </row>
    <row r="34" spans="1:22" x14ac:dyDescent="0.25">
      <c r="A34" s="1">
        <v>46242.286618518519</v>
      </c>
      <c r="B34" s="2" t="s">
        <v>70</v>
      </c>
      <c r="C34" s="3">
        <v>46242</v>
      </c>
      <c r="D34" s="2" t="s">
        <v>214</v>
      </c>
      <c r="E34" s="2" t="s">
        <v>30</v>
      </c>
      <c r="F34" t="str">
        <f>CONCATENATE(Table7[[#This Row],[MPG Code]],Table7[[#This Row],[Farmer code]])</f>
        <v>105300810002</v>
      </c>
      <c r="G34" s="9">
        <v>10530081</v>
      </c>
      <c r="H34" s="57" t="s">
        <v>230</v>
      </c>
      <c r="I34" s="7" t="s">
        <v>80</v>
      </c>
      <c r="J34" s="8" t="s">
        <v>22</v>
      </c>
      <c r="K34" s="7" t="s">
        <v>24</v>
      </c>
      <c r="L34" s="2" t="s">
        <v>21</v>
      </c>
      <c r="M34" s="4">
        <v>1</v>
      </c>
      <c r="N34" s="4">
        <v>1400</v>
      </c>
      <c r="O34" s="4">
        <v>1400</v>
      </c>
      <c r="P34" s="4">
        <v>0</v>
      </c>
      <c r="Q34" s="4">
        <v>1400</v>
      </c>
      <c r="R34" s="4">
        <v>1</v>
      </c>
      <c r="S34" s="55">
        <v>1400</v>
      </c>
      <c r="T34" s="5"/>
      <c r="U34" s="71">
        <v>1400</v>
      </c>
      <c r="V34" s="6"/>
    </row>
    <row r="35" spans="1:22" x14ac:dyDescent="0.25">
      <c r="A35" s="1">
        <v>46242.287014050926</v>
      </c>
      <c r="B35" s="2" t="s">
        <v>70</v>
      </c>
      <c r="C35" s="3">
        <v>46242</v>
      </c>
      <c r="D35" s="2" t="s">
        <v>214</v>
      </c>
      <c r="E35" s="2" t="s">
        <v>27</v>
      </c>
      <c r="F35" t="str">
        <f>CONCATENATE(Table7[[#This Row],[MPG Code]],Table7[[#This Row],[Farmer code]])</f>
        <v>105300470005</v>
      </c>
      <c r="G35" s="9">
        <v>10530047</v>
      </c>
      <c r="H35" s="57" t="s">
        <v>230</v>
      </c>
      <c r="I35" s="7" t="s">
        <v>147</v>
      </c>
      <c r="J35" s="8" t="s">
        <v>64</v>
      </c>
      <c r="K35" s="7" t="s">
        <v>24</v>
      </c>
      <c r="L35" s="2" t="s">
        <v>21</v>
      </c>
      <c r="M35" s="4">
        <v>2</v>
      </c>
      <c r="N35" s="4">
        <v>1550</v>
      </c>
      <c r="O35" s="4">
        <v>3100</v>
      </c>
      <c r="P35" s="4">
        <v>0</v>
      </c>
      <c r="Q35" s="4">
        <v>3100</v>
      </c>
      <c r="R35" s="4">
        <v>2</v>
      </c>
      <c r="S35" s="55">
        <v>3100</v>
      </c>
      <c r="T35" s="5"/>
      <c r="U35" s="71">
        <v>3100</v>
      </c>
      <c r="V35" s="6"/>
    </row>
    <row r="36" spans="1:22" x14ac:dyDescent="0.25">
      <c r="A36" s="1">
        <v>46242.287546597217</v>
      </c>
      <c r="B36" s="2" t="s">
        <v>70</v>
      </c>
      <c r="C36" s="3">
        <v>46242</v>
      </c>
      <c r="D36" s="2" t="s">
        <v>214</v>
      </c>
      <c r="E36" s="2" t="s">
        <v>66</v>
      </c>
      <c r="F36" t="str">
        <f>CONCATENATE(Table7[[#This Row],[MPG Code]],Table7[[#This Row],[Farmer code]])</f>
        <v>105300440009</v>
      </c>
      <c r="G36" s="9">
        <v>10530044</v>
      </c>
      <c r="H36" s="57" t="s">
        <v>230</v>
      </c>
      <c r="I36" s="7" t="s">
        <v>71</v>
      </c>
      <c r="J36" s="8" t="s">
        <v>45</v>
      </c>
      <c r="K36" s="7" t="s">
        <v>24</v>
      </c>
      <c r="L36" s="2" t="s">
        <v>21</v>
      </c>
      <c r="M36" s="4">
        <v>1</v>
      </c>
      <c r="N36" s="4">
        <v>1001</v>
      </c>
      <c r="O36" s="4">
        <v>1001</v>
      </c>
      <c r="P36" s="4">
        <v>0</v>
      </c>
      <c r="Q36" s="4">
        <v>1001</v>
      </c>
      <c r="R36" s="4">
        <v>1</v>
      </c>
      <c r="S36" s="55">
        <v>1001</v>
      </c>
      <c r="T36" s="5"/>
      <c r="U36" s="71">
        <v>1001</v>
      </c>
      <c r="V36" s="6"/>
    </row>
    <row r="37" spans="1:22" x14ac:dyDescent="0.25">
      <c r="A37" s="1">
        <v>46242.287844247687</v>
      </c>
      <c r="B37" s="2" t="s">
        <v>70</v>
      </c>
      <c r="C37" s="3">
        <v>46242</v>
      </c>
      <c r="D37" s="2" t="s">
        <v>214</v>
      </c>
      <c r="E37" s="2" t="s">
        <v>66</v>
      </c>
      <c r="F37" t="str">
        <f>CONCATENATE(Table7[[#This Row],[MPG Code]],Table7[[#This Row],[Farmer code]])</f>
        <v>105300440027</v>
      </c>
      <c r="G37" s="9">
        <v>10530044</v>
      </c>
      <c r="H37" s="57" t="s">
        <v>230</v>
      </c>
      <c r="I37" s="7" t="s">
        <v>71</v>
      </c>
      <c r="J37" s="8" t="s">
        <v>40</v>
      </c>
      <c r="K37" s="7" t="s">
        <v>24</v>
      </c>
      <c r="L37" s="2" t="s">
        <v>21</v>
      </c>
      <c r="M37" s="4">
        <v>1</v>
      </c>
      <c r="N37" s="4">
        <v>1001</v>
      </c>
      <c r="O37" s="4">
        <v>1001</v>
      </c>
      <c r="P37" s="4">
        <v>0</v>
      </c>
      <c r="Q37" s="4">
        <v>1001</v>
      </c>
      <c r="R37" s="4">
        <v>1</v>
      </c>
      <c r="S37" s="55">
        <v>1001</v>
      </c>
      <c r="T37" s="5"/>
      <c r="U37" s="71">
        <v>1001</v>
      </c>
      <c r="V37" s="6"/>
    </row>
    <row r="38" spans="1:22" x14ac:dyDescent="0.25">
      <c r="A38" s="1">
        <v>46242.288544525465</v>
      </c>
      <c r="B38" s="2" t="s">
        <v>70</v>
      </c>
      <c r="C38" s="3">
        <v>46242</v>
      </c>
      <c r="D38" s="2" t="s">
        <v>214</v>
      </c>
      <c r="E38" s="2" t="s">
        <v>33</v>
      </c>
      <c r="F38" t="str">
        <f>CONCATENATE(Table7[[#This Row],[MPG Code]],Table7[[#This Row],[Farmer code]])</f>
        <v>105301030009</v>
      </c>
      <c r="G38" s="9">
        <v>10530103</v>
      </c>
      <c r="H38" s="57" t="s">
        <v>230</v>
      </c>
      <c r="I38" s="7" t="s">
        <v>75</v>
      </c>
      <c r="J38" s="8" t="s">
        <v>45</v>
      </c>
      <c r="K38" s="7" t="s">
        <v>24</v>
      </c>
      <c r="L38" s="2" t="s">
        <v>21</v>
      </c>
      <c r="M38" s="4">
        <v>0</v>
      </c>
      <c r="N38" s="4">
        <v>0</v>
      </c>
      <c r="O38" s="4">
        <v>0</v>
      </c>
      <c r="P38" s="4">
        <v>948</v>
      </c>
      <c r="Q38" s="4">
        <v>948</v>
      </c>
      <c r="R38" s="4">
        <v>0</v>
      </c>
      <c r="S38" s="55">
        <v>948</v>
      </c>
      <c r="T38" s="5"/>
      <c r="U38" s="71">
        <v>577</v>
      </c>
      <c r="V38" s="6"/>
    </row>
    <row r="39" spans="1:22" x14ac:dyDescent="0.25">
      <c r="A39" s="1">
        <v>46242.288819363428</v>
      </c>
      <c r="B39" s="2" t="s">
        <v>70</v>
      </c>
      <c r="C39" s="3">
        <v>46242</v>
      </c>
      <c r="D39" s="2" t="s">
        <v>214</v>
      </c>
      <c r="E39" s="2" t="s">
        <v>33</v>
      </c>
      <c r="F39" t="str">
        <f>CONCATENATE(Table7[[#This Row],[MPG Code]],Table7[[#This Row],[Farmer code]])</f>
        <v>105301030050</v>
      </c>
      <c r="G39" s="9">
        <v>10530103</v>
      </c>
      <c r="H39" s="57" t="s">
        <v>230</v>
      </c>
      <c r="I39" s="7" t="s">
        <v>75</v>
      </c>
      <c r="J39" s="8" t="s">
        <v>183</v>
      </c>
      <c r="K39" s="7" t="s">
        <v>24</v>
      </c>
      <c r="L39" s="2" t="s">
        <v>21</v>
      </c>
      <c r="M39" s="4">
        <v>0</v>
      </c>
      <c r="N39" s="4">
        <v>0</v>
      </c>
      <c r="O39" s="4">
        <v>0</v>
      </c>
      <c r="P39" s="4">
        <v>524</v>
      </c>
      <c r="Q39" s="4">
        <v>524</v>
      </c>
      <c r="R39" s="4">
        <v>0</v>
      </c>
      <c r="S39" s="55">
        <v>524</v>
      </c>
      <c r="T39" s="5"/>
      <c r="U39" s="71">
        <v>524</v>
      </c>
      <c r="V39" s="6"/>
    </row>
    <row r="40" spans="1:22" x14ac:dyDescent="0.25">
      <c r="A40" s="1">
        <v>46242.289788819442</v>
      </c>
      <c r="B40" s="2" t="s">
        <v>70</v>
      </c>
      <c r="C40" s="3">
        <v>46242</v>
      </c>
      <c r="D40" s="2" t="s">
        <v>214</v>
      </c>
      <c r="E40" s="2" t="s">
        <v>33</v>
      </c>
      <c r="F40" t="str">
        <f>CONCATENATE(Table7[[#This Row],[MPG Code]],Table7[[#This Row],[Farmer code]])</f>
        <v>105300640034</v>
      </c>
      <c r="G40" s="9">
        <v>10530064</v>
      </c>
      <c r="H40" s="57" t="s">
        <v>230</v>
      </c>
      <c r="I40" s="7" t="s">
        <v>155</v>
      </c>
      <c r="J40" s="8" t="s">
        <v>67</v>
      </c>
      <c r="K40" s="7" t="s">
        <v>24</v>
      </c>
      <c r="L40" s="2" t="s">
        <v>21</v>
      </c>
      <c r="M40" s="4">
        <v>0</v>
      </c>
      <c r="N40" s="4">
        <v>0</v>
      </c>
      <c r="O40" s="4">
        <v>0</v>
      </c>
      <c r="P40" s="4">
        <v>1561</v>
      </c>
      <c r="Q40" s="4">
        <v>1561</v>
      </c>
      <c r="R40" s="4">
        <v>0</v>
      </c>
      <c r="S40" s="55">
        <v>1561</v>
      </c>
      <c r="T40" s="5"/>
      <c r="U40" s="71">
        <v>1561</v>
      </c>
      <c r="V40" s="6"/>
    </row>
    <row r="41" spans="1:22" x14ac:dyDescent="0.25">
      <c r="A41" s="1">
        <v>46242.290148587963</v>
      </c>
      <c r="B41" s="2" t="s">
        <v>70</v>
      </c>
      <c r="C41" s="3">
        <v>46242</v>
      </c>
      <c r="D41" s="2" t="s">
        <v>214</v>
      </c>
      <c r="E41" s="2" t="s">
        <v>33</v>
      </c>
      <c r="F41" t="str">
        <f>CONCATENATE(Table7[[#This Row],[MPG Code]],Table7[[#This Row],[Farmer code]])</f>
        <v>105300550097</v>
      </c>
      <c r="G41" s="9">
        <v>10530055</v>
      </c>
      <c r="H41" s="57" t="s">
        <v>230</v>
      </c>
      <c r="I41" s="7" t="s">
        <v>72</v>
      </c>
      <c r="J41" s="8" t="s">
        <v>175</v>
      </c>
      <c r="K41" s="7" t="s">
        <v>24</v>
      </c>
      <c r="L41" s="2" t="s">
        <v>21</v>
      </c>
      <c r="M41" s="4">
        <v>0</v>
      </c>
      <c r="N41" s="4">
        <v>0</v>
      </c>
      <c r="O41" s="4">
        <v>0</v>
      </c>
      <c r="P41" s="4">
        <v>588</v>
      </c>
      <c r="Q41" s="4">
        <v>588</v>
      </c>
      <c r="R41" s="4">
        <v>0</v>
      </c>
      <c r="S41" s="55">
        <v>588</v>
      </c>
      <c r="T41" s="5"/>
      <c r="U41" s="71">
        <v>588</v>
      </c>
      <c r="V41" s="6"/>
    </row>
    <row r="42" spans="1:22" x14ac:dyDescent="0.25">
      <c r="A42" s="1">
        <v>46242.290400879632</v>
      </c>
      <c r="B42" s="2" t="s">
        <v>70</v>
      </c>
      <c r="C42" s="3">
        <v>46242</v>
      </c>
      <c r="D42" s="2" t="s">
        <v>214</v>
      </c>
      <c r="E42" s="2" t="s">
        <v>33</v>
      </c>
      <c r="F42" t="str">
        <f>CONCATENATE(Table7[[#This Row],[MPG Code]],Table7[[#This Row],[Farmer code]])</f>
        <v>105300550002</v>
      </c>
      <c r="G42" s="9">
        <v>10530055</v>
      </c>
      <c r="H42" s="57" t="s">
        <v>230</v>
      </c>
      <c r="I42" s="7" t="s">
        <v>72</v>
      </c>
      <c r="J42" s="8" t="s">
        <v>22</v>
      </c>
      <c r="K42" s="7" t="s">
        <v>24</v>
      </c>
      <c r="L42" s="2" t="s">
        <v>21</v>
      </c>
      <c r="M42" s="4">
        <v>0</v>
      </c>
      <c r="N42" s="4">
        <v>0</v>
      </c>
      <c r="O42" s="4">
        <v>0</v>
      </c>
      <c r="P42" s="4">
        <v>336</v>
      </c>
      <c r="Q42" s="4">
        <v>336</v>
      </c>
      <c r="R42" s="4">
        <v>0</v>
      </c>
      <c r="S42" s="55">
        <v>336</v>
      </c>
      <c r="T42" s="5"/>
      <c r="U42" s="71">
        <v>336</v>
      </c>
      <c r="V42" s="6"/>
    </row>
    <row r="43" spans="1:22" x14ac:dyDescent="0.25">
      <c r="A43" s="1">
        <v>46242.294440219906</v>
      </c>
      <c r="B43" s="2" t="s">
        <v>70</v>
      </c>
      <c r="C43" s="3">
        <v>46242</v>
      </c>
      <c r="D43" s="2" t="s">
        <v>214</v>
      </c>
      <c r="E43" s="2" t="s">
        <v>65</v>
      </c>
      <c r="F43" t="str">
        <f>CONCATENATE(Table7[[#This Row],[MPG Code]],Table7[[#This Row],[Farmer code]])</f>
        <v>105300350006</v>
      </c>
      <c r="G43" s="9">
        <v>10530035</v>
      </c>
      <c r="H43" s="57" t="s">
        <v>230</v>
      </c>
      <c r="I43" s="7" t="s">
        <v>197</v>
      </c>
      <c r="J43" s="8" t="s">
        <v>78</v>
      </c>
      <c r="K43" s="7" t="s">
        <v>24</v>
      </c>
      <c r="L43" s="2" t="s">
        <v>21</v>
      </c>
      <c r="M43" s="4">
        <v>1</v>
      </c>
      <c r="N43" s="4">
        <v>259</v>
      </c>
      <c r="O43" s="4">
        <v>259</v>
      </c>
      <c r="P43" s="4">
        <v>0</v>
      </c>
      <c r="Q43" s="4">
        <v>259</v>
      </c>
      <c r="R43" s="4">
        <v>1</v>
      </c>
      <c r="S43" s="55">
        <v>259</v>
      </c>
      <c r="T43" s="5"/>
      <c r="U43" s="71">
        <v>259</v>
      </c>
      <c r="V43" s="6"/>
    </row>
    <row r="44" spans="1:22" x14ac:dyDescent="0.25">
      <c r="A44" s="1">
        <v>46242.295210277778</v>
      </c>
      <c r="B44" s="2" t="s">
        <v>70</v>
      </c>
      <c r="C44" s="3">
        <v>46242</v>
      </c>
      <c r="D44" s="2" t="s">
        <v>214</v>
      </c>
      <c r="E44" s="2" t="s">
        <v>65</v>
      </c>
      <c r="F44" t="str">
        <f>CONCATENATE(Table7[[#This Row],[MPG Code]],Table7[[#This Row],[Farmer code]])</f>
        <v>105300350003</v>
      </c>
      <c r="G44" s="9">
        <v>10530035</v>
      </c>
      <c r="H44" s="57" t="s">
        <v>230</v>
      </c>
      <c r="I44" s="7" t="s">
        <v>197</v>
      </c>
      <c r="J44" s="8" t="s">
        <v>34</v>
      </c>
      <c r="K44" s="7" t="s">
        <v>24</v>
      </c>
      <c r="L44" s="2" t="s">
        <v>21</v>
      </c>
      <c r="M44" s="4">
        <v>1</v>
      </c>
      <c r="N44" s="4">
        <v>259</v>
      </c>
      <c r="O44" s="4">
        <v>259</v>
      </c>
      <c r="P44" s="4">
        <v>0</v>
      </c>
      <c r="Q44" s="4">
        <v>259</v>
      </c>
      <c r="R44" s="4">
        <v>1</v>
      </c>
      <c r="S44" s="55">
        <v>259</v>
      </c>
      <c r="T44" s="5"/>
      <c r="U44" s="71">
        <v>259</v>
      </c>
      <c r="V44" s="6"/>
    </row>
    <row r="45" spans="1:22" x14ac:dyDescent="0.25">
      <c r="A45" s="1">
        <v>46242.295733182866</v>
      </c>
      <c r="B45" s="2" t="s">
        <v>70</v>
      </c>
      <c r="C45" s="3">
        <v>46242</v>
      </c>
      <c r="D45" s="2" t="s">
        <v>214</v>
      </c>
      <c r="E45" s="2" t="s">
        <v>68</v>
      </c>
      <c r="F45" t="str">
        <f>CONCATENATE(Table7[[#This Row],[MPG Code]],Table7[[#This Row],[Farmer code]])</f>
        <v>105300350036</v>
      </c>
      <c r="G45" s="9">
        <v>10530035</v>
      </c>
      <c r="H45" s="57" t="s">
        <v>230</v>
      </c>
      <c r="I45" s="7" t="s">
        <v>197</v>
      </c>
      <c r="J45" s="8" t="s">
        <v>140</v>
      </c>
      <c r="K45" s="7" t="s">
        <v>24</v>
      </c>
      <c r="L45" s="2" t="s">
        <v>21</v>
      </c>
      <c r="M45" s="4">
        <v>1</v>
      </c>
      <c r="N45" s="4">
        <v>165</v>
      </c>
      <c r="O45" s="4">
        <v>165</v>
      </c>
      <c r="P45" s="4">
        <v>0</v>
      </c>
      <c r="Q45" s="4">
        <v>165</v>
      </c>
      <c r="R45" s="4">
        <v>1</v>
      </c>
      <c r="S45" s="55">
        <v>165</v>
      </c>
      <c r="T45" s="5"/>
      <c r="U45" s="71">
        <v>165</v>
      </c>
      <c r="V45" s="6"/>
    </row>
    <row r="46" spans="1:22" x14ac:dyDescent="0.25">
      <c r="A46" s="1">
        <v>46242.296230775464</v>
      </c>
      <c r="B46" s="2" t="s">
        <v>70</v>
      </c>
      <c r="C46" s="3">
        <v>46242</v>
      </c>
      <c r="D46" s="2" t="s">
        <v>214</v>
      </c>
      <c r="E46" s="2" t="s">
        <v>65</v>
      </c>
      <c r="F46" t="str">
        <f>CONCATENATE(Table7[[#This Row],[MPG Code]],Table7[[#This Row],[Farmer code]])</f>
        <v>105300350010</v>
      </c>
      <c r="G46" s="9">
        <v>10530035</v>
      </c>
      <c r="H46" s="57" t="s">
        <v>230</v>
      </c>
      <c r="I46" s="7" t="s">
        <v>197</v>
      </c>
      <c r="J46" s="8" t="s">
        <v>53</v>
      </c>
      <c r="K46" s="7" t="s">
        <v>24</v>
      </c>
      <c r="L46" s="2" t="s">
        <v>21</v>
      </c>
      <c r="M46" s="4">
        <v>6</v>
      </c>
      <c r="N46" s="4">
        <v>259</v>
      </c>
      <c r="O46" s="4">
        <v>1554</v>
      </c>
      <c r="P46" s="4">
        <v>0</v>
      </c>
      <c r="Q46" s="4">
        <v>1554</v>
      </c>
      <c r="R46" s="4">
        <v>6</v>
      </c>
      <c r="S46" s="55">
        <v>1554</v>
      </c>
      <c r="T46" s="5"/>
      <c r="U46" s="71">
        <v>1554</v>
      </c>
      <c r="V46" s="6"/>
    </row>
    <row r="47" spans="1:22" x14ac:dyDescent="0.25">
      <c r="A47" s="1">
        <v>46242.297178437497</v>
      </c>
      <c r="B47" s="2" t="s">
        <v>70</v>
      </c>
      <c r="C47" s="3">
        <v>46242</v>
      </c>
      <c r="D47" s="2" t="s">
        <v>214</v>
      </c>
      <c r="E47" s="2" t="s">
        <v>65</v>
      </c>
      <c r="F47" t="str">
        <f>CONCATENATE(Table7[[#This Row],[MPG Code]],Table7[[#This Row],[Farmer code]])</f>
        <v>105300350022</v>
      </c>
      <c r="G47" s="9">
        <v>10530035</v>
      </c>
      <c r="H47" s="57" t="s">
        <v>230</v>
      </c>
      <c r="I47" s="7" t="s">
        <v>197</v>
      </c>
      <c r="J47" s="8" t="s">
        <v>77</v>
      </c>
      <c r="K47" s="7" t="s">
        <v>24</v>
      </c>
      <c r="L47" s="2" t="s">
        <v>21</v>
      </c>
      <c r="M47" s="4">
        <v>2</v>
      </c>
      <c r="N47" s="4">
        <v>259</v>
      </c>
      <c r="O47" s="4">
        <v>518</v>
      </c>
      <c r="P47" s="4">
        <v>0</v>
      </c>
      <c r="Q47" s="4">
        <v>518</v>
      </c>
      <c r="R47" s="4">
        <v>2</v>
      </c>
      <c r="S47" s="55">
        <v>518</v>
      </c>
      <c r="T47" s="5"/>
      <c r="U47" s="71">
        <v>518</v>
      </c>
      <c r="V47" s="6"/>
    </row>
    <row r="48" spans="1:22" x14ac:dyDescent="0.25">
      <c r="A48" s="1">
        <v>46242.298233159723</v>
      </c>
      <c r="B48" s="2" t="s">
        <v>70</v>
      </c>
      <c r="C48" s="3">
        <v>46242</v>
      </c>
      <c r="D48" s="2" t="s">
        <v>214</v>
      </c>
      <c r="E48" s="2" t="s">
        <v>68</v>
      </c>
      <c r="F48" t="str">
        <f>CONCATENATE(Table7[[#This Row],[MPG Code]],Table7[[#This Row],[Farmer code]])</f>
        <v>105300350022</v>
      </c>
      <c r="G48" s="9">
        <v>10530035</v>
      </c>
      <c r="H48" s="57" t="s">
        <v>230</v>
      </c>
      <c r="I48" s="7" t="s">
        <v>197</v>
      </c>
      <c r="J48" s="8" t="s">
        <v>77</v>
      </c>
      <c r="K48" s="7" t="s">
        <v>24</v>
      </c>
      <c r="L48" s="2" t="s">
        <v>21</v>
      </c>
      <c r="M48" s="4">
        <v>1</v>
      </c>
      <c r="N48" s="4">
        <v>165</v>
      </c>
      <c r="O48" s="4">
        <v>165</v>
      </c>
      <c r="P48" s="4">
        <v>0</v>
      </c>
      <c r="Q48" s="4">
        <v>165</v>
      </c>
      <c r="R48" s="4">
        <v>1</v>
      </c>
      <c r="S48" s="55">
        <v>165</v>
      </c>
      <c r="T48" s="5"/>
      <c r="U48" s="71">
        <v>165</v>
      </c>
      <c r="V48" s="6"/>
    </row>
    <row r="49" spans="1:24" x14ac:dyDescent="0.25">
      <c r="A49" s="1">
        <v>46242.299072175927</v>
      </c>
      <c r="B49" s="2" t="s">
        <v>70</v>
      </c>
      <c r="C49" s="3">
        <v>46242</v>
      </c>
      <c r="D49" s="2" t="s">
        <v>214</v>
      </c>
      <c r="E49" s="2" t="s">
        <v>68</v>
      </c>
      <c r="F49" t="str">
        <f>CONCATENATE(Table7[[#This Row],[MPG Code]],Table7[[#This Row],[Farmer code]])</f>
        <v>105300350097</v>
      </c>
      <c r="G49" s="9">
        <v>10530035</v>
      </c>
      <c r="H49" s="57" t="s">
        <v>230</v>
      </c>
      <c r="I49" s="7" t="s">
        <v>197</v>
      </c>
      <c r="J49" s="8" t="s">
        <v>175</v>
      </c>
      <c r="K49" s="7" t="s">
        <v>24</v>
      </c>
      <c r="L49" s="2" t="s">
        <v>21</v>
      </c>
      <c r="M49" s="4">
        <v>1</v>
      </c>
      <c r="N49" s="4">
        <v>165</v>
      </c>
      <c r="O49" s="4">
        <v>165</v>
      </c>
      <c r="P49" s="4">
        <v>0</v>
      </c>
      <c r="Q49" s="4">
        <v>165</v>
      </c>
      <c r="R49" s="4">
        <v>1</v>
      </c>
      <c r="S49" s="55">
        <v>165</v>
      </c>
      <c r="T49" s="5"/>
      <c r="U49" s="71">
        <v>0</v>
      </c>
      <c r="V49" s="6"/>
    </row>
    <row r="50" spans="1:24" x14ac:dyDescent="0.25">
      <c r="A50" s="1">
        <v>46242.30147096065</v>
      </c>
      <c r="B50" s="2" t="s">
        <v>42</v>
      </c>
      <c r="C50" s="3">
        <v>46242</v>
      </c>
      <c r="D50" s="2" t="s">
        <v>214</v>
      </c>
      <c r="E50" s="2" t="s">
        <v>30</v>
      </c>
      <c r="F50" t="str">
        <f>CONCATENATE(Table7[[#This Row],[MPG Code]],Table7[[#This Row],[Farmer code]])</f>
        <v>101201220002</v>
      </c>
      <c r="G50" s="9">
        <v>10120122</v>
      </c>
      <c r="H50" s="57" t="s">
        <v>230</v>
      </c>
      <c r="I50" s="7" t="s">
        <v>128</v>
      </c>
      <c r="J50" s="8" t="s">
        <v>22</v>
      </c>
      <c r="K50" s="7" t="s">
        <v>32</v>
      </c>
      <c r="L50" s="2" t="s">
        <v>21</v>
      </c>
      <c r="M50" s="4">
        <v>0</v>
      </c>
      <c r="N50" s="4">
        <v>1400</v>
      </c>
      <c r="O50" s="4">
        <v>0</v>
      </c>
      <c r="P50" s="4">
        <v>6892</v>
      </c>
      <c r="Q50" s="4">
        <v>6892</v>
      </c>
      <c r="R50" s="4">
        <v>0</v>
      </c>
      <c r="S50" s="55">
        <v>6892</v>
      </c>
      <c r="T50" s="5"/>
      <c r="U50" s="71">
        <v>6892</v>
      </c>
      <c r="V50" s="6" t="s">
        <v>198</v>
      </c>
      <c r="X50" s="77">
        <f>Table7[[#This Row],[Final Amount]]-Table7[[#This Row],[Deduction]]</f>
        <v>0</v>
      </c>
    </row>
    <row r="51" spans="1:24" x14ac:dyDescent="0.25">
      <c r="A51" s="1">
        <v>46242.302749849536</v>
      </c>
      <c r="B51" s="2" t="s">
        <v>42</v>
      </c>
      <c r="C51" s="3">
        <v>46242</v>
      </c>
      <c r="D51" s="2" t="s">
        <v>214</v>
      </c>
      <c r="E51" s="2" t="s">
        <v>30</v>
      </c>
      <c r="F51" t="str">
        <f>CONCATENATE(Table7[[#This Row],[MPG Code]],Table7[[#This Row],[Farmer code]])</f>
        <v>101201220002</v>
      </c>
      <c r="G51" s="9">
        <v>10120122</v>
      </c>
      <c r="H51" s="57" t="s">
        <v>230</v>
      </c>
      <c r="I51" s="7" t="s">
        <v>128</v>
      </c>
      <c r="J51" s="8" t="s">
        <v>22</v>
      </c>
      <c r="K51" s="7" t="s">
        <v>32</v>
      </c>
      <c r="L51" s="2" t="s">
        <v>21</v>
      </c>
      <c r="M51" s="4">
        <v>3</v>
      </c>
      <c r="N51" s="4">
        <v>1400</v>
      </c>
      <c r="O51" s="4">
        <v>4200</v>
      </c>
      <c r="P51" s="4">
        <v>0</v>
      </c>
      <c r="Q51" s="4">
        <v>4200</v>
      </c>
      <c r="R51" s="4">
        <v>3</v>
      </c>
      <c r="S51" s="55">
        <v>4200</v>
      </c>
      <c r="T51" s="5"/>
      <c r="U51" s="71">
        <v>4200</v>
      </c>
      <c r="V51" s="10" t="s">
        <v>152</v>
      </c>
      <c r="X51" s="77">
        <f>Table7[[#This Row],[Final Amount]]-Table7[[#This Row],[Deduction]]</f>
        <v>0</v>
      </c>
    </row>
    <row r="52" spans="1:24" x14ac:dyDescent="0.25">
      <c r="A52" s="1">
        <v>46242.303224212963</v>
      </c>
      <c r="B52" s="2" t="s">
        <v>42</v>
      </c>
      <c r="C52" s="3">
        <v>46242</v>
      </c>
      <c r="D52" s="2" t="s">
        <v>214</v>
      </c>
      <c r="E52" s="2" t="s">
        <v>30</v>
      </c>
      <c r="F52" t="str">
        <f>CONCATENATE(Table7[[#This Row],[MPG Code]],Table7[[#This Row],[Farmer code]])</f>
        <v>101200170002</v>
      </c>
      <c r="G52" s="9">
        <v>10120017</v>
      </c>
      <c r="H52" s="57" t="s">
        <v>230</v>
      </c>
      <c r="I52" s="7" t="s">
        <v>101</v>
      </c>
      <c r="J52" s="8" t="s">
        <v>22</v>
      </c>
      <c r="K52" s="7" t="s">
        <v>32</v>
      </c>
      <c r="L52" s="2" t="s">
        <v>21</v>
      </c>
      <c r="M52" s="4">
        <v>0</v>
      </c>
      <c r="N52" s="4">
        <v>1400</v>
      </c>
      <c r="O52" s="4">
        <v>0</v>
      </c>
      <c r="P52" s="4">
        <v>1398</v>
      </c>
      <c r="Q52" s="4">
        <v>1398</v>
      </c>
      <c r="R52" s="4">
        <v>0</v>
      </c>
      <c r="S52" s="55">
        <v>1398</v>
      </c>
      <c r="T52" s="5"/>
      <c r="U52" s="71">
        <v>1398</v>
      </c>
      <c r="V52" s="10" t="s">
        <v>152</v>
      </c>
      <c r="X52" s="77">
        <f>Table7[[#This Row],[Final Amount]]-Table7[[#This Row],[Deduction]]</f>
        <v>0</v>
      </c>
    </row>
    <row r="53" spans="1:24" x14ac:dyDescent="0.25">
      <c r="A53" s="1">
        <v>46242.303725138889</v>
      </c>
      <c r="B53" s="2" t="s">
        <v>42</v>
      </c>
      <c r="C53" s="3">
        <v>46242</v>
      </c>
      <c r="D53" s="2" t="s">
        <v>214</v>
      </c>
      <c r="E53" s="2" t="s">
        <v>30</v>
      </c>
      <c r="F53" t="str">
        <f>CONCATENATE(Table7[[#This Row],[MPG Code]],Table7[[#This Row],[Farmer code]])</f>
        <v>101200340002</v>
      </c>
      <c r="G53" s="9">
        <v>10120034</v>
      </c>
      <c r="H53" s="57" t="s">
        <v>230</v>
      </c>
      <c r="I53" s="7" t="s">
        <v>103</v>
      </c>
      <c r="J53" s="8" t="s">
        <v>22</v>
      </c>
      <c r="K53" s="7" t="s">
        <v>32</v>
      </c>
      <c r="L53" s="2" t="s">
        <v>21</v>
      </c>
      <c r="M53" s="4">
        <v>0</v>
      </c>
      <c r="N53" s="4">
        <v>1400</v>
      </c>
      <c r="O53" s="4">
        <v>0</v>
      </c>
      <c r="P53" s="4">
        <v>4200</v>
      </c>
      <c r="Q53" s="4">
        <v>4200</v>
      </c>
      <c r="R53" s="4">
        <v>0</v>
      </c>
      <c r="S53" s="55">
        <v>4200</v>
      </c>
      <c r="T53" s="5"/>
      <c r="U53" s="71">
        <v>4200</v>
      </c>
      <c r="V53" s="10" t="s">
        <v>200</v>
      </c>
      <c r="X53" s="77">
        <f>Table7[[#This Row],[Final Amount]]-Table7[[#This Row],[Deduction]]</f>
        <v>0</v>
      </c>
    </row>
    <row r="54" spans="1:24" x14ac:dyDescent="0.25">
      <c r="A54" s="1">
        <v>46242.304300497686</v>
      </c>
      <c r="B54" s="2" t="s">
        <v>70</v>
      </c>
      <c r="C54" s="3">
        <v>46242</v>
      </c>
      <c r="D54" s="2" t="s">
        <v>214</v>
      </c>
      <c r="E54" s="2" t="s">
        <v>65</v>
      </c>
      <c r="F54" t="str">
        <f>CONCATENATE(Table7[[#This Row],[MPG Code]],Table7[[#This Row],[Farmer code]])</f>
        <v>105300350013</v>
      </c>
      <c r="G54" s="9">
        <v>10530035</v>
      </c>
      <c r="H54" s="57" t="s">
        <v>230</v>
      </c>
      <c r="I54" s="7" t="s">
        <v>197</v>
      </c>
      <c r="J54" s="8" t="s">
        <v>57</v>
      </c>
      <c r="K54" s="7" t="s">
        <v>24</v>
      </c>
      <c r="L54" s="2" t="s">
        <v>21</v>
      </c>
      <c r="M54" s="4">
        <v>1</v>
      </c>
      <c r="N54" s="4">
        <v>259</v>
      </c>
      <c r="O54" s="4">
        <v>259</v>
      </c>
      <c r="P54" s="4">
        <v>0</v>
      </c>
      <c r="Q54" s="4">
        <v>259</v>
      </c>
      <c r="R54" s="4">
        <v>1</v>
      </c>
      <c r="S54" s="55">
        <v>259</v>
      </c>
      <c r="T54" s="5"/>
      <c r="U54" s="71">
        <v>259</v>
      </c>
      <c r="V54" s="6"/>
    </row>
    <row r="55" spans="1:24" x14ac:dyDescent="0.25">
      <c r="A55" s="1">
        <v>46242.304481238425</v>
      </c>
      <c r="B55" s="2" t="s">
        <v>42</v>
      </c>
      <c r="C55" s="3">
        <v>46242</v>
      </c>
      <c r="D55" s="2" t="s">
        <v>214</v>
      </c>
      <c r="E55" s="2" t="s">
        <v>30</v>
      </c>
      <c r="F55" t="str">
        <f>CONCATENATE(Table7[[#This Row],[MPG Code]],Table7[[#This Row],[Farmer code]])</f>
        <v>101201200002</v>
      </c>
      <c r="G55" s="9">
        <v>10120120</v>
      </c>
      <c r="H55" s="57" t="s">
        <v>230</v>
      </c>
      <c r="I55" s="7" t="s">
        <v>139</v>
      </c>
      <c r="J55" s="8" t="s">
        <v>22</v>
      </c>
      <c r="K55" s="7" t="s">
        <v>32</v>
      </c>
      <c r="L55" s="2" t="s">
        <v>21</v>
      </c>
      <c r="M55" s="4">
        <v>5</v>
      </c>
      <c r="N55" s="4">
        <v>1400</v>
      </c>
      <c r="O55" s="4">
        <v>7000</v>
      </c>
      <c r="P55" s="4">
        <v>0</v>
      </c>
      <c r="Q55" s="4">
        <v>7000</v>
      </c>
      <c r="R55" s="4">
        <v>5</v>
      </c>
      <c r="S55" s="55">
        <v>7000</v>
      </c>
      <c r="T55" s="5"/>
      <c r="U55" s="71">
        <v>7000</v>
      </c>
      <c r="V55" s="10" t="s">
        <v>201</v>
      </c>
      <c r="X55" s="77">
        <f>Table7[[#This Row],[Final Amount]]-Table7[[#This Row],[Deduction]]</f>
        <v>0</v>
      </c>
    </row>
    <row r="56" spans="1:24" x14ac:dyDescent="0.25">
      <c r="A56" s="1">
        <v>46242.304760717598</v>
      </c>
      <c r="B56" s="2" t="s">
        <v>42</v>
      </c>
      <c r="C56" s="3">
        <v>46242</v>
      </c>
      <c r="D56" s="2" t="s">
        <v>214</v>
      </c>
      <c r="E56" s="2" t="s">
        <v>27</v>
      </c>
      <c r="F56" t="str">
        <f>CONCATENATE(Table7[[#This Row],[MPG Code]],Table7[[#This Row],[Farmer code]])</f>
        <v>101201220002</v>
      </c>
      <c r="G56" s="9">
        <v>10120122</v>
      </c>
      <c r="H56" s="57" t="s">
        <v>230</v>
      </c>
      <c r="I56" s="7" t="s">
        <v>128</v>
      </c>
      <c r="J56" s="8" t="s">
        <v>22</v>
      </c>
      <c r="K56" s="7" t="s">
        <v>32</v>
      </c>
      <c r="L56" s="2" t="s">
        <v>21</v>
      </c>
      <c r="M56" s="4">
        <v>2</v>
      </c>
      <c r="N56" s="4">
        <v>1550</v>
      </c>
      <c r="O56" s="4">
        <v>3100</v>
      </c>
      <c r="P56" s="4">
        <v>0</v>
      </c>
      <c r="Q56" s="4">
        <v>3100</v>
      </c>
      <c r="R56" s="4">
        <v>2</v>
      </c>
      <c r="S56" s="55">
        <v>3100</v>
      </c>
      <c r="T56" s="5"/>
      <c r="U56" s="71">
        <v>0</v>
      </c>
      <c r="V56" s="6"/>
    </row>
    <row r="57" spans="1:24" x14ac:dyDescent="0.25">
      <c r="A57" s="1">
        <v>46242.305275324077</v>
      </c>
      <c r="B57" s="2" t="s">
        <v>42</v>
      </c>
      <c r="C57" s="3">
        <v>46242</v>
      </c>
      <c r="D57" s="2" t="s">
        <v>214</v>
      </c>
      <c r="E57" s="2" t="s">
        <v>27</v>
      </c>
      <c r="F57" t="str">
        <f>CONCATENATE(Table7[[#This Row],[MPG Code]],Table7[[#This Row],[Farmer code]])</f>
        <v>101200170002</v>
      </c>
      <c r="G57" s="9">
        <v>10120017</v>
      </c>
      <c r="H57" s="57" t="s">
        <v>230</v>
      </c>
      <c r="I57" s="7" t="s">
        <v>101</v>
      </c>
      <c r="J57" s="8" t="s">
        <v>22</v>
      </c>
      <c r="K57" s="7" t="s">
        <v>32</v>
      </c>
      <c r="L57" s="2" t="s">
        <v>21</v>
      </c>
      <c r="M57" s="4">
        <v>5</v>
      </c>
      <c r="N57" s="4">
        <v>1550</v>
      </c>
      <c r="O57" s="4">
        <v>7750</v>
      </c>
      <c r="P57" s="4">
        <v>0</v>
      </c>
      <c r="Q57" s="4">
        <v>7750</v>
      </c>
      <c r="R57" s="4">
        <v>5</v>
      </c>
      <c r="S57" s="55">
        <v>7750</v>
      </c>
      <c r="T57" s="5"/>
      <c r="U57" s="71">
        <v>7750</v>
      </c>
      <c r="V57" s="10" t="s">
        <v>152</v>
      </c>
      <c r="X57" s="77">
        <f>Table7[[#This Row],[Final Amount]]-Table7[[#This Row],[Deduction]]</f>
        <v>0</v>
      </c>
    </row>
    <row r="58" spans="1:24" x14ac:dyDescent="0.25">
      <c r="A58" s="1">
        <v>46242.306515671298</v>
      </c>
      <c r="B58" s="2" t="s">
        <v>42</v>
      </c>
      <c r="C58" s="3">
        <v>46242</v>
      </c>
      <c r="D58" s="2" t="s">
        <v>214</v>
      </c>
      <c r="E58" s="2" t="s">
        <v>30</v>
      </c>
      <c r="F58" t="str">
        <f>CONCATENATE(Table7[[#This Row],[MPG Code]],Table7[[#This Row],[Farmer code]])</f>
        <v>101200940002</v>
      </c>
      <c r="G58" s="9">
        <v>10120094</v>
      </c>
      <c r="H58" s="57" t="s">
        <v>230</v>
      </c>
      <c r="I58" s="7" t="s">
        <v>99</v>
      </c>
      <c r="J58" s="8" t="s">
        <v>22</v>
      </c>
      <c r="K58" s="7" t="s">
        <v>32</v>
      </c>
      <c r="L58" s="2" t="s">
        <v>21</v>
      </c>
      <c r="M58" s="4">
        <v>5</v>
      </c>
      <c r="N58" s="4">
        <v>1400</v>
      </c>
      <c r="O58" s="4">
        <v>7000</v>
      </c>
      <c r="P58" s="4">
        <v>0</v>
      </c>
      <c r="Q58" s="4">
        <v>7000</v>
      </c>
      <c r="R58" s="4">
        <v>5</v>
      </c>
      <c r="S58" s="55">
        <v>7000</v>
      </c>
      <c r="T58" s="5"/>
      <c r="U58" s="71">
        <v>7000</v>
      </c>
      <c r="V58" s="10" t="s">
        <v>203</v>
      </c>
      <c r="X58" s="77">
        <f>Table7[[#This Row],[Final Amount]]-Table7[[#This Row],[Deduction]]</f>
        <v>0</v>
      </c>
    </row>
    <row r="59" spans="1:24" x14ac:dyDescent="0.25">
      <c r="A59" s="1">
        <v>46242.307296064813</v>
      </c>
      <c r="B59" s="2" t="s">
        <v>50</v>
      </c>
      <c r="C59" s="3">
        <v>46242</v>
      </c>
      <c r="D59" s="2" t="s">
        <v>214</v>
      </c>
      <c r="E59" s="2" t="s">
        <v>30</v>
      </c>
      <c r="F59" t="str">
        <f>CONCATENATE(Table7[[#This Row],[MPG Code]],Table7[[#This Row],[Farmer code]])</f>
        <v>105300080002</v>
      </c>
      <c r="G59" s="9">
        <v>10530008</v>
      </c>
      <c r="H59" s="57" t="s">
        <v>230</v>
      </c>
      <c r="I59" s="7" t="s">
        <v>142</v>
      </c>
      <c r="J59" s="8" t="s">
        <v>22</v>
      </c>
      <c r="K59" s="7" t="s">
        <v>24</v>
      </c>
      <c r="L59" s="2" t="s">
        <v>24</v>
      </c>
      <c r="M59" s="4">
        <v>3</v>
      </c>
      <c r="N59" s="4">
        <v>1400</v>
      </c>
      <c r="O59" s="4">
        <v>4200</v>
      </c>
      <c r="P59" s="4">
        <v>0</v>
      </c>
      <c r="Q59" s="4">
        <v>4200</v>
      </c>
      <c r="R59" s="4">
        <v>3</v>
      </c>
      <c r="S59" s="55">
        <v>4200</v>
      </c>
      <c r="T59" s="5"/>
      <c r="U59" s="71">
        <v>4200</v>
      </c>
      <c r="V59" s="6"/>
    </row>
    <row r="60" spans="1:24" x14ac:dyDescent="0.25">
      <c r="A60" s="1">
        <v>46242.307566643518</v>
      </c>
      <c r="B60" s="2" t="s">
        <v>50</v>
      </c>
      <c r="C60" s="3">
        <v>46242</v>
      </c>
      <c r="D60" s="2" t="s">
        <v>214</v>
      </c>
      <c r="E60" s="2" t="s">
        <v>30</v>
      </c>
      <c r="F60" t="str">
        <f>CONCATENATE(Table7[[#This Row],[MPG Code]],Table7[[#This Row],[Farmer code]])</f>
        <v>105300080020</v>
      </c>
      <c r="G60" s="9">
        <v>10530008</v>
      </c>
      <c r="H60" s="57" t="s">
        <v>230</v>
      </c>
      <c r="I60" s="7" t="s">
        <v>142</v>
      </c>
      <c r="J60" s="8" t="s">
        <v>79</v>
      </c>
      <c r="K60" s="7" t="s">
        <v>24</v>
      </c>
      <c r="L60" s="2" t="s">
        <v>24</v>
      </c>
      <c r="M60" s="4">
        <v>3</v>
      </c>
      <c r="N60" s="4">
        <v>1400</v>
      </c>
      <c r="O60" s="4">
        <v>4200</v>
      </c>
      <c r="P60" s="4">
        <v>0</v>
      </c>
      <c r="Q60" s="4">
        <v>4200</v>
      </c>
      <c r="R60" s="4">
        <v>3</v>
      </c>
      <c r="S60" s="55">
        <v>4200</v>
      </c>
      <c r="T60" s="5"/>
      <c r="U60" s="71">
        <v>4200</v>
      </c>
      <c r="V60" s="6"/>
    </row>
    <row r="61" spans="1:24" x14ac:dyDescent="0.25">
      <c r="A61" s="1">
        <v>46242.307804317126</v>
      </c>
      <c r="B61" s="2" t="s">
        <v>50</v>
      </c>
      <c r="C61" s="3">
        <v>46242</v>
      </c>
      <c r="D61" s="2" t="s">
        <v>214</v>
      </c>
      <c r="E61" s="2" t="s">
        <v>30</v>
      </c>
      <c r="F61" t="str">
        <f>CONCATENATE(Table7[[#This Row],[MPG Code]],Table7[[#This Row],[Farmer code]])</f>
        <v>105300080006</v>
      </c>
      <c r="G61" s="9">
        <v>10530008</v>
      </c>
      <c r="H61" s="57" t="s">
        <v>230</v>
      </c>
      <c r="I61" s="7" t="s">
        <v>142</v>
      </c>
      <c r="J61" s="8" t="s">
        <v>78</v>
      </c>
      <c r="K61" s="7" t="s">
        <v>24</v>
      </c>
      <c r="L61" s="2" t="s">
        <v>24</v>
      </c>
      <c r="M61" s="4">
        <v>0</v>
      </c>
      <c r="N61" s="4">
        <v>1400</v>
      </c>
      <c r="O61" s="4">
        <v>0</v>
      </c>
      <c r="P61" s="4">
        <v>44</v>
      </c>
      <c r="Q61" s="4">
        <v>44</v>
      </c>
      <c r="R61" s="4">
        <v>0</v>
      </c>
      <c r="S61" s="55">
        <v>44</v>
      </c>
      <c r="T61" s="5"/>
      <c r="U61" s="71">
        <v>44</v>
      </c>
      <c r="V61" s="6"/>
    </row>
    <row r="62" spans="1:24" x14ac:dyDescent="0.25">
      <c r="A62" s="1">
        <v>46242.308021990742</v>
      </c>
      <c r="B62" s="2" t="s">
        <v>42</v>
      </c>
      <c r="C62" s="3">
        <v>46242</v>
      </c>
      <c r="D62" s="2" t="s">
        <v>214</v>
      </c>
      <c r="E62" s="2" t="s">
        <v>30</v>
      </c>
      <c r="F62" t="str">
        <f>CONCATENATE(Table7[[#This Row],[MPG Code]],Table7[[#This Row],[Farmer code]])</f>
        <v>101200070107</v>
      </c>
      <c r="G62" s="9">
        <v>10120007</v>
      </c>
      <c r="H62" s="57" t="s">
        <v>230</v>
      </c>
      <c r="I62" s="7" t="s">
        <v>43</v>
      </c>
      <c r="J62" s="8" t="s">
        <v>44</v>
      </c>
      <c r="K62" s="7" t="s">
        <v>32</v>
      </c>
      <c r="L62" s="2" t="s">
        <v>21</v>
      </c>
      <c r="M62" s="4">
        <v>1</v>
      </c>
      <c r="N62" s="4">
        <v>1400</v>
      </c>
      <c r="O62" s="4">
        <v>1400</v>
      </c>
      <c r="P62" s="4">
        <v>0</v>
      </c>
      <c r="Q62" s="4">
        <v>1400</v>
      </c>
      <c r="R62" s="4">
        <v>1</v>
      </c>
      <c r="S62" s="55">
        <v>1400</v>
      </c>
      <c r="T62" s="5"/>
      <c r="U62" s="71">
        <v>1400</v>
      </c>
      <c r="V62" s="6"/>
    </row>
    <row r="63" spans="1:24" x14ac:dyDescent="0.25">
      <c r="A63" s="1">
        <v>46242.30810037037</v>
      </c>
      <c r="B63" s="2" t="s">
        <v>50</v>
      </c>
      <c r="C63" s="3">
        <v>46242</v>
      </c>
      <c r="D63" s="2" t="s">
        <v>214</v>
      </c>
      <c r="E63" s="2" t="s">
        <v>30</v>
      </c>
      <c r="F63" t="str">
        <f>CONCATENATE(Table7[[#This Row],[MPG Code]],Table7[[#This Row],[Farmer code]])</f>
        <v>105300960002</v>
      </c>
      <c r="G63" s="9">
        <v>10530096</v>
      </c>
      <c r="H63" s="57" t="s">
        <v>230</v>
      </c>
      <c r="I63" s="7" t="s">
        <v>51</v>
      </c>
      <c r="J63" s="8" t="s">
        <v>22</v>
      </c>
      <c r="K63" s="7" t="s">
        <v>24</v>
      </c>
      <c r="L63" s="2" t="s">
        <v>24</v>
      </c>
      <c r="M63" s="4">
        <v>9</v>
      </c>
      <c r="N63" s="4">
        <v>1400</v>
      </c>
      <c r="O63" s="4">
        <v>12600</v>
      </c>
      <c r="P63" s="4">
        <v>0</v>
      </c>
      <c r="Q63" s="4">
        <v>12600</v>
      </c>
      <c r="R63" s="4">
        <v>9</v>
      </c>
      <c r="S63" s="55">
        <v>12600</v>
      </c>
      <c r="T63" s="5"/>
      <c r="U63" s="71">
        <v>12600</v>
      </c>
      <c r="V63" s="6"/>
    </row>
    <row r="64" spans="1:24" x14ac:dyDescent="0.25">
      <c r="A64" s="1">
        <v>46242.308325069447</v>
      </c>
      <c r="B64" s="2" t="s">
        <v>42</v>
      </c>
      <c r="C64" s="3">
        <v>46242</v>
      </c>
      <c r="D64" s="2" t="s">
        <v>214</v>
      </c>
      <c r="E64" s="2" t="s">
        <v>30</v>
      </c>
      <c r="F64" t="str">
        <f>CONCATENATE(Table7[[#This Row],[MPG Code]],Table7[[#This Row],[Farmer code]])</f>
        <v>101200070038</v>
      </c>
      <c r="G64" s="9">
        <v>10120007</v>
      </c>
      <c r="H64" s="57" t="s">
        <v>230</v>
      </c>
      <c r="I64" s="7" t="s">
        <v>43</v>
      </c>
      <c r="J64" s="8" t="s">
        <v>39</v>
      </c>
      <c r="K64" s="7" t="s">
        <v>32</v>
      </c>
      <c r="L64" s="2" t="s">
        <v>21</v>
      </c>
      <c r="M64" s="4">
        <v>1</v>
      </c>
      <c r="N64" s="4">
        <v>1400</v>
      </c>
      <c r="O64" s="4">
        <v>1400</v>
      </c>
      <c r="P64" s="4">
        <v>0</v>
      </c>
      <c r="Q64" s="4">
        <v>1400</v>
      </c>
      <c r="R64" s="4">
        <v>1</v>
      </c>
      <c r="S64" s="55">
        <v>1400</v>
      </c>
      <c r="T64" s="5"/>
      <c r="U64" s="71">
        <v>1400</v>
      </c>
      <c r="V64" s="6"/>
    </row>
    <row r="65" spans="1:22" x14ac:dyDescent="0.25">
      <c r="A65" s="1">
        <v>46242.308346365739</v>
      </c>
      <c r="B65" s="2" t="s">
        <v>50</v>
      </c>
      <c r="C65" s="3">
        <v>46242</v>
      </c>
      <c r="D65" s="2" t="s">
        <v>214</v>
      </c>
      <c r="E65" s="2" t="s">
        <v>30</v>
      </c>
      <c r="F65" t="str">
        <f>CONCATENATE(Table7[[#This Row],[MPG Code]],Table7[[#This Row],[Farmer code]])</f>
        <v>105300010006</v>
      </c>
      <c r="G65" s="9">
        <v>10530001</v>
      </c>
      <c r="H65" s="57" t="s">
        <v>230</v>
      </c>
      <c r="I65" s="7" t="s">
        <v>204</v>
      </c>
      <c r="J65" s="8" t="s">
        <v>78</v>
      </c>
      <c r="K65" s="7" t="s">
        <v>24</v>
      </c>
      <c r="L65" s="2" t="s">
        <v>24</v>
      </c>
      <c r="M65" s="4">
        <v>2</v>
      </c>
      <c r="N65" s="4">
        <v>1400</v>
      </c>
      <c r="O65" s="4">
        <v>2800</v>
      </c>
      <c r="P65" s="4">
        <v>0</v>
      </c>
      <c r="Q65" s="4">
        <v>2800</v>
      </c>
      <c r="R65" s="4">
        <v>2</v>
      </c>
      <c r="S65" s="55">
        <v>2800</v>
      </c>
      <c r="T65" s="5"/>
      <c r="U65" s="71">
        <v>2800</v>
      </c>
      <c r="V65" s="6"/>
    </row>
    <row r="66" spans="1:22" x14ac:dyDescent="0.25">
      <c r="A66" s="1">
        <v>46242.30856986111</v>
      </c>
      <c r="B66" s="2" t="s">
        <v>50</v>
      </c>
      <c r="C66" s="3">
        <v>46242</v>
      </c>
      <c r="D66" s="2" t="s">
        <v>214</v>
      </c>
      <c r="E66" s="2" t="s">
        <v>30</v>
      </c>
      <c r="F66" t="str">
        <f>CONCATENATE(Table7[[#This Row],[MPG Code]],Table7[[#This Row],[Farmer code]])</f>
        <v>105300030044</v>
      </c>
      <c r="G66" s="9">
        <v>10530003</v>
      </c>
      <c r="H66" s="57" t="s">
        <v>230</v>
      </c>
      <c r="I66" s="7" t="s">
        <v>186</v>
      </c>
      <c r="J66" s="8" t="s">
        <v>121</v>
      </c>
      <c r="K66" s="7" t="s">
        <v>24</v>
      </c>
      <c r="L66" s="2" t="s">
        <v>24</v>
      </c>
      <c r="M66" s="4">
        <v>1</v>
      </c>
      <c r="N66" s="4">
        <v>1400</v>
      </c>
      <c r="O66" s="4">
        <v>1400</v>
      </c>
      <c r="P66" s="4">
        <v>0</v>
      </c>
      <c r="Q66" s="4">
        <v>1400</v>
      </c>
      <c r="R66" s="4">
        <v>1</v>
      </c>
      <c r="S66" s="55">
        <v>1400</v>
      </c>
      <c r="T66" s="5"/>
      <c r="U66" s="71">
        <v>1269</v>
      </c>
      <c r="V66" s="6"/>
    </row>
    <row r="67" spans="1:22" x14ac:dyDescent="0.25">
      <c r="A67" s="1">
        <v>46242.308723958333</v>
      </c>
      <c r="B67" s="2" t="s">
        <v>42</v>
      </c>
      <c r="C67" s="3">
        <v>46242</v>
      </c>
      <c r="D67" s="2" t="s">
        <v>214</v>
      </c>
      <c r="E67" s="2" t="s">
        <v>30</v>
      </c>
      <c r="F67" t="str">
        <f>CONCATENATE(Table7[[#This Row],[MPG Code]],Table7[[#This Row],[Farmer code]])</f>
        <v>101200070105</v>
      </c>
      <c r="G67" s="9">
        <v>10120007</v>
      </c>
      <c r="H67" s="57" t="s">
        <v>230</v>
      </c>
      <c r="I67" s="7" t="s">
        <v>43</v>
      </c>
      <c r="J67" s="8" t="s">
        <v>124</v>
      </c>
      <c r="K67" s="7" t="s">
        <v>32</v>
      </c>
      <c r="L67" s="2" t="s">
        <v>21</v>
      </c>
      <c r="M67" s="4">
        <v>1</v>
      </c>
      <c r="N67" s="4">
        <v>1400</v>
      </c>
      <c r="O67" s="4">
        <v>1400</v>
      </c>
      <c r="P67" s="4">
        <v>0</v>
      </c>
      <c r="Q67" s="4">
        <v>1400</v>
      </c>
      <c r="R67" s="4">
        <v>1</v>
      </c>
      <c r="S67" s="55">
        <v>1400</v>
      </c>
      <c r="T67" s="5"/>
      <c r="U67" s="71">
        <v>1400</v>
      </c>
      <c r="V67" s="6"/>
    </row>
    <row r="68" spans="1:22" x14ac:dyDescent="0.25">
      <c r="A68" s="1">
        <v>46242.308786273148</v>
      </c>
      <c r="B68" s="2" t="s">
        <v>50</v>
      </c>
      <c r="C68" s="3">
        <v>46242</v>
      </c>
      <c r="D68" s="2" t="s">
        <v>214</v>
      </c>
      <c r="E68" s="2" t="s">
        <v>30</v>
      </c>
      <c r="F68" t="str">
        <f>CONCATENATE(Table7[[#This Row],[MPG Code]],Table7[[#This Row],[Farmer code]])</f>
        <v>105300030051</v>
      </c>
      <c r="G68" s="9">
        <v>10530003</v>
      </c>
      <c r="H68" s="57" t="s">
        <v>230</v>
      </c>
      <c r="I68" s="7" t="s">
        <v>186</v>
      </c>
      <c r="J68" s="8" t="s">
        <v>81</v>
      </c>
      <c r="K68" s="7" t="s">
        <v>24</v>
      </c>
      <c r="L68" s="2" t="s">
        <v>24</v>
      </c>
      <c r="M68" s="4">
        <v>1</v>
      </c>
      <c r="N68" s="4">
        <v>1400</v>
      </c>
      <c r="O68" s="4">
        <v>1400</v>
      </c>
      <c r="P68" s="4">
        <v>0</v>
      </c>
      <c r="Q68" s="4">
        <v>1400</v>
      </c>
      <c r="R68" s="4">
        <v>1</v>
      </c>
      <c r="S68" s="55">
        <v>1400</v>
      </c>
      <c r="T68" s="5"/>
      <c r="U68" s="71">
        <v>333</v>
      </c>
      <c r="V68" s="6"/>
    </row>
    <row r="69" spans="1:22" x14ac:dyDescent="0.25">
      <c r="A69" s="1">
        <v>46242.308990682868</v>
      </c>
      <c r="B69" s="2" t="s">
        <v>42</v>
      </c>
      <c r="C69" s="3">
        <v>46242</v>
      </c>
      <c r="D69" s="2" t="s">
        <v>214</v>
      </c>
      <c r="E69" s="2" t="s">
        <v>30</v>
      </c>
      <c r="F69" t="str">
        <f>CONCATENATE(Table7[[#This Row],[MPG Code]],Table7[[#This Row],[Farmer code]])</f>
        <v>101200070149</v>
      </c>
      <c r="G69" s="9">
        <v>10120007</v>
      </c>
      <c r="H69" s="57" t="s">
        <v>230</v>
      </c>
      <c r="I69" s="7" t="s">
        <v>43</v>
      </c>
      <c r="J69" s="8" t="s">
        <v>48</v>
      </c>
      <c r="K69" s="7" t="s">
        <v>32</v>
      </c>
      <c r="L69" s="2" t="s">
        <v>21</v>
      </c>
      <c r="M69" s="4">
        <v>1</v>
      </c>
      <c r="N69" s="4">
        <v>1400</v>
      </c>
      <c r="O69" s="4">
        <v>1400</v>
      </c>
      <c r="P69" s="4">
        <v>0</v>
      </c>
      <c r="Q69" s="4">
        <v>1400</v>
      </c>
      <c r="R69" s="4">
        <v>1</v>
      </c>
      <c r="S69" s="55">
        <v>1400</v>
      </c>
      <c r="T69" s="5"/>
      <c r="U69" s="71">
        <v>1305</v>
      </c>
      <c r="V69" s="6"/>
    </row>
    <row r="70" spans="1:22" x14ac:dyDescent="0.25">
      <c r="A70" s="1">
        <v>46242.309037453699</v>
      </c>
      <c r="B70" s="2" t="s">
        <v>50</v>
      </c>
      <c r="C70" s="3">
        <v>46242</v>
      </c>
      <c r="D70" s="2" t="s">
        <v>214</v>
      </c>
      <c r="E70" s="2" t="s">
        <v>30</v>
      </c>
      <c r="F70" t="str">
        <f>CONCATENATE(Table7[[#This Row],[MPG Code]],Table7[[#This Row],[Farmer code]])</f>
        <v>105300030095</v>
      </c>
      <c r="G70" s="9">
        <v>10530003</v>
      </c>
      <c r="H70" s="57" t="s">
        <v>230</v>
      </c>
      <c r="I70" s="7" t="s">
        <v>186</v>
      </c>
      <c r="J70" s="8" t="s">
        <v>187</v>
      </c>
      <c r="K70" s="7" t="s">
        <v>24</v>
      </c>
      <c r="L70" s="2" t="s">
        <v>24</v>
      </c>
      <c r="M70" s="4">
        <v>2</v>
      </c>
      <c r="N70" s="4">
        <v>1400</v>
      </c>
      <c r="O70" s="4">
        <v>2800</v>
      </c>
      <c r="P70" s="4">
        <v>0</v>
      </c>
      <c r="Q70" s="4">
        <v>2800</v>
      </c>
      <c r="R70" s="4">
        <v>2</v>
      </c>
      <c r="S70" s="55">
        <v>2800</v>
      </c>
      <c r="T70" s="5"/>
      <c r="U70" s="71">
        <v>2800</v>
      </c>
      <c r="V70" s="6"/>
    </row>
    <row r="71" spans="1:22" x14ac:dyDescent="0.25">
      <c r="A71" s="1">
        <v>46242.309241828705</v>
      </c>
      <c r="B71" s="2" t="s">
        <v>42</v>
      </c>
      <c r="C71" s="3">
        <v>46242</v>
      </c>
      <c r="D71" s="2" t="s">
        <v>214</v>
      </c>
      <c r="E71" s="2" t="s">
        <v>30</v>
      </c>
      <c r="F71" t="str">
        <f>CONCATENATE(Table7[[#This Row],[MPG Code]],Table7[[#This Row],[Farmer code]])</f>
        <v>101200070127</v>
      </c>
      <c r="G71" s="9">
        <v>10120007</v>
      </c>
      <c r="H71" s="57" t="s">
        <v>230</v>
      </c>
      <c r="I71" s="7" t="s">
        <v>43</v>
      </c>
      <c r="J71" s="8" t="s">
        <v>126</v>
      </c>
      <c r="K71" s="7" t="s">
        <v>32</v>
      </c>
      <c r="L71" s="2" t="s">
        <v>21</v>
      </c>
      <c r="M71" s="4">
        <v>1</v>
      </c>
      <c r="N71" s="4">
        <v>1400</v>
      </c>
      <c r="O71" s="4">
        <v>1400</v>
      </c>
      <c r="P71" s="4">
        <v>0</v>
      </c>
      <c r="Q71" s="4">
        <v>1400</v>
      </c>
      <c r="R71" s="4">
        <v>1</v>
      </c>
      <c r="S71" s="55">
        <v>1400</v>
      </c>
      <c r="T71" s="5"/>
      <c r="U71" s="71">
        <v>1166</v>
      </c>
      <c r="V71" s="6"/>
    </row>
    <row r="72" spans="1:22" x14ac:dyDescent="0.25">
      <c r="A72" s="1">
        <v>46242.309305416667</v>
      </c>
      <c r="B72" s="2" t="s">
        <v>50</v>
      </c>
      <c r="C72" s="3">
        <v>46242</v>
      </c>
      <c r="D72" s="2" t="s">
        <v>214</v>
      </c>
      <c r="E72" s="2" t="s">
        <v>30</v>
      </c>
      <c r="F72" t="str">
        <f>CONCATENATE(Table7[[#This Row],[MPG Code]],Table7[[#This Row],[Farmer code]])</f>
        <v>105300030081</v>
      </c>
      <c r="G72" s="9">
        <v>10530003</v>
      </c>
      <c r="H72" s="57" t="s">
        <v>230</v>
      </c>
      <c r="I72" s="7" t="s">
        <v>186</v>
      </c>
      <c r="J72" s="8" t="s">
        <v>205</v>
      </c>
      <c r="K72" s="7" t="s">
        <v>24</v>
      </c>
      <c r="L72" s="2" t="s">
        <v>24</v>
      </c>
      <c r="M72" s="4">
        <v>1</v>
      </c>
      <c r="N72" s="4">
        <v>1400</v>
      </c>
      <c r="O72" s="4">
        <v>1400</v>
      </c>
      <c r="P72" s="4">
        <v>0</v>
      </c>
      <c r="Q72" s="4">
        <v>1400</v>
      </c>
      <c r="R72" s="4">
        <v>1</v>
      </c>
      <c r="S72" s="55">
        <v>1400</v>
      </c>
      <c r="T72" s="5"/>
      <c r="U72" s="71">
        <v>0</v>
      </c>
      <c r="V72" s="6"/>
    </row>
    <row r="73" spans="1:22" x14ac:dyDescent="0.25">
      <c r="A73" s="1">
        <v>46242.309498877315</v>
      </c>
      <c r="B73" s="2" t="s">
        <v>42</v>
      </c>
      <c r="C73" s="3">
        <v>46242</v>
      </c>
      <c r="D73" s="2" t="s">
        <v>214</v>
      </c>
      <c r="E73" s="2" t="s">
        <v>30</v>
      </c>
      <c r="F73" t="str">
        <f>CONCATENATE(Table7[[#This Row],[MPG Code]],Table7[[#This Row],[Farmer code]])</f>
        <v>101200070079</v>
      </c>
      <c r="G73" s="9">
        <v>10120007</v>
      </c>
      <c r="H73" s="57" t="s">
        <v>230</v>
      </c>
      <c r="I73" s="7" t="s">
        <v>43</v>
      </c>
      <c r="J73" s="8" t="s">
        <v>127</v>
      </c>
      <c r="K73" s="7" t="s">
        <v>32</v>
      </c>
      <c r="L73" s="2" t="s">
        <v>21</v>
      </c>
      <c r="M73" s="4">
        <v>0</v>
      </c>
      <c r="N73" s="4">
        <v>1400</v>
      </c>
      <c r="O73" s="4">
        <v>0</v>
      </c>
      <c r="P73" s="4">
        <v>347</v>
      </c>
      <c r="Q73" s="4">
        <v>347</v>
      </c>
      <c r="R73" s="4">
        <v>0</v>
      </c>
      <c r="S73" s="55">
        <v>347</v>
      </c>
      <c r="T73" s="5"/>
      <c r="U73" s="71">
        <v>347</v>
      </c>
      <c r="V73" s="6"/>
    </row>
    <row r="74" spans="1:22" x14ac:dyDescent="0.25">
      <c r="A74" s="1">
        <v>46242.309637662038</v>
      </c>
      <c r="B74" s="2" t="s">
        <v>50</v>
      </c>
      <c r="C74" s="3">
        <v>46242</v>
      </c>
      <c r="D74" s="2" t="s">
        <v>214</v>
      </c>
      <c r="E74" s="2" t="s">
        <v>30</v>
      </c>
      <c r="F74" t="str">
        <f>CONCATENATE(Table7[[#This Row],[MPG Code]],Table7[[#This Row],[Farmer code]])</f>
        <v>105300030022</v>
      </c>
      <c r="G74" s="9">
        <v>10530003</v>
      </c>
      <c r="H74" s="57" t="s">
        <v>230</v>
      </c>
      <c r="I74" s="7" t="s">
        <v>186</v>
      </c>
      <c r="J74" s="8" t="s">
        <v>77</v>
      </c>
      <c r="K74" s="7" t="s">
        <v>24</v>
      </c>
      <c r="L74" s="2" t="s">
        <v>24</v>
      </c>
      <c r="M74" s="4">
        <v>0</v>
      </c>
      <c r="N74" s="4">
        <v>1400</v>
      </c>
      <c r="O74" s="4">
        <v>0</v>
      </c>
      <c r="P74" s="4">
        <v>11</v>
      </c>
      <c r="Q74" s="4">
        <v>11</v>
      </c>
      <c r="R74" s="4">
        <v>0</v>
      </c>
      <c r="S74" s="55">
        <v>11</v>
      </c>
      <c r="T74" s="5"/>
      <c r="U74" s="71">
        <v>11</v>
      </c>
      <c r="V74" s="6"/>
    </row>
    <row r="75" spans="1:22" x14ac:dyDescent="0.25">
      <c r="A75" s="1">
        <v>46242.309766851853</v>
      </c>
      <c r="B75" s="2" t="s">
        <v>42</v>
      </c>
      <c r="C75" s="3">
        <v>46242</v>
      </c>
      <c r="D75" s="2" t="s">
        <v>214</v>
      </c>
      <c r="E75" s="2" t="s">
        <v>30</v>
      </c>
      <c r="F75" t="str">
        <f>CONCATENATE(Table7[[#This Row],[MPG Code]],Table7[[#This Row],[Farmer code]])</f>
        <v>101200070014</v>
      </c>
      <c r="G75" s="9">
        <v>10120007</v>
      </c>
      <c r="H75" s="57" t="s">
        <v>230</v>
      </c>
      <c r="I75" s="7" t="s">
        <v>43</v>
      </c>
      <c r="J75" s="8" t="s">
        <v>46</v>
      </c>
      <c r="K75" s="7" t="s">
        <v>32</v>
      </c>
      <c r="L75" s="2" t="s">
        <v>21</v>
      </c>
      <c r="M75" s="4">
        <v>0</v>
      </c>
      <c r="N75" s="4">
        <v>1400</v>
      </c>
      <c r="O75" s="4">
        <v>0</v>
      </c>
      <c r="P75" s="4">
        <v>588</v>
      </c>
      <c r="Q75" s="4">
        <v>588</v>
      </c>
      <c r="R75" s="4">
        <v>0</v>
      </c>
      <c r="S75" s="55">
        <v>588</v>
      </c>
      <c r="T75" s="5"/>
      <c r="U75" s="71">
        <v>588</v>
      </c>
      <c r="V75" s="6"/>
    </row>
    <row r="76" spans="1:22" x14ac:dyDescent="0.25">
      <c r="A76" s="1">
        <v>46242.309914375001</v>
      </c>
      <c r="B76" s="2" t="s">
        <v>50</v>
      </c>
      <c r="C76" s="3">
        <v>46242</v>
      </c>
      <c r="D76" s="2" t="s">
        <v>214</v>
      </c>
      <c r="E76" s="2" t="s">
        <v>30</v>
      </c>
      <c r="F76" t="str">
        <f>CONCATENATE(Table7[[#This Row],[MPG Code]],Table7[[#This Row],[Farmer code]])</f>
        <v>105300030094</v>
      </c>
      <c r="G76" s="9">
        <v>10530003</v>
      </c>
      <c r="H76" s="57" t="s">
        <v>230</v>
      </c>
      <c r="I76" s="7" t="s">
        <v>186</v>
      </c>
      <c r="J76" s="8" t="s">
        <v>165</v>
      </c>
      <c r="K76" s="7" t="s">
        <v>24</v>
      </c>
      <c r="L76" s="2" t="s">
        <v>24</v>
      </c>
      <c r="M76" s="4">
        <v>0</v>
      </c>
      <c r="N76" s="4">
        <v>1400</v>
      </c>
      <c r="O76" s="4">
        <v>0</v>
      </c>
      <c r="P76" s="4">
        <v>289</v>
      </c>
      <c r="Q76" s="4">
        <v>289</v>
      </c>
      <c r="R76" s="4">
        <v>0</v>
      </c>
      <c r="S76" s="55">
        <v>289</v>
      </c>
      <c r="T76" s="5"/>
      <c r="U76" s="71">
        <v>289</v>
      </c>
      <c r="V76" s="6"/>
    </row>
    <row r="77" spans="1:22" x14ac:dyDescent="0.25">
      <c r="A77" s="1">
        <v>46242.310130983795</v>
      </c>
      <c r="B77" s="2" t="s">
        <v>50</v>
      </c>
      <c r="C77" s="3">
        <v>46242</v>
      </c>
      <c r="D77" s="2" t="s">
        <v>214</v>
      </c>
      <c r="E77" s="2" t="s">
        <v>30</v>
      </c>
      <c r="F77" t="str">
        <f>CONCATENATE(Table7[[#This Row],[MPG Code]],Table7[[#This Row],[Farmer code]])</f>
        <v>105300060014</v>
      </c>
      <c r="G77" s="9">
        <v>10530006</v>
      </c>
      <c r="H77" s="57" t="s">
        <v>230</v>
      </c>
      <c r="I77" s="7" t="s">
        <v>118</v>
      </c>
      <c r="J77" s="8" t="s">
        <v>46</v>
      </c>
      <c r="K77" s="7" t="s">
        <v>24</v>
      </c>
      <c r="L77" s="2" t="s">
        <v>24</v>
      </c>
      <c r="M77" s="4">
        <v>1</v>
      </c>
      <c r="N77" s="4">
        <v>1400</v>
      </c>
      <c r="O77" s="4">
        <v>1400</v>
      </c>
      <c r="P77" s="4">
        <v>0</v>
      </c>
      <c r="Q77" s="4">
        <v>1400</v>
      </c>
      <c r="R77" s="4">
        <v>1</v>
      </c>
      <c r="S77" s="55">
        <v>1400</v>
      </c>
      <c r="T77" s="5"/>
      <c r="U77" s="71">
        <v>1400</v>
      </c>
      <c r="V77" s="6"/>
    </row>
    <row r="78" spans="1:22" x14ac:dyDescent="0.25">
      <c r="A78" s="1">
        <v>46242.310388321755</v>
      </c>
      <c r="B78" s="2" t="s">
        <v>50</v>
      </c>
      <c r="C78" s="3">
        <v>46242</v>
      </c>
      <c r="D78" s="2" t="s">
        <v>214</v>
      </c>
      <c r="E78" s="2" t="s">
        <v>30</v>
      </c>
      <c r="F78" t="str">
        <f>CONCATENATE(Table7[[#This Row],[MPG Code]],Table7[[#This Row],[Farmer code]])</f>
        <v>105300060006</v>
      </c>
      <c r="G78" s="9">
        <v>10530006</v>
      </c>
      <c r="H78" s="57" t="s">
        <v>230</v>
      </c>
      <c r="I78" s="7" t="s">
        <v>118</v>
      </c>
      <c r="J78" s="8" t="s">
        <v>78</v>
      </c>
      <c r="K78" s="7" t="s">
        <v>24</v>
      </c>
      <c r="L78" s="2" t="s">
        <v>24</v>
      </c>
      <c r="M78" s="4">
        <v>1</v>
      </c>
      <c r="N78" s="4">
        <v>1400</v>
      </c>
      <c r="O78" s="4">
        <v>1400</v>
      </c>
      <c r="P78" s="4">
        <v>0</v>
      </c>
      <c r="Q78" s="4">
        <v>1400</v>
      </c>
      <c r="R78" s="4">
        <v>1</v>
      </c>
      <c r="S78" s="55">
        <v>1400</v>
      </c>
      <c r="T78" s="5"/>
      <c r="U78" s="71">
        <v>1123</v>
      </c>
      <c r="V78" s="6"/>
    </row>
    <row r="79" spans="1:22" x14ac:dyDescent="0.25">
      <c r="A79" s="1">
        <v>46242.310644490739</v>
      </c>
      <c r="B79" s="2" t="s">
        <v>50</v>
      </c>
      <c r="C79" s="3">
        <v>46242</v>
      </c>
      <c r="D79" s="2" t="s">
        <v>214</v>
      </c>
      <c r="E79" s="2" t="s">
        <v>30</v>
      </c>
      <c r="F79" t="str">
        <f>CONCATENATE(Table7[[#This Row],[MPG Code]],Table7[[#This Row],[Farmer code]])</f>
        <v>105300060124</v>
      </c>
      <c r="G79" s="9">
        <v>10530006</v>
      </c>
      <c r="H79" s="57" t="s">
        <v>230</v>
      </c>
      <c r="I79" s="7" t="s">
        <v>118</v>
      </c>
      <c r="J79" s="8" t="s">
        <v>119</v>
      </c>
      <c r="K79" s="7" t="s">
        <v>24</v>
      </c>
      <c r="L79" s="2" t="s">
        <v>24</v>
      </c>
      <c r="M79" s="4">
        <v>1</v>
      </c>
      <c r="N79" s="4">
        <v>1400</v>
      </c>
      <c r="O79" s="4">
        <v>1400</v>
      </c>
      <c r="P79" s="4">
        <v>0</v>
      </c>
      <c r="Q79" s="4">
        <v>1400</v>
      </c>
      <c r="R79" s="4">
        <v>1</v>
      </c>
      <c r="S79" s="55">
        <v>1400</v>
      </c>
      <c r="T79" s="5"/>
      <c r="U79" s="71">
        <v>468</v>
      </c>
      <c r="V79" s="6"/>
    </row>
    <row r="80" spans="1:22" x14ac:dyDescent="0.25">
      <c r="A80" s="1">
        <v>46242.310906574072</v>
      </c>
      <c r="B80" s="2" t="s">
        <v>50</v>
      </c>
      <c r="C80" s="3">
        <v>46242</v>
      </c>
      <c r="D80" s="2" t="s">
        <v>214</v>
      </c>
      <c r="E80" s="2" t="s">
        <v>30</v>
      </c>
      <c r="F80" t="str">
        <f>CONCATENATE(Table7[[#This Row],[MPG Code]],Table7[[#This Row],[Farmer code]])</f>
        <v>105300780002</v>
      </c>
      <c r="G80" s="9">
        <v>10530078</v>
      </c>
      <c r="H80" s="57" t="s">
        <v>230</v>
      </c>
      <c r="I80" s="7" t="s">
        <v>120</v>
      </c>
      <c r="J80" s="8" t="s">
        <v>22</v>
      </c>
      <c r="K80" s="7" t="s">
        <v>24</v>
      </c>
      <c r="L80" s="2" t="s">
        <v>24</v>
      </c>
      <c r="M80" s="4">
        <v>1</v>
      </c>
      <c r="N80" s="4">
        <v>1400</v>
      </c>
      <c r="O80" s="4">
        <v>1400</v>
      </c>
      <c r="P80" s="4">
        <v>0</v>
      </c>
      <c r="Q80" s="4">
        <v>1400</v>
      </c>
      <c r="R80" s="4">
        <v>1</v>
      </c>
      <c r="S80" s="55">
        <v>1400</v>
      </c>
      <c r="T80" s="5"/>
      <c r="U80" s="71">
        <v>1400</v>
      </c>
      <c r="V80" s="6"/>
    </row>
    <row r="81" spans="1:22" x14ac:dyDescent="0.25">
      <c r="A81" s="1">
        <v>46242.311175069444</v>
      </c>
      <c r="B81" s="2" t="s">
        <v>50</v>
      </c>
      <c r="C81" s="3">
        <v>46242</v>
      </c>
      <c r="D81" s="2" t="s">
        <v>214</v>
      </c>
      <c r="E81" s="2" t="s">
        <v>27</v>
      </c>
      <c r="F81" t="str">
        <f>CONCATENATE(Table7[[#This Row],[MPG Code]],Table7[[#This Row],[Farmer code]])</f>
        <v>105300780027</v>
      </c>
      <c r="G81" s="9">
        <v>10530078</v>
      </c>
      <c r="H81" s="57" t="s">
        <v>230</v>
      </c>
      <c r="I81" s="7" t="s">
        <v>120</v>
      </c>
      <c r="J81" s="8" t="s">
        <v>40</v>
      </c>
      <c r="K81" s="7" t="s">
        <v>24</v>
      </c>
      <c r="L81" s="2" t="s">
        <v>24</v>
      </c>
      <c r="M81" s="4">
        <v>0</v>
      </c>
      <c r="N81" s="4">
        <v>1550</v>
      </c>
      <c r="O81" s="4">
        <v>0</v>
      </c>
      <c r="P81" s="4">
        <v>543</v>
      </c>
      <c r="Q81" s="4">
        <v>543</v>
      </c>
      <c r="R81" s="4">
        <v>0</v>
      </c>
      <c r="S81" s="55">
        <v>543</v>
      </c>
      <c r="T81" s="5"/>
      <c r="U81" s="71">
        <v>543</v>
      </c>
      <c r="V81" s="6"/>
    </row>
    <row r="82" spans="1:22" x14ac:dyDescent="0.25">
      <c r="A82" s="1">
        <v>46242.311378541664</v>
      </c>
      <c r="B82" s="2" t="s">
        <v>50</v>
      </c>
      <c r="C82" s="3">
        <v>46242</v>
      </c>
      <c r="D82" s="2" t="s">
        <v>214</v>
      </c>
      <c r="E82" s="2" t="s">
        <v>27</v>
      </c>
      <c r="F82" t="str">
        <f>CONCATENATE(Table7[[#This Row],[MPG Code]],Table7[[#This Row],[Farmer code]])</f>
        <v>105300780002</v>
      </c>
      <c r="G82" s="9">
        <v>10530078</v>
      </c>
      <c r="H82" s="57" t="s">
        <v>230</v>
      </c>
      <c r="I82" s="7" t="s">
        <v>120</v>
      </c>
      <c r="J82" s="8" t="s">
        <v>22</v>
      </c>
      <c r="K82" s="7" t="s">
        <v>24</v>
      </c>
      <c r="L82" s="2" t="s">
        <v>24</v>
      </c>
      <c r="M82" s="4">
        <v>0</v>
      </c>
      <c r="N82" s="4">
        <v>1550</v>
      </c>
      <c r="O82" s="4">
        <v>0</v>
      </c>
      <c r="P82" s="4">
        <v>154</v>
      </c>
      <c r="Q82" s="4">
        <v>154</v>
      </c>
      <c r="R82" s="4">
        <v>0</v>
      </c>
      <c r="S82" s="55">
        <v>154</v>
      </c>
      <c r="T82" s="5"/>
      <c r="U82" s="71">
        <v>154</v>
      </c>
      <c r="V82" s="6"/>
    </row>
    <row r="83" spans="1:22" x14ac:dyDescent="0.25">
      <c r="A83" s="1">
        <v>46242.311616307867</v>
      </c>
      <c r="B83" s="2" t="s">
        <v>50</v>
      </c>
      <c r="C83" s="3">
        <v>46242</v>
      </c>
      <c r="D83" s="2" t="s">
        <v>214</v>
      </c>
      <c r="E83" s="2" t="s">
        <v>30</v>
      </c>
      <c r="F83" t="str">
        <f>CONCATENATE(Table7[[#This Row],[MPG Code]],Table7[[#This Row],[Farmer code]])</f>
        <v>105300320071</v>
      </c>
      <c r="G83" s="9">
        <v>10530032</v>
      </c>
      <c r="H83" s="57" t="s">
        <v>230</v>
      </c>
      <c r="I83" s="7" t="s">
        <v>52</v>
      </c>
      <c r="J83" s="8" t="s">
        <v>54</v>
      </c>
      <c r="K83" s="7" t="s">
        <v>24</v>
      </c>
      <c r="L83" s="2" t="s">
        <v>24</v>
      </c>
      <c r="M83" s="4">
        <v>1</v>
      </c>
      <c r="N83" s="4">
        <v>1400</v>
      </c>
      <c r="O83" s="4">
        <v>1400</v>
      </c>
      <c r="P83" s="4">
        <v>0</v>
      </c>
      <c r="Q83" s="4">
        <v>1400</v>
      </c>
      <c r="R83" s="4">
        <v>1</v>
      </c>
      <c r="S83" s="55">
        <v>1400</v>
      </c>
      <c r="T83" s="5"/>
      <c r="U83" s="71">
        <v>1400</v>
      </c>
      <c r="V83" s="6"/>
    </row>
    <row r="84" spans="1:22" x14ac:dyDescent="0.25">
      <c r="A84" s="1">
        <v>46242.311876736116</v>
      </c>
      <c r="B84" s="2" t="s">
        <v>50</v>
      </c>
      <c r="C84" s="3">
        <v>46242</v>
      </c>
      <c r="D84" s="2" t="s">
        <v>214</v>
      </c>
      <c r="E84" s="2" t="s">
        <v>27</v>
      </c>
      <c r="F84" t="str">
        <f>CONCATENATE(Table7[[#This Row],[MPG Code]],Table7[[#This Row],[Farmer code]])</f>
        <v>105300320037</v>
      </c>
      <c r="G84" s="9">
        <v>10530032</v>
      </c>
      <c r="H84" s="57" t="s">
        <v>230</v>
      </c>
      <c r="I84" s="7" t="s">
        <v>52</v>
      </c>
      <c r="J84" s="8" t="s">
        <v>38</v>
      </c>
      <c r="K84" s="7" t="s">
        <v>24</v>
      </c>
      <c r="L84" s="2" t="s">
        <v>24</v>
      </c>
      <c r="M84" s="4">
        <v>1</v>
      </c>
      <c r="N84" s="4">
        <v>1550</v>
      </c>
      <c r="O84" s="4">
        <v>1550</v>
      </c>
      <c r="P84" s="4">
        <v>0</v>
      </c>
      <c r="Q84" s="4">
        <v>1550</v>
      </c>
      <c r="R84" s="4">
        <v>1</v>
      </c>
      <c r="S84" s="55">
        <v>1550</v>
      </c>
      <c r="T84" s="5"/>
      <c r="U84" s="71">
        <v>253</v>
      </c>
      <c r="V84" s="6"/>
    </row>
    <row r="85" spans="1:22" x14ac:dyDescent="0.25">
      <c r="A85" s="1">
        <v>46242.312121134259</v>
      </c>
      <c r="B85" s="2" t="s">
        <v>50</v>
      </c>
      <c r="C85" s="3">
        <v>46242</v>
      </c>
      <c r="D85" s="2" t="s">
        <v>214</v>
      </c>
      <c r="E85" s="2" t="s">
        <v>27</v>
      </c>
      <c r="F85" t="str">
        <f>CONCATENATE(Table7[[#This Row],[MPG Code]],Table7[[#This Row],[Farmer code]])</f>
        <v>105300320010</v>
      </c>
      <c r="G85" s="9">
        <v>10530032</v>
      </c>
      <c r="H85" s="57" t="s">
        <v>230</v>
      </c>
      <c r="I85" s="7" t="s">
        <v>52</v>
      </c>
      <c r="J85" s="8" t="s">
        <v>53</v>
      </c>
      <c r="K85" s="7" t="s">
        <v>24</v>
      </c>
      <c r="L85" s="2" t="s">
        <v>24</v>
      </c>
      <c r="M85" s="4">
        <v>1</v>
      </c>
      <c r="N85" s="4">
        <v>1550</v>
      </c>
      <c r="O85" s="4">
        <v>1550</v>
      </c>
      <c r="P85" s="4">
        <v>0</v>
      </c>
      <c r="Q85" s="4">
        <v>1550</v>
      </c>
      <c r="R85" s="4">
        <v>1</v>
      </c>
      <c r="S85" s="55">
        <v>1550</v>
      </c>
      <c r="T85" s="5"/>
      <c r="U85" s="71">
        <v>1439</v>
      </c>
      <c r="V85" s="6"/>
    </row>
    <row r="86" spans="1:22" x14ac:dyDescent="0.25">
      <c r="A86" s="1">
        <v>46242.312355428236</v>
      </c>
      <c r="B86" s="2" t="s">
        <v>50</v>
      </c>
      <c r="C86" s="3">
        <v>46242</v>
      </c>
      <c r="D86" s="2" t="s">
        <v>214</v>
      </c>
      <c r="E86" s="2" t="s">
        <v>27</v>
      </c>
      <c r="F86" t="str">
        <f>CONCATENATE(Table7[[#This Row],[MPG Code]],Table7[[#This Row],[Farmer code]])</f>
        <v>105300320073</v>
      </c>
      <c r="G86" s="9">
        <v>10530032</v>
      </c>
      <c r="H86" s="57" t="s">
        <v>230</v>
      </c>
      <c r="I86" s="7" t="s">
        <v>52</v>
      </c>
      <c r="J86" s="8" t="s">
        <v>184</v>
      </c>
      <c r="K86" s="7" t="s">
        <v>24</v>
      </c>
      <c r="L86" s="2" t="s">
        <v>24</v>
      </c>
      <c r="M86" s="4">
        <v>0</v>
      </c>
      <c r="N86" s="4">
        <v>1550</v>
      </c>
      <c r="O86" s="4">
        <v>0</v>
      </c>
      <c r="P86" s="4">
        <v>464</v>
      </c>
      <c r="Q86" s="4">
        <v>464</v>
      </c>
      <c r="R86" s="4">
        <v>0</v>
      </c>
      <c r="S86" s="55">
        <v>464</v>
      </c>
      <c r="T86" s="5"/>
      <c r="U86" s="71">
        <v>464</v>
      </c>
      <c r="V86" s="6"/>
    </row>
    <row r="87" spans="1:22" x14ac:dyDescent="0.25">
      <c r="A87" s="1">
        <v>46242.312615752315</v>
      </c>
      <c r="B87" s="2" t="s">
        <v>50</v>
      </c>
      <c r="C87" s="3">
        <v>46242</v>
      </c>
      <c r="D87" s="2" t="s">
        <v>214</v>
      </c>
      <c r="E87" s="2" t="s">
        <v>27</v>
      </c>
      <c r="F87" t="str">
        <f>CONCATENATE(Table7[[#This Row],[MPG Code]],Table7[[#This Row],[Farmer code]])</f>
        <v>105300840065</v>
      </c>
      <c r="G87" s="9">
        <v>10530084</v>
      </c>
      <c r="H87" s="57" t="s">
        <v>230</v>
      </c>
      <c r="I87" s="7" t="s">
        <v>61</v>
      </c>
      <c r="J87" s="8" t="s">
        <v>62</v>
      </c>
      <c r="K87" s="7" t="s">
        <v>24</v>
      </c>
      <c r="L87" s="2" t="s">
        <v>24</v>
      </c>
      <c r="M87" s="4">
        <v>1</v>
      </c>
      <c r="N87" s="4">
        <v>1550</v>
      </c>
      <c r="O87" s="4">
        <v>1550</v>
      </c>
      <c r="P87" s="4">
        <v>0</v>
      </c>
      <c r="Q87" s="4">
        <v>1550</v>
      </c>
      <c r="R87" s="4">
        <v>1</v>
      </c>
      <c r="S87" s="55">
        <v>1550</v>
      </c>
      <c r="T87" s="5"/>
      <c r="U87" s="71">
        <v>1550.4</v>
      </c>
      <c r="V87" s="6"/>
    </row>
    <row r="88" spans="1:22" x14ac:dyDescent="0.25">
      <c r="A88" s="1">
        <v>46242.312860196762</v>
      </c>
      <c r="B88" s="2" t="s">
        <v>50</v>
      </c>
      <c r="C88" s="3">
        <v>46242</v>
      </c>
      <c r="D88" s="2" t="s">
        <v>214</v>
      </c>
      <c r="E88" s="2" t="s">
        <v>30</v>
      </c>
      <c r="F88" t="str">
        <f>CONCATENATE(Table7[[#This Row],[MPG Code]],Table7[[#This Row],[Farmer code]])</f>
        <v>105300400003</v>
      </c>
      <c r="G88" s="9">
        <v>10530040</v>
      </c>
      <c r="H88" s="57" t="s">
        <v>230</v>
      </c>
      <c r="I88" s="7" t="s">
        <v>146</v>
      </c>
      <c r="J88" s="8" t="s">
        <v>34</v>
      </c>
      <c r="K88" s="7" t="s">
        <v>24</v>
      </c>
      <c r="L88" s="2" t="s">
        <v>24</v>
      </c>
      <c r="M88" s="4">
        <v>3</v>
      </c>
      <c r="N88" s="4">
        <v>1400</v>
      </c>
      <c r="O88" s="4">
        <v>4200</v>
      </c>
      <c r="P88" s="4">
        <v>0</v>
      </c>
      <c r="Q88" s="4">
        <v>4200</v>
      </c>
      <c r="R88" s="4">
        <v>3</v>
      </c>
      <c r="S88" s="55">
        <v>4200</v>
      </c>
      <c r="T88" s="5"/>
      <c r="U88" s="71">
        <v>4200</v>
      </c>
      <c r="V88" s="6"/>
    </row>
    <row r="89" spans="1:22" x14ac:dyDescent="0.25">
      <c r="A89" s="1">
        <v>46242.313072465273</v>
      </c>
      <c r="B89" s="2" t="s">
        <v>50</v>
      </c>
      <c r="C89" s="3">
        <v>46242</v>
      </c>
      <c r="D89" s="2" t="s">
        <v>214</v>
      </c>
      <c r="E89" s="2" t="s">
        <v>30</v>
      </c>
      <c r="F89" t="str">
        <f>CONCATENATE(Table7[[#This Row],[MPG Code]],Table7[[#This Row],[Farmer code]])</f>
        <v>105300400029</v>
      </c>
      <c r="G89" s="9">
        <v>10530040</v>
      </c>
      <c r="H89" s="57" t="s">
        <v>230</v>
      </c>
      <c r="I89" s="7" t="s">
        <v>146</v>
      </c>
      <c r="J89" s="8" t="s">
        <v>73</v>
      </c>
      <c r="K89" s="7" t="s">
        <v>24</v>
      </c>
      <c r="L89" s="2" t="s">
        <v>24</v>
      </c>
      <c r="M89" s="4">
        <v>1</v>
      </c>
      <c r="N89" s="4">
        <v>1400</v>
      </c>
      <c r="O89" s="4">
        <v>1400</v>
      </c>
      <c r="P89" s="4">
        <v>0</v>
      </c>
      <c r="Q89" s="4">
        <v>1400</v>
      </c>
      <c r="R89" s="4">
        <v>1</v>
      </c>
      <c r="S89" s="55">
        <v>1400</v>
      </c>
      <c r="T89" s="5"/>
      <c r="U89" s="71">
        <v>1400</v>
      </c>
      <c r="V89" s="6"/>
    </row>
    <row r="90" spans="1:22" x14ac:dyDescent="0.25">
      <c r="A90" s="1">
        <v>46242.313275185181</v>
      </c>
      <c r="B90" s="2" t="s">
        <v>50</v>
      </c>
      <c r="C90" s="3">
        <v>46242</v>
      </c>
      <c r="D90" s="2" t="s">
        <v>214</v>
      </c>
      <c r="E90" s="2" t="s">
        <v>30</v>
      </c>
      <c r="F90" t="str">
        <f>CONCATENATE(Table7[[#This Row],[MPG Code]],Table7[[#This Row],[Farmer code]])</f>
        <v>105300400052</v>
      </c>
      <c r="G90" s="9">
        <v>10530040</v>
      </c>
      <c r="H90" s="57" t="s">
        <v>230</v>
      </c>
      <c r="I90" s="7" t="s">
        <v>146</v>
      </c>
      <c r="J90" s="8" t="s">
        <v>100</v>
      </c>
      <c r="K90" s="7" t="s">
        <v>24</v>
      </c>
      <c r="L90" s="2" t="s">
        <v>24</v>
      </c>
      <c r="M90" s="4">
        <v>1</v>
      </c>
      <c r="N90" s="4">
        <v>1400</v>
      </c>
      <c r="O90" s="4">
        <v>1400</v>
      </c>
      <c r="P90" s="4">
        <v>0</v>
      </c>
      <c r="Q90" s="4">
        <v>1400</v>
      </c>
      <c r="R90" s="4">
        <v>1</v>
      </c>
      <c r="S90" s="55">
        <v>1400</v>
      </c>
      <c r="T90" s="5"/>
      <c r="U90" s="71">
        <v>373</v>
      </c>
      <c r="V90" s="6"/>
    </row>
    <row r="91" spans="1:22" x14ac:dyDescent="0.25">
      <c r="A91" s="1">
        <v>46242.313503981481</v>
      </c>
      <c r="B91" s="2" t="s">
        <v>50</v>
      </c>
      <c r="C91" s="3">
        <v>46242</v>
      </c>
      <c r="D91" s="2" t="s">
        <v>214</v>
      </c>
      <c r="E91" s="2" t="s">
        <v>30</v>
      </c>
      <c r="F91" t="str">
        <f>CONCATENATE(Table7[[#This Row],[MPG Code]],Table7[[#This Row],[Farmer code]])</f>
        <v>105300050023</v>
      </c>
      <c r="G91" s="9">
        <v>10530005</v>
      </c>
      <c r="H91" s="57" t="s">
        <v>230</v>
      </c>
      <c r="I91" s="7" t="s">
        <v>95</v>
      </c>
      <c r="J91" s="8" t="s">
        <v>84</v>
      </c>
      <c r="K91" s="7" t="s">
        <v>24</v>
      </c>
      <c r="L91" s="2" t="s">
        <v>24</v>
      </c>
      <c r="M91" s="4">
        <v>1</v>
      </c>
      <c r="N91" s="4">
        <v>1400</v>
      </c>
      <c r="O91" s="4">
        <v>1400</v>
      </c>
      <c r="P91" s="4">
        <v>0</v>
      </c>
      <c r="Q91" s="4">
        <v>1400</v>
      </c>
      <c r="R91" s="4">
        <v>1</v>
      </c>
      <c r="S91" s="55">
        <v>1400</v>
      </c>
      <c r="T91" s="5"/>
      <c r="U91" s="71">
        <v>1400</v>
      </c>
      <c r="V91" s="6"/>
    </row>
    <row r="92" spans="1:22" x14ac:dyDescent="0.25">
      <c r="A92" s="1">
        <v>46242.313756226853</v>
      </c>
      <c r="B92" s="2" t="s">
        <v>50</v>
      </c>
      <c r="C92" s="3">
        <v>46242</v>
      </c>
      <c r="D92" s="2" t="s">
        <v>214</v>
      </c>
      <c r="E92" s="2" t="s">
        <v>30</v>
      </c>
      <c r="F92" t="str">
        <f>CONCATENATE(Table7[[#This Row],[MPG Code]],Table7[[#This Row],[Farmer code]])</f>
        <v>105300050016</v>
      </c>
      <c r="G92" s="9">
        <v>10530005</v>
      </c>
      <c r="H92" s="57" t="s">
        <v>230</v>
      </c>
      <c r="I92" s="7" t="s">
        <v>95</v>
      </c>
      <c r="J92" s="8" t="s">
        <v>23</v>
      </c>
      <c r="K92" s="7" t="s">
        <v>24</v>
      </c>
      <c r="L92" s="2" t="s">
        <v>24</v>
      </c>
      <c r="M92" s="4">
        <v>1</v>
      </c>
      <c r="N92" s="4">
        <v>1400</v>
      </c>
      <c r="O92" s="4">
        <v>1400</v>
      </c>
      <c r="P92" s="4">
        <v>0</v>
      </c>
      <c r="Q92" s="4">
        <v>1400</v>
      </c>
      <c r="R92" s="4">
        <v>1</v>
      </c>
      <c r="S92" s="55">
        <v>1400</v>
      </c>
      <c r="T92" s="5"/>
      <c r="U92" s="71">
        <v>1400</v>
      </c>
      <c r="V92" s="6"/>
    </row>
    <row r="93" spans="1:22" x14ac:dyDescent="0.25">
      <c r="A93" s="1">
        <v>46242.314013078707</v>
      </c>
      <c r="B93" s="2" t="s">
        <v>50</v>
      </c>
      <c r="C93" s="3">
        <v>46242</v>
      </c>
      <c r="D93" s="2" t="s">
        <v>214</v>
      </c>
      <c r="E93" s="2" t="s">
        <v>30</v>
      </c>
      <c r="F93" t="str">
        <f>CONCATENATE(Table7[[#This Row],[MPG Code]],Table7[[#This Row],[Farmer code]])</f>
        <v>105300050014</v>
      </c>
      <c r="G93" s="9">
        <v>10530005</v>
      </c>
      <c r="H93" s="57" t="s">
        <v>230</v>
      </c>
      <c r="I93" s="7" t="s">
        <v>95</v>
      </c>
      <c r="J93" s="8" t="s">
        <v>46</v>
      </c>
      <c r="K93" s="7" t="s">
        <v>24</v>
      </c>
      <c r="L93" s="2" t="s">
        <v>24</v>
      </c>
      <c r="M93" s="4">
        <v>1</v>
      </c>
      <c r="N93" s="4">
        <v>1400</v>
      </c>
      <c r="O93" s="4">
        <v>1400</v>
      </c>
      <c r="P93" s="4">
        <v>0</v>
      </c>
      <c r="Q93" s="4">
        <v>1400</v>
      </c>
      <c r="R93" s="4">
        <v>1</v>
      </c>
      <c r="S93" s="55">
        <v>1400</v>
      </c>
      <c r="T93" s="5"/>
      <c r="U93" s="71">
        <v>1400</v>
      </c>
      <c r="V93" s="6"/>
    </row>
    <row r="94" spans="1:22" x14ac:dyDescent="0.25">
      <c r="A94" s="1">
        <v>46242.314278576392</v>
      </c>
      <c r="B94" s="2" t="s">
        <v>50</v>
      </c>
      <c r="C94" s="3">
        <v>46242</v>
      </c>
      <c r="D94" s="2" t="s">
        <v>214</v>
      </c>
      <c r="E94" s="2" t="s">
        <v>30</v>
      </c>
      <c r="F94" t="str">
        <f>CONCATENATE(Table7[[#This Row],[MPG Code]],Table7[[#This Row],[Farmer code]])</f>
        <v>105300050010</v>
      </c>
      <c r="G94" s="9">
        <v>10530005</v>
      </c>
      <c r="H94" s="57" t="s">
        <v>230</v>
      </c>
      <c r="I94" s="7" t="s">
        <v>95</v>
      </c>
      <c r="J94" s="8" t="s">
        <v>53</v>
      </c>
      <c r="K94" s="7" t="s">
        <v>24</v>
      </c>
      <c r="L94" s="2" t="s">
        <v>24</v>
      </c>
      <c r="M94" s="4">
        <v>1</v>
      </c>
      <c r="N94" s="4">
        <v>1400</v>
      </c>
      <c r="O94" s="4">
        <v>1400</v>
      </c>
      <c r="P94" s="4">
        <v>0</v>
      </c>
      <c r="Q94" s="4">
        <v>1400</v>
      </c>
      <c r="R94" s="4">
        <v>1</v>
      </c>
      <c r="S94" s="55">
        <v>1400</v>
      </c>
      <c r="T94" s="5"/>
      <c r="U94" s="71">
        <v>1400</v>
      </c>
      <c r="V94" s="6"/>
    </row>
    <row r="95" spans="1:22" x14ac:dyDescent="0.25">
      <c r="A95" s="1">
        <v>46242.314498553242</v>
      </c>
      <c r="B95" s="2" t="s">
        <v>50</v>
      </c>
      <c r="C95" s="3">
        <v>46242</v>
      </c>
      <c r="D95" s="2" t="s">
        <v>214</v>
      </c>
      <c r="E95" s="2" t="s">
        <v>30</v>
      </c>
      <c r="F95" t="str">
        <f>CONCATENATE(Table7[[#This Row],[MPG Code]],Table7[[#This Row],[Farmer code]])</f>
        <v>105300050002</v>
      </c>
      <c r="G95" s="9">
        <v>10530005</v>
      </c>
      <c r="H95" s="57" t="s">
        <v>230</v>
      </c>
      <c r="I95" s="7" t="s">
        <v>95</v>
      </c>
      <c r="J95" s="8" t="s">
        <v>22</v>
      </c>
      <c r="K95" s="7" t="s">
        <v>24</v>
      </c>
      <c r="L95" s="2" t="s">
        <v>24</v>
      </c>
      <c r="M95" s="4">
        <v>0</v>
      </c>
      <c r="N95" s="4">
        <v>1400</v>
      </c>
      <c r="O95" s="4">
        <v>0</v>
      </c>
      <c r="P95" s="4">
        <v>360</v>
      </c>
      <c r="Q95" s="4">
        <v>360</v>
      </c>
      <c r="R95" s="4">
        <v>0</v>
      </c>
      <c r="S95" s="55">
        <v>360</v>
      </c>
      <c r="T95" s="5"/>
      <c r="U95" s="71">
        <v>360</v>
      </c>
      <c r="V95" s="6"/>
    </row>
    <row r="96" spans="1:22" x14ac:dyDescent="0.25">
      <c r="A96" s="1">
        <v>46242.314771979167</v>
      </c>
      <c r="B96" s="2" t="s">
        <v>50</v>
      </c>
      <c r="C96" s="3">
        <v>46242</v>
      </c>
      <c r="D96" s="2" t="s">
        <v>214</v>
      </c>
      <c r="E96" s="2" t="s">
        <v>27</v>
      </c>
      <c r="F96" t="str">
        <f>CONCATENATE(Table7[[#This Row],[MPG Code]],Table7[[#This Row],[Farmer code]])</f>
        <v>105301090004</v>
      </c>
      <c r="G96" s="9">
        <v>10530109</v>
      </c>
      <c r="H96" s="57" t="s">
        <v>230</v>
      </c>
      <c r="I96" s="7" t="s">
        <v>59</v>
      </c>
      <c r="J96" s="8" t="s">
        <v>56</v>
      </c>
      <c r="K96" s="7" t="s">
        <v>24</v>
      </c>
      <c r="L96" s="2" t="s">
        <v>24</v>
      </c>
      <c r="M96" s="4">
        <v>5</v>
      </c>
      <c r="N96" s="4">
        <v>1550</v>
      </c>
      <c r="O96" s="4">
        <v>7750</v>
      </c>
      <c r="P96" s="4">
        <v>0</v>
      </c>
      <c r="Q96" s="4">
        <v>7750</v>
      </c>
      <c r="R96" s="4">
        <v>5</v>
      </c>
      <c r="S96" s="55">
        <v>7750</v>
      </c>
      <c r="T96" s="5"/>
      <c r="U96" s="71">
        <v>7750</v>
      </c>
      <c r="V96" s="6"/>
    </row>
    <row r="97" spans="1:22" x14ac:dyDescent="0.25">
      <c r="A97" s="1">
        <v>46242.315025034724</v>
      </c>
      <c r="B97" s="2" t="s">
        <v>50</v>
      </c>
      <c r="C97" s="3">
        <v>46242</v>
      </c>
      <c r="D97" s="2" t="s">
        <v>214</v>
      </c>
      <c r="E97" s="2" t="s">
        <v>27</v>
      </c>
      <c r="F97" t="str">
        <f>CONCATENATE(Table7[[#This Row],[MPG Code]],Table7[[#This Row],[Farmer code]])</f>
        <v>105301090010</v>
      </c>
      <c r="G97" s="9">
        <v>10530109</v>
      </c>
      <c r="H97" s="57" t="s">
        <v>230</v>
      </c>
      <c r="I97" s="7" t="s">
        <v>59</v>
      </c>
      <c r="J97" s="8" t="s">
        <v>53</v>
      </c>
      <c r="K97" s="7" t="s">
        <v>24</v>
      </c>
      <c r="L97" s="2" t="s">
        <v>24</v>
      </c>
      <c r="M97" s="4">
        <v>1</v>
      </c>
      <c r="N97" s="4">
        <v>1550</v>
      </c>
      <c r="O97" s="4">
        <v>1550</v>
      </c>
      <c r="P97" s="4">
        <v>0</v>
      </c>
      <c r="Q97" s="4">
        <v>1550</v>
      </c>
      <c r="R97" s="4">
        <v>1</v>
      </c>
      <c r="S97" s="55">
        <v>1550</v>
      </c>
      <c r="T97" s="5"/>
      <c r="U97" s="71">
        <v>1550</v>
      </c>
      <c r="V97" s="6"/>
    </row>
    <row r="98" spans="1:22" x14ac:dyDescent="0.25">
      <c r="A98" s="1">
        <v>46242.315214895832</v>
      </c>
      <c r="B98" s="2" t="s">
        <v>50</v>
      </c>
      <c r="C98" s="3">
        <v>46242</v>
      </c>
      <c r="D98" s="2" t="s">
        <v>214</v>
      </c>
      <c r="E98" s="2" t="s">
        <v>27</v>
      </c>
      <c r="F98" t="str">
        <f>CONCATENATE(Table7[[#This Row],[MPG Code]],Table7[[#This Row],[Farmer code]])</f>
        <v>105301090015</v>
      </c>
      <c r="G98" s="9">
        <v>10530109</v>
      </c>
      <c r="H98" s="57" t="s">
        <v>230</v>
      </c>
      <c r="I98" s="7" t="s">
        <v>59</v>
      </c>
      <c r="J98" s="8" t="s">
        <v>20</v>
      </c>
      <c r="K98" s="7" t="s">
        <v>24</v>
      </c>
      <c r="L98" s="2" t="s">
        <v>24</v>
      </c>
      <c r="M98" s="4">
        <v>1</v>
      </c>
      <c r="N98" s="4">
        <v>1550</v>
      </c>
      <c r="O98" s="4">
        <v>1550</v>
      </c>
      <c r="P98" s="4">
        <v>0</v>
      </c>
      <c r="Q98" s="4">
        <v>1550</v>
      </c>
      <c r="R98" s="4">
        <v>1</v>
      </c>
      <c r="S98" s="55">
        <v>1550</v>
      </c>
      <c r="T98" s="5"/>
      <c r="U98" s="71">
        <v>1550</v>
      </c>
      <c r="V98" s="6"/>
    </row>
    <row r="99" spans="1:22" x14ac:dyDescent="0.25">
      <c r="A99" s="1">
        <v>46242.315452025461</v>
      </c>
      <c r="B99" s="2" t="s">
        <v>50</v>
      </c>
      <c r="C99" s="3">
        <v>46242</v>
      </c>
      <c r="D99" s="2" t="s">
        <v>214</v>
      </c>
      <c r="E99" s="2" t="s">
        <v>27</v>
      </c>
      <c r="F99" t="str">
        <f>CONCATENATE(Table7[[#This Row],[MPG Code]],Table7[[#This Row],[Farmer code]])</f>
        <v>105301090024</v>
      </c>
      <c r="G99" s="9">
        <v>10530109</v>
      </c>
      <c r="H99" s="57" t="s">
        <v>230</v>
      </c>
      <c r="I99" s="7" t="s">
        <v>59</v>
      </c>
      <c r="J99" s="8" t="s">
        <v>94</v>
      </c>
      <c r="K99" s="7" t="s">
        <v>24</v>
      </c>
      <c r="L99" s="2" t="s">
        <v>24</v>
      </c>
      <c r="M99" s="4">
        <v>0</v>
      </c>
      <c r="N99" s="4">
        <v>1550</v>
      </c>
      <c r="O99" s="4">
        <v>0</v>
      </c>
      <c r="P99" s="4">
        <v>54</v>
      </c>
      <c r="Q99" s="4">
        <v>54</v>
      </c>
      <c r="R99" s="4">
        <v>0</v>
      </c>
      <c r="S99" s="55">
        <v>54</v>
      </c>
      <c r="T99" s="5"/>
      <c r="U99" s="71">
        <v>54</v>
      </c>
      <c r="V99" s="6"/>
    </row>
    <row r="100" spans="1:22" x14ac:dyDescent="0.25">
      <c r="A100" s="1">
        <v>46242.316127268517</v>
      </c>
      <c r="B100" s="2" t="s">
        <v>50</v>
      </c>
      <c r="C100" s="3">
        <v>46242</v>
      </c>
      <c r="D100" s="2" t="s">
        <v>214</v>
      </c>
      <c r="E100" s="2" t="s">
        <v>27</v>
      </c>
      <c r="F100" t="str">
        <f>CONCATENATE(Table7[[#This Row],[MPG Code]],Table7[[#This Row],[Farmer code]])</f>
        <v>105301130002</v>
      </c>
      <c r="G100" s="9">
        <v>10530113</v>
      </c>
      <c r="H100" s="57" t="s">
        <v>230</v>
      </c>
      <c r="I100" s="7" t="s">
        <v>63</v>
      </c>
      <c r="J100" s="8" t="s">
        <v>22</v>
      </c>
      <c r="K100" s="7" t="s">
        <v>24</v>
      </c>
      <c r="L100" s="2" t="s">
        <v>24</v>
      </c>
      <c r="M100" s="4">
        <v>3</v>
      </c>
      <c r="N100" s="4">
        <v>1550</v>
      </c>
      <c r="O100" s="4">
        <v>4650</v>
      </c>
      <c r="P100" s="4">
        <v>0</v>
      </c>
      <c r="Q100" s="4">
        <v>4650</v>
      </c>
      <c r="R100" s="4">
        <v>3</v>
      </c>
      <c r="S100" s="55">
        <v>4650</v>
      </c>
      <c r="T100" s="5"/>
      <c r="U100" s="71">
        <v>4650</v>
      </c>
      <c r="V100" s="6"/>
    </row>
    <row r="101" spans="1:22" x14ac:dyDescent="0.25">
      <c r="A101" s="1">
        <v>46242.316871296294</v>
      </c>
      <c r="B101" s="2" t="s">
        <v>50</v>
      </c>
      <c r="C101" s="3">
        <v>46242</v>
      </c>
      <c r="D101" s="2" t="s">
        <v>214</v>
      </c>
      <c r="E101" s="2" t="s">
        <v>27</v>
      </c>
      <c r="F101" t="str">
        <f>CONCATENATE(Table7[[#This Row],[MPG Code]],Table7[[#This Row],[Farmer code]])</f>
        <v>105300930044</v>
      </c>
      <c r="G101" s="9">
        <v>10530093</v>
      </c>
      <c r="H101" s="57" t="s">
        <v>230</v>
      </c>
      <c r="I101" s="7" t="s">
        <v>69</v>
      </c>
      <c r="J101" s="8" t="s">
        <v>121</v>
      </c>
      <c r="K101" s="7" t="s">
        <v>24</v>
      </c>
      <c r="L101" s="2" t="s">
        <v>24</v>
      </c>
      <c r="M101" s="4">
        <v>0</v>
      </c>
      <c r="N101" s="4">
        <v>1550</v>
      </c>
      <c r="O101" s="4">
        <v>0</v>
      </c>
      <c r="P101" s="4">
        <v>743</v>
      </c>
      <c r="Q101" s="4">
        <v>743</v>
      </c>
      <c r="R101" s="4">
        <v>0</v>
      </c>
      <c r="S101" s="55">
        <v>743</v>
      </c>
      <c r="T101" s="5"/>
      <c r="U101" s="71">
        <v>78</v>
      </c>
      <c r="V101" s="6"/>
    </row>
    <row r="102" spans="1:22" x14ac:dyDescent="0.25">
      <c r="A102" s="1">
        <v>46242.317132326389</v>
      </c>
      <c r="B102" s="2" t="s">
        <v>50</v>
      </c>
      <c r="C102" s="3">
        <v>46242</v>
      </c>
      <c r="D102" s="2" t="s">
        <v>214</v>
      </c>
      <c r="E102" s="2" t="s">
        <v>27</v>
      </c>
      <c r="F102" t="str">
        <f>CONCATENATE(Table7[[#This Row],[MPG Code]],Table7[[#This Row],[Farmer code]])</f>
        <v>105300820055</v>
      </c>
      <c r="G102" s="9">
        <v>10530082</v>
      </c>
      <c r="H102" s="57" t="s">
        <v>230</v>
      </c>
      <c r="I102" s="7" t="s">
        <v>125</v>
      </c>
      <c r="J102" s="8" t="s">
        <v>85</v>
      </c>
      <c r="K102" s="7" t="s">
        <v>24</v>
      </c>
      <c r="L102" s="2" t="s">
        <v>24</v>
      </c>
      <c r="M102" s="4">
        <v>0</v>
      </c>
      <c r="N102" s="4">
        <v>1550</v>
      </c>
      <c r="O102" s="4">
        <v>0</v>
      </c>
      <c r="P102" s="4">
        <v>446</v>
      </c>
      <c r="Q102" s="4">
        <v>446</v>
      </c>
      <c r="R102" s="4">
        <v>0</v>
      </c>
      <c r="S102" s="55">
        <v>446</v>
      </c>
      <c r="T102" s="5"/>
      <c r="U102" s="71">
        <v>187</v>
      </c>
      <c r="V102" s="6"/>
    </row>
    <row r="103" spans="1:22" x14ac:dyDescent="0.25">
      <c r="A103" s="1">
        <v>46242.31734789352</v>
      </c>
      <c r="B103" s="2" t="s">
        <v>50</v>
      </c>
      <c r="C103" s="3">
        <v>46242</v>
      </c>
      <c r="D103" s="2" t="s">
        <v>214</v>
      </c>
      <c r="E103" s="2" t="s">
        <v>30</v>
      </c>
      <c r="F103" t="str">
        <f>CONCATENATE(Table7[[#This Row],[MPG Code]],Table7[[#This Row],[Farmer code]])</f>
        <v>105300700048</v>
      </c>
      <c r="G103" s="9">
        <v>10530070</v>
      </c>
      <c r="H103" s="57" t="s">
        <v>230</v>
      </c>
      <c r="I103" s="7" t="s">
        <v>177</v>
      </c>
      <c r="J103" s="8" t="s">
        <v>145</v>
      </c>
      <c r="K103" s="7" t="s">
        <v>24</v>
      </c>
      <c r="L103" s="2" t="s">
        <v>24</v>
      </c>
      <c r="M103" s="4">
        <v>0</v>
      </c>
      <c r="N103" s="4">
        <v>1400</v>
      </c>
      <c r="O103" s="4">
        <v>0</v>
      </c>
      <c r="P103" s="4">
        <v>107</v>
      </c>
      <c r="Q103" s="4">
        <v>107</v>
      </c>
      <c r="R103" s="4">
        <v>0</v>
      </c>
      <c r="S103" s="55">
        <v>107</v>
      </c>
      <c r="T103" s="5"/>
      <c r="U103" s="71">
        <v>107</v>
      </c>
      <c r="V103" s="6"/>
    </row>
    <row r="104" spans="1:22" x14ac:dyDescent="0.25">
      <c r="A104" s="1">
        <v>46242.317696157406</v>
      </c>
      <c r="B104" s="2" t="s">
        <v>50</v>
      </c>
      <c r="C104" s="3">
        <v>46242</v>
      </c>
      <c r="D104" s="2" t="s">
        <v>214</v>
      </c>
      <c r="E104" s="2" t="s">
        <v>30</v>
      </c>
      <c r="F104" t="str">
        <f>CONCATENATE(Table7[[#This Row],[MPG Code]],Table7[[#This Row],[Farmer code]])</f>
        <v>105300020002</v>
      </c>
      <c r="G104" s="9">
        <v>10530002</v>
      </c>
      <c r="H104" s="57" t="s">
        <v>230</v>
      </c>
      <c r="I104" s="7" t="s">
        <v>123</v>
      </c>
      <c r="J104" s="8" t="s">
        <v>22</v>
      </c>
      <c r="K104" s="7" t="s">
        <v>24</v>
      </c>
      <c r="L104" s="2" t="s">
        <v>24</v>
      </c>
      <c r="M104" s="4">
        <v>0</v>
      </c>
      <c r="N104" s="4">
        <v>1400</v>
      </c>
      <c r="O104" s="4">
        <v>0</v>
      </c>
      <c r="P104" s="4">
        <v>980</v>
      </c>
      <c r="Q104" s="4">
        <v>980</v>
      </c>
      <c r="R104" s="4">
        <v>0</v>
      </c>
      <c r="S104" s="55">
        <v>980</v>
      </c>
      <c r="T104" s="5"/>
      <c r="U104" s="71">
        <v>980</v>
      </c>
      <c r="V104" s="6"/>
    </row>
    <row r="105" spans="1:22" x14ac:dyDescent="0.25">
      <c r="A105" s="1">
        <v>46242.317976192135</v>
      </c>
      <c r="B105" s="2" t="s">
        <v>50</v>
      </c>
      <c r="C105" s="3">
        <v>46242</v>
      </c>
      <c r="D105" s="2" t="s">
        <v>214</v>
      </c>
      <c r="E105" s="2" t="s">
        <v>30</v>
      </c>
      <c r="F105" t="str">
        <f>CONCATENATE(Table7[[#This Row],[MPG Code]],Table7[[#This Row],[Farmer code]])</f>
        <v>105300020013</v>
      </c>
      <c r="G105" s="9">
        <v>10530002</v>
      </c>
      <c r="H105" s="57" t="s">
        <v>230</v>
      </c>
      <c r="I105" s="7" t="s">
        <v>123</v>
      </c>
      <c r="J105" s="8" t="s">
        <v>57</v>
      </c>
      <c r="K105" s="7" t="s">
        <v>24</v>
      </c>
      <c r="L105" s="2" t="s">
        <v>24</v>
      </c>
      <c r="M105" s="4">
        <v>0</v>
      </c>
      <c r="N105" s="4">
        <v>1400</v>
      </c>
      <c r="O105" s="4">
        <v>0</v>
      </c>
      <c r="P105" s="4">
        <v>928</v>
      </c>
      <c r="Q105" s="4">
        <v>928</v>
      </c>
      <c r="R105" s="4">
        <v>0</v>
      </c>
      <c r="S105" s="55">
        <v>928</v>
      </c>
      <c r="T105" s="5"/>
      <c r="U105" s="71">
        <v>600</v>
      </c>
      <c r="V105" s="6"/>
    </row>
    <row r="106" spans="1:22" x14ac:dyDescent="0.25">
      <c r="A106" s="1">
        <v>46242.318287986112</v>
      </c>
      <c r="B106" s="2" t="s">
        <v>50</v>
      </c>
      <c r="C106" s="3">
        <v>46242</v>
      </c>
      <c r="D106" s="2" t="s">
        <v>214</v>
      </c>
      <c r="E106" s="2" t="s">
        <v>65</v>
      </c>
      <c r="F106" t="str">
        <f>CONCATENATE(Table7[[#This Row],[MPG Code]],Table7[[#This Row],[Farmer code]])</f>
        <v>105300080006</v>
      </c>
      <c r="G106" s="9">
        <v>10530008</v>
      </c>
      <c r="H106" s="57" t="s">
        <v>230</v>
      </c>
      <c r="I106" s="7" t="s">
        <v>142</v>
      </c>
      <c r="J106" s="8" t="s">
        <v>78</v>
      </c>
      <c r="K106" s="7" t="s">
        <v>24</v>
      </c>
      <c r="L106" s="2" t="s">
        <v>24</v>
      </c>
      <c r="M106" s="4">
        <v>1</v>
      </c>
      <c r="N106" s="4">
        <v>235</v>
      </c>
      <c r="O106" s="4">
        <v>235</v>
      </c>
      <c r="P106" s="4">
        <v>0</v>
      </c>
      <c r="Q106" s="4">
        <v>235</v>
      </c>
      <c r="R106" s="4">
        <v>1</v>
      </c>
      <c r="S106" s="55">
        <v>235</v>
      </c>
      <c r="T106" s="5"/>
      <c r="U106" s="71">
        <v>235</v>
      </c>
      <c r="V106" s="6"/>
    </row>
    <row r="107" spans="1:22" x14ac:dyDescent="0.25">
      <c r="A107" s="1">
        <v>46242.318509652774</v>
      </c>
      <c r="B107" s="2" t="s">
        <v>50</v>
      </c>
      <c r="C107" s="3">
        <v>46242</v>
      </c>
      <c r="D107" s="2" t="s">
        <v>214</v>
      </c>
      <c r="E107" s="2" t="s">
        <v>65</v>
      </c>
      <c r="F107" t="str">
        <f>CONCATENATE(Table7[[#This Row],[MPG Code]],Table7[[#This Row],[Farmer code]])</f>
        <v>105300920003</v>
      </c>
      <c r="G107" s="9">
        <v>10530092</v>
      </c>
      <c r="H107" s="57" t="s">
        <v>230</v>
      </c>
      <c r="I107" s="7" t="s">
        <v>60</v>
      </c>
      <c r="J107" s="8" t="s">
        <v>34</v>
      </c>
      <c r="K107" s="7" t="s">
        <v>24</v>
      </c>
      <c r="L107" s="2" t="s">
        <v>24</v>
      </c>
      <c r="M107" s="4">
        <v>2</v>
      </c>
      <c r="N107" s="4">
        <v>259</v>
      </c>
      <c r="O107" s="4">
        <v>518</v>
      </c>
      <c r="P107" s="4">
        <v>0</v>
      </c>
      <c r="Q107" s="4">
        <v>518</v>
      </c>
      <c r="R107" s="4">
        <v>2</v>
      </c>
      <c r="S107" s="55">
        <v>518</v>
      </c>
      <c r="T107" s="5"/>
      <c r="U107" s="71">
        <v>518</v>
      </c>
      <c r="V107" s="6"/>
    </row>
    <row r="108" spans="1:22" x14ac:dyDescent="0.25">
      <c r="A108" s="1">
        <v>46242.319005983794</v>
      </c>
      <c r="B108" s="2" t="s">
        <v>50</v>
      </c>
      <c r="C108" s="3">
        <v>46242</v>
      </c>
      <c r="D108" s="2" t="s">
        <v>214</v>
      </c>
      <c r="E108" s="2" t="s">
        <v>65</v>
      </c>
      <c r="F108" t="str">
        <f>CONCATENATE(Table7[[#This Row],[MPG Code]],Table7[[#This Row],[Farmer code]])</f>
        <v>105300340007</v>
      </c>
      <c r="G108" s="9">
        <v>10530034</v>
      </c>
      <c r="H108" s="57" t="s">
        <v>230</v>
      </c>
      <c r="I108" s="7" t="s">
        <v>162</v>
      </c>
      <c r="J108" s="8" t="s">
        <v>25</v>
      </c>
      <c r="K108" s="7" t="s">
        <v>24</v>
      </c>
      <c r="L108" s="2" t="s">
        <v>24</v>
      </c>
      <c r="M108" s="4">
        <v>6</v>
      </c>
      <c r="N108" s="4">
        <v>259</v>
      </c>
      <c r="O108" s="4">
        <v>1554</v>
      </c>
      <c r="P108" s="4">
        <v>0</v>
      </c>
      <c r="Q108" s="4">
        <v>1554</v>
      </c>
      <c r="R108" s="4">
        <v>6</v>
      </c>
      <c r="S108" s="55">
        <v>1554</v>
      </c>
      <c r="T108" s="5"/>
      <c r="U108" s="71">
        <v>1554</v>
      </c>
      <c r="V108" s="6"/>
    </row>
    <row r="109" spans="1:22" x14ac:dyDescent="0.25">
      <c r="A109" s="1">
        <v>46242.319220185185</v>
      </c>
      <c r="B109" s="2" t="s">
        <v>50</v>
      </c>
      <c r="C109" s="3">
        <v>46242</v>
      </c>
      <c r="D109" s="2" t="s">
        <v>214</v>
      </c>
      <c r="E109" s="2" t="s">
        <v>65</v>
      </c>
      <c r="F109" t="str">
        <f>CONCATENATE(Table7[[#This Row],[MPG Code]],Table7[[#This Row],[Farmer code]])</f>
        <v>105300340044</v>
      </c>
      <c r="G109" s="9">
        <v>10530034</v>
      </c>
      <c r="H109" s="57" t="s">
        <v>230</v>
      </c>
      <c r="I109" s="7" t="s">
        <v>162</v>
      </c>
      <c r="J109" s="8" t="s">
        <v>121</v>
      </c>
      <c r="K109" s="7" t="s">
        <v>24</v>
      </c>
      <c r="L109" s="2" t="s">
        <v>24</v>
      </c>
      <c r="M109" s="4">
        <v>1</v>
      </c>
      <c r="N109" s="4">
        <v>259</v>
      </c>
      <c r="O109" s="4">
        <v>259</v>
      </c>
      <c r="P109" s="4">
        <v>0</v>
      </c>
      <c r="Q109" s="4">
        <v>259</v>
      </c>
      <c r="R109" s="4">
        <v>1</v>
      </c>
      <c r="S109" s="55">
        <v>259</v>
      </c>
      <c r="T109" s="5"/>
      <c r="U109" s="71">
        <v>259</v>
      </c>
      <c r="V109" s="6"/>
    </row>
    <row r="110" spans="1:22" x14ac:dyDescent="0.25">
      <c r="A110" s="1">
        <v>46242.319440787032</v>
      </c>
      <c r="B110" s="2" t="s">
        <v>50</v>
      </c>
      <c r="C110" s="3">
        <v>46242</v>
      </c>
      <c r="D110" s="2" t="s">
        <v>214</v>
      </c>
      <c r="E110" s="2" t="s">
        <v>65</v>
      </c>
      <c r="F110" t="str">
        <f>CONCATENATE(Table7[[#This Row],[MPG Code]],Table7[[#This Row],[Farmer code]])</f>
        <v>105300340006</v>
      </c>
      <c r="G110" s="9">
        <v>10530034</v>
      </c>
      <c r="H110" s="57" t="s">
        <v>230</v>
      </c>
      <c r="I110" s="7" t="s">
        <v>162</v>
      </c>
      <c r="J110" s="8" t="s">
        <v>78</v>
      </c>
      <c r="K110" s="7" t="s">
        <v>24</v>
      </c>
      <c r="L110" s="2" t="s">
        <v>24</v>
      </c>
      <c r="M110" s="4">
        <v>1</v>
      </c>
      <c r="N110" s="4">
        <v>259</v>
      </c>
      <c r="O110" s="4">
        <v>259</v>
      </c>
      <c r="P110" s="4">
        <v>0</v>
      </c>
      <c r="Q110" s="4">
        <v>259</v>
      </c>
      <c r="R110" s="4">
        <v>1</v>
      </c>
      <c r="S110" s="55">
        <v>259</v>
      </c>
      <c r="T110" s="5"/>
      <c r="U110" s="71">
        <v>259</v>
      </c>
      <c r="V110" s="6"/>
    </row>
    <row r="111" spans="1:22" x14ac:dyDescent="0.25">
      <c r="A111" s="1">
        <v>46242.319708194445</v>
      </c>
      <c r="B111" s="2" t="s">
        <v>50</v>
      </c>
      <c r="C111" s="3">
        <v>46242</v>
      </c>
      <c r="D111" s="2" t="s">
        <v>214</v>
      </c>
      <c r="E111" s="2" t="s">
        <v>65</v>
      </c>
      <c r="F111" t="str">
        <f>CONCATENATE(Table7[[#This Row],[MPG Code]],Table7[[#This Row],[Farmer code]])</f>
        <v>105300340049</v>
      </c>
      <c r="G111" s="9">
        <v>10530034</v>
      </c>
      <c r="H111" s="57" t="s">
        <v>230</v>
      </c>
      <c r="I111" s="7" t="s">
        <v>162</v>
      </c>
      <c r="J111" s="8" t="s">
        <v>163</v>
      </c>
      <c r="K111" s="7" t="s">
        <v>24</v>
      </c>
      <c r="L111" s="2" t="s">
        <v>24</v>
      </c>
      <c r="M111" s="4">
        <v>6</v>
      </c>
      <c r="N111" s="4">
        <v>259</v>
      </c>
      <c r="O111" s="4">
        <v>1554</v>
      </c>
      <c r="P111" s="4">
        <v>0</v>
      </c>
      <c r="Q111" s="4">
        <v>1554</v>
      </c>
      <c r="R111" s="4">
        <v>6</v>
      </c>
      <c r="S111" s="55">
        <v>1554</v>
      </c>
      <c r="T111" s="5"/>
      <c r="U111" s="71">
        <v>1554</v>
      </c>
      <c r="V111" s="6"/>
    </row>
    <row r="112" spans="1:22" x14ac:dyDescent="0.25">
      <c r="A112" s="1">
        <v>46242.319916539353</v>
      </c>
      <c r="B112" s="2" t="s">
        <v>50</v>
      </c>
      <c r="C112" s="3">
        <v>46242</v>
      </c>
      <c r="D112" s="2" t="s">
        <v>214</v>
      </c>
      <c r="E112" s="2" t="s">
        <v>65</v>
      </c>
      <c r="F112" t="str">
        <f>CONCATENATE(Table7[[#This Row],[MPG Code]],Table7[[#This Row],[Farmer code]])</f>
        <v>105300340030</v>
      </c>
      <c r="G112" s="9">
        <v>10530034</v>
      </c>
      <c r="H112" s="57" t="s">
        <v>230</v>
      </c>
      <c r="I112" s="7" t="s">
        <v>162</v>
      </c>
      <c r="J112" s="8" t="s">
        <v>76</v>
      </c>
      <c r="K112" s="7" t="s">
        <v>24</v>
      </c>
      <c r="L112" s="2" t="s">
        <v>24</v>
      </c>
      <c r="M112" s="4">
        <v>1</v>
      </c>
      <c r="N112" s="4">
        <v>259</v>
      </c>
      <c r="O112" s="4">
        <v>259</v>
      </c>
      <c r="P112" s="4">
        <v>0</v>
      </c>
      <c r="Q112" s="4">
        <v>259</v>
      </c>
      <c r="R112" s="4">
        <v>1</v>
      </c>
      <c r="S112" s="55">
        <v>259</v>
      </c>
      <c r="T112" s="5"/>
      <c r="U112" s="71">
        <v>259</v>
      </c>
      <c r="V112" s="6"/>
    </row>
    <row r="113" spans="1:22" x14ac:dyDescent="0.25">
      <c r="A113" s="1">
        <v>46242.320101620367</v>
      </c>
      <c r="B113" s="2" t="s">
        <v>50</v>
      </c>
      <c r="C113" s="3">
        <v>46242</v>
      </c>
      <c r="D113" s="2" t="s">
        <v>214</v>
      </c>
      <c r="E113" s="2" t="s">
        <v>65</v>
      </c>
      <c r="F113" t="str">
        <f>CONCATENATE(Table7[[#This Row],[MPG Code]],Table7[[#This Row],[Farmer code]])</f>
        <v>105300340056</v>
      </c>
      <c r="G113" s="9">
        <v>10530034</v>
      </c>
      <c r="H113" s="57" t="s">
        <v>230</v>
      </c>
      <c r="I113" s="7" t="s">
        <v>162</v>
      </c>
      <c r="J113" s="8" t="s">
        <v>58</v>
      </c>
      <c r="K113" s="7" t="s">
        <v>24</v>
      </c>
      <c r="L113" s="2" t="s">
        <v>24</v>
      </c>
      <c r="M113" s="4">
        <v>1</v>
      </c>
      <c r="N113" s="4">
        <v>259</v>
      </c>
      <c r="O113" s="4">
        <v>259</v>
      </c>
      <c r="P113" s="4">
        <v>0</v>
      </c>
      <c r="Q113" s="4">
        <v>259</v>
      </c>
      <c r="R113" s="4">
        <v>1</v>
      </c>
      <c r="S113" s="55">
        <v>259</v>
      </c>
      <c r="T113" s="5"/>
      <c r="U113" s="71">
        <v>259</v>
      </c>
      <c r="V113" s="6"/>
    </row>
    <row r="114" spans="1:22" x14ac:dyDescent="0.25">
      <c r="A114" s="1">
        <v>46242.320364826388</v>
      </c>
      <c r="B114" s="2" t="s">
        <v>50</v>
      </c>
      <c r="C114" s="3">
        <v>46242</v>
      </c>
      <c r="D114" s="2" t="s">
        <v>214</v>
      </c>
      <c r="E114" s="2" t="s">
        <v>65</v>
      </c>
      <c r="F114" t="str">
        <f>CONCATENATE(Table7[[#This Row],[MPG Code]],Table7[[#This Row],[Farmer code]])</f>
        <v>105300340063</v>
      </c>
      <c r="G114" s="9">
        <v>10530034</v>
      </c>
      <c r="H114" s="57" t="s">
        <v>230</v>
      </c>
      <c r="I114" s="7" t="s">
        <v>162</v>
      </c>
      <c r="J114" s="8" t="s">
        <v>206</v>
      </c>
      <c r="K114" s="7" t="s">
        <v>24</v>
      </c>
      <c r="L114" s="2" t="s">
        <v>24</v>
      </c>
      <c r="M114" s="4">
        <v>3</v>
      </c>
      <c r="N114" s="4">
        <v>259</v>
      </c>
      <c r="O114" s="4">
        <v>777</v>
      </c>
      <c r="P114" s="4">
        <v>0</v>
      </c>
      <c r="Q114" s="4">
        <v>777</v>
      </c>
      <c r="R114" s="4">
        <v>3</v>
      </c>
      <c r="S114" s="55">
        <v>777</v>
      </c>
      <c r="T114" s="5"/>
      <c r="U114" s="71">
        <v>777</v>
      </c>
      <c r="V114" s="6"/>
    </row>
    <row r="115" spans="1:22" x14ac:dyDescent="0.25">
      <c r="A115" s="1">
        <v>46242.320650682872</v>
      </c>
      <c r="B115" s="2" t="s">
        <v>50</v>
      </c>
      <c r="C115" s="3">
        <v>46242</v>
      </c>
      <c r="D115" s="2" t="s">
        <v>214</v>
      </c>
      <c r="E115" s="2" t="s">
        <v>65</v>
      </c>
      <c r="F115" t="str">
        <f>CONCATENATE(Table7[[#This Row],[MPG Code]],Table7[[#This Row],[Farmer code]])</f>
        <v>105300340046</v>
      </c>
      <c r="G115" s="9">
        <v>10530034</v>
      </c>
      <c r="H115" s="57" t="s">
        <v>230</v>
      </c>
      <c r="I115" s="7" t="s">
        <v>162</v>
      </c>
      <c r="J115" s="8" t="s">
        <v>86</v>
      </c>
      <c r="K115" s="7" t="s">
        <v>24</v>
      </c>
      <c r="L115" s="2" t="s">
        <v>24</v>
      </c>
      <c r="M115" s="4">
        <v>3</v>
      </c>
      <c r="N115" s="4">
        <v>259</v>
      </c>
      <c r="O115" s="4">
        <v>777</v>
      </c>
      <c r="P115" s="4">
        <v>0</v>
      </c>
      <c r="Q115" s="4">
        <v>777</v>
      </c>
      <c r="R115" s="4">
        <v>3</v>
      </c>
      <c r="S115" s="55">
        <v>777</v>
      </c>
      <c r="T115" s="5"/>
      <c r="U115" s="71">
        <v>777</v>
      </c>
      <c r="V115" s="6"/>
    </row>
    <row r="116" spans="1:22" x14ac:dyDescent="0.25">
      <c r="A116" s="1">
        <v>46242.321049768521</v>
      </c>
      <c r="B116" s="2" t="s">
        <v>50</v>
      </c>
      <c r="C116" s="3">
        <v>46242</v>
      </c>
      <c r="D116" s="2" t="s">
        <v>214</v>
      </c>
      <c r="E116" s="2" t="s">
        <v>65</v>
      </c>
      <c r="F116" t="str">
        <f>CONCATENATE(Table7[[#This Row],[MPG Code]],Table7[[#This Row],[Farmer code]])</f>
        <v>105300340084</v>
      </c>
      <c r="G116" s="9">
        <v>10530034</v>
      </c>
      <c r="H116" s="57" t="s">
        <v>230</v>
      </c>
      <c r="I116" s="7" t="s">
        <v>162</v>
      </c>
      <c r="J116" s="8" t="s">
        <v>157</v>
      </c>
      <c r="K116" s="7" t="s">
        <v>24</v>
      </c>
      <c r="L116" s="2" t="s">
        <v>24</v>
      </c>
      <c r="M116" s="4">
        <v>1</v>
      </c>
      <c r="N116" s="4">
        <v>259</v>
      </c>
      <c r="O116" s="4">
        <v>259</v>
      </c>
      <c r="P116" s="4">
        <v>0</v>
      </c>
      <c r="Q116" s="4">
        <v>259</v>
      </c>
      <c r="R116" s="4">
        <v>1</v>
      </c>
      <c r="S116" s="55">
        <v>259</v>
      </c>
      <c r="T116" s="5"/>
      <c r="U116" s="71">
        <v>259</v>
      </c>
      <c r="V116" s="6"/>
    </row>
    <row r="117" spans="1:22" x14ac:dyDescent="0.25">
      <c r="A117" s="1">
        <v>46242.321305543985</v>
      </c>
      <c r="B117" s="2" t="s">
        <v>50</v>
      </c>
      <c r="C117" s="3">
        <v>46242</v>
      </c>
      <c r="D117" s="2" t="s">
        <v>214</v>
      </c>
      <c r="E117" s="2" t="s">
        <v>65</v>
      </c>
      <c r="F117" t="str">
        <f>CONCATENATE(Table7[[#This Row],[MPG Code]],Table7[[#This Row],[Farmer code]])</f>
        <v>105300340096</v>
      </c>
      <c r="G117" s="9">
        <v>10530034</v>
      </c>
      <c r="H117" s="57" t="s">
        <v>230</v>
      </c>
      <c r="I117" s="7" t="s">
        <v>162</v>
      </c>
      <c r="J117" s="8" t="s">
        <v>164</v>
      </c>
      <c r="K117" s="7" t="s">
        <v>24</v>
      </c>
      <c r="L117" s="2" t="s">
        <v>24</v>
      </c>
      <c r="M117" s="4">
        <v>1</v>
      </c>
      <c r="N117" s="4">
        <v>259</v>
      </c>
      <c r="O117" s="4">
        <v>259</v>
      </c>
      <c r="P117" s="4">
        <v>0</v>
      </c>
      <c r="Q117" s="4">
        <v>259</v>
      </c>
      <c r="R117" s="4">
        <v>1</v>
      </c>
      <c r="S117" s="55">
        <v>259</v>
      </c>
      <c r="T117" s="5"/>
      <c r="U117" s="71">
        <v>259</v>
      </c>
      <c r="V117" s="6"/>
    </row>
    <row r="118" spans="1:22" x14ac:dyDescent="0.25">
      <c r="A118" s="1">
        <v>46242.321535486109</v>
      </c>
      <c r="B118" s="2" t="s">
        <v>50</v>
      </c>
      <c r="C118" s="3">
        <v>46242</v>
      </c>
      <c r="D118" s="2" t="s">
        <v>214</v>
      </c>
      <c r="E118" s="2" t="s">
        <v>65</v>
      </c>
      <c r="F118" t="str">
        <f>CONCATENATE(Table7[[#This Row],[MPG Code]],Table7[[#This Row],[Farmer code]])</f>
        <v>105300340080</v>
      </c>
      <c r="G118" s="9">
        <v>10530034</v>
      </c>
      <c r="H118" s="57" t="s">
        <v>230</v>
      </c>
      <c r="I118" s="7" t="s">
        <v>162</v>
      </c>
      <c r="J118" s="8" t="s">
        <v>74</v>
      </c>
      <c r="K118" s="7" t="s">
        <v>24</v>
      </c>
      <c r="L118" s="2" t="s">
        <v>24</v>
      </c>
      <c r="M118" s="4">
        <v>1</v>
      </c>
      <c r="N118" s="4">
        <v>259</v>
      </c>
      <c r="O118" s="4">
        <v>259</v>
      </c>
      <c r="P118" s="4">
        <v>0</v>
      </c>
      <c r="Q118" s="4">
        <v>259</v>
      </c>
      <c r="R118" s="4">
        <v>1</v>
      </c>
      <c r="S118" s="55">
        <v>259</v>
      </c>
      <c r="T118" s="5"/>
      <c r="U118" s="71">
        <v>259</v>
      </c>
      <c r="V118" s="6"/>
    </row>
    <row r="119" spans="1:22" x14ac:dyDescent="0.25">
      <c r="A119" s="1">
        <v>46242.32176288194</v>
      </c>
      <c r="B119" s="2" t="s">
        <v>50</v>
      </c>
      <c r="C119" s="3">
        <v>46242</v>
      </c>
      <c r="D119" s="2" t="s">
        <v>214</v>
      </c>
      <c r="E119" s="2" t="s">
        <v>65</v>
      </c>
      <c r="F119" t="str">
        <f>CONCATENATE(Table7[[#This Row],[MPG Code]],Table7[[#This Row],[Farmer code]])</f>
        <v>105300340045</v>
      </c>
      <c r="G119" s="9">
        <v>10530034</v>
      </c>
      <c r="H119" s="57" t="s">
        <v>230</v>
      </c>
      <c r="I119" s="7" t="s">
        <v>162</v>
      </c>
      <c r="J119" s="8" t="s">
        <v>166</v>
      </c>
      <c r="K119" s="7" t="s">
        <v>24</v>
      </c>
      <c r="L119" s="2" t="s">
        <v>24</v>
      </c>
      <c r="M119" s="4">
        <v>1</v>
      </c>
      <c r="N119" s="4">
        <v>259</v>
      </c>
      <c r="O119" s="4">
        <v>259</v>
      </c>
      <c r="P119" s="4">
        <v>0</v>
      </c>
      <c r="Q119" s="4">
        <v>259</v>
      </c>
      <c r="R119" s="4">
        <v>1</v>
      </c>
      <c r="S119" s="55">
        <v>259</v>
      </c>
      <c r="T119" s="5"/>
      <c r="U119" s="71">
        <v>259</v>
      </c>
      <c r="V119" s="6"/>
    </row>
    <row r="120" spans="1:22" x14ac:dyDescent="0.25">
      <c r="A120" s="1">
        <v>46242.322096863427</v>
      </c>
      <c r="B120" s="2" t="s">
        <v>50</v>
      </c>
      <c r="C120" s="3">
        <v>46242</v>
      </c>
      <c r="D120" s="2" t="s">
        <v>214</v>
      </c>
      <c r="E120" s="2" t="s">
        <v>65</v>
      </c>
      <c r="F120" t="str">
        <f>CONCATENATE(Table7[[#This Row],[MPG Code]],Table7[[#This Row],[Farmer code]])</f>
        <v>105300340019</v>
      </c>
      <c r="G120" s="9">
        <v>10530034</v>
      </c>
      <c r="H120" s="57" t="s">
        <v>230</v>
      </c>
      <c r="I120" s="7" t="s">
        <v>162</v>
      </c>
      <c r="J120" s="8" t="s">
        <v>129</v>
      </c>
      <c r="K120" s="7" t="s">
        <v>24</v>
      </c>
      <c r="L120" s="2" t="s">
        <v>24</v>
      </c>
      <c r="M120" s="4">
        <v>1</v>
      </c>
      <c r="N120" s="4">
        <v>259</v>
      </c>
      <c r="O120" s="4">
        <v>259</v>
      </c>
      <c r="P120" s="4">
        <v>0</v>
      </c>
      <c r="Q120" s="4">
        <v>259</v>
      </c>
      <c r="R120" s="4">
        <v>1</v>
      </c>
      <c r="S120" s="55">
        <v>259</v>
      </c>
      <c r="T120" s="5"/>
      <c r="U120" s="71">
        <v>259</v>
      </c>
      <c r="V120" s="6"/>
    </row>
    <row r="121" spans="1:22" x14ac:dyDescent="0.25">
      <c r="A121" s="1">
        <v>46242.322352442134</v>
      </c>
      <c r="B121" s="2" t="s">
        <v>50</v>
      </c>
      <c r="C121" s="3">
        <v>46242</v>
      </c>
      <c r="D121" s="2" t="s">
        <v>214</v>
      </c>
      <c r="E121" s="2" t="s">
        <v>65</v>
      </c>
      <c r="F121" t="str">
        <f>CONCATENATE(Table7[[#This Row],[MPG Code]],Table7[[#This Row],[Farmer code]])</f>
        <v>105300340004</v>
      </c>
      <c r="G121" s="9">
        <v>10530034</v>
      </c>
      <c r="H121" s="57" t="s">
        <v>230</v>
      </c>
      <c r="I121" s="7" t="s">
        <v>162</v>
      </c>
      <c r="J121" s="8" t="s">
        <v>56</v>
      </c>
      <c r="K121" s="7" t="s">
        <v>24</v>
      </c>
      <c r="L121" s="2" t="s">
        <v>24</v>
      </c>
      <c r="M121" s="4">
        <v>1</v>
      </c>
      <c r="N121" s="4">
        <v>259</v>
      </c>
      <c r="O121" s="4">
        <v>259</v>
      </c>
      <c r="P121" s="4">
        <v>0</v>
      </c>
      <c r="Q121" s="4">
        <v>259</v>
      </c>
      <c r="R121" s="4">
        <v>1</v>
      </c>
      <c r="S121" s="55">
        <v>259</v>
      </c>
      <c r="T121" s="5"/>
      <c r="U121" s="71">
        <v>259</v>
      </c>
      <c r="V121" s="6"/>
    </row>
    <row r="122" spans="1:22" x14ac:dyDescent="0.25">
      <c r="A122" s="1">
        <v>46242.322564780094</v>
      </c>
      <c r="B122" s="2" t="s">
        <v>50</v>
      </c>
      <c r="C122" s="3">
        <v>46242</v>
      </c>
      <c r="D122" s="2" t="s">
        <v>214</v>
      </c>
      <c r="E122" s="2" t="s">
        <v>68</v>
      </c>
      <c r="F122" t="str">
        <f>CONCATENATE(Table7[[#This Row],[MPG Code]],Table7[[#This Row],[Farmer code]])</f>
        <v>105300340044</v>
      </c>
      <c r="G122" s="9">
        <v>10530034</v>
      </c>
      <c r="H122" s="57" t="s">
        <v>230</v>
      </c>
      <c r="I122" s="7" t="s">
        <v>162</v>
      </c>
      <c r="J122" s="8" t="s">
        <v>121</v>
      </c>
      <c r="K122" s="7" t="s">
        <v>24</v>
      </c>
      <c r="L122" s="2" t="s">
        <v>24</v>
      </c>
      <c r="M122" s="4">
        <v>1</v>
      </c>
      <c r="N122" s="4">
        <v>165</v>
      </c>
      <c r="O122" s="4">
        <v>165</v>
      </c>
      <c r="P122" s="4">
        <v>0</v>
      </c>
      <c r="Q122" s="4">
        <v>165</v>
      </c>
      <c r="R122" s="4">
        <v>1</v>
      </c>
      <c r="S122" s="55">
        <v>165</v>
      </c>
      <c r="T122" s="5"/>
      <c r="U122" s="71">
        <v>165</v>
      </c>
      <c r="V122" s="6"/>
    </row>
    <row r="123" spans="1:22" x14ac:dyDescent="0.25">
      <c r="A123" s="1">
        <v>46242.322756817128</v>
      </c>
      <c r="B123" s="2" t="s">
        <v>50</v>
      </c>
      <c r="C123" s="3">
        <v>46242</v>
      </c>
      <c r="D123" s="2" t="s">
        <v>214</v>
      </c>
      <c r="E123" s="2" t="s">
        <v>68</v>
      </c>
      <c r="F123" t="str">
        <f>CONCATENATE(Table7[[#This Row],[MPG Code]],Table7[[#This Row],[Farmer code]])</f>
        <v>105300340019</v>
      </c>
      <c r="G123" s="9">
        <v>10530034</v>
      </c>
      <c r="H123" s="57" t="s">
        <v>230</v>
      </c>
      <c r="I123" s="7" t="s">
        <v>162</v>
      </c>
      <c r="J123" s="8" t="s">
        <v>129</v>
      </c>
      <c r="K123" s="7" t="s">
        <v>24</v>
      </c>
      <c r="L123" s="2" t="s">
        <v>24</v>
      </c>
      <c r="M123" s="4">
        <v>1</v>
      </c>
      <c r="N123" s="4">
        <v>165</v>
      </c>
      <c r="O123" s="4">
        <v>165</v>
      </c>
      <c r="P123" s="4">
        <v>0</v>
      </c>
      <c r="Q123" s="4">
        <v>165</v>
      </c>
      <c r="R123" s="4">
        <v>1</v>
      </c>
      <c r="S123" s="55">
        <v>165</v>
      </c>
      <c r="T123" s="5"/>
      <c r="U123" s="71">
        <v>165</v>
      </c>
      <c r="V123" s="6"/>
    </row>
    <row r="124" spans="1:22" x14ac:dyDescent="0.25">
      <c r="A124" s="1">
        <v>46242.323097523149</v>
      </c>
      <c r="B124" s="2" t="s">
        <v>50</v>
      </c>
      <c r="C124" s="3">
        <v>46242</v>
      </c>
      <c r="D124" s="2" t="s">
        <v>214</v>
      </c>
      <c r="E124" s="2" t="s">
        <v>68</v>
      </c>
      <c r="F124" t="str">
        <f>CONCATENATE(Table7[[#This Row],[MPG Code]],Table7[[#This Row],[Farmer code]])</f>
        <v>105300340094</v>
      </c>
      <c r="G124" s="9">
        <v>10530034</v>
      </c>
      <c r="H124" s="57" t="s">
        <v>230</v>
      </c>
      <c r="I124" s="7" t="s">
        <v>162</v>
      </c>
      <c r="J124" s="8" t="s">
        <v>165</v>
      </c>
      <c r="K124" s="7" t="s">
        <v>24</v>
      </c>
      <c r="L124" s="2" t="s">
        <v>24</v>
      </c>
      <c r="M124" s="4">
        <v>1</v>
      </c>
      <c r="N124" s="4">
        <v>165</v>
      </c>
      <c r="O124" s="4">
        <v>165</v>
      </c>
      <c r="P124" s="4">
        <v>0</v>
      </c>
      <c r="Q124" s="4">
        <v>165</v>
      </c>
      <c r="R124" s="4">
        <v>1</v>
      </c>
      <c r="S124" s="55">
        <v>165</v>
      </c>
      <c r="T124" s="5"/>
      <c r="U124" s="71">
        <v>165</v>
      </c>
      <c r="V124" s="6"/>
    </row>
    <row r="125" spans="1:22" x14ac:dyDescent="0.25">
      <c r="A125" s="1">
        <v>46242.323381828704</v>
      </c>
      <c r="B125" s="2" t="s">
        <v>50</v>
      </c>
      <c r="C125" s="3">
        <v>46242</v>
      </c>
      <c r="D125" s="2" t="s">
        <v>214</v>
      </c>
      <c r="E125" s="2" t="s">
        <v>68</v>
      </c>
      <c r="F125" t="str">
        <f>CONCATENATE(Table7[[#This Row],[MPG Code]],Table7[[#This Row],[Farmer code]])</f>
        <v>105300340036</v>
      </c>
      <c r="G125" s="9">
        <v>10530034</v>
      </c>
      <c r="H125" s="57" t="s">
        <v>230</v>
      </c>
      <c r="I125" s="7" t="s">
        <v>162</v>
      </c>
      <c r="J125" s="8" t="s">
        <v>140</v>
      </c>
      <c r="K125" s="7" t="s">
        <v>24</v>
      </c>
      <c r="L125" s="2" t="s">
        <v>24</v>
      </c>
      <c r="M125" s="4">
        <v>1</v>
      </c>
      <c r="N125" s="4">
        <v>165</v>
      </c>
      <c r="O125" s="4">
        <v>165</v>
      </c>
      <c r="P125" s="4">
        <v>0</v>
      </c>
      <c r="Q125" s="4">
        <v>165</v>
      </c>
      <c r="R125" s="4">
        <v>1</v>
      </c>
      <c r="S125" s="55">
        <v>165</v>
      </c>
      <c r="T125" s="5"/>
      <c r="U125" s="71">
        <v>165</v>
      </c>
      <c r="V125" s="6"/>
    </row>
    <row r="126" spans="1:22" x14ac:dyDescent="0.25">
      <c r="A126" s="1">
        <v>46242.323656990746</v>
      </c>
      <c r="B126" s="2" t="s">
        <v>50</v>
      </c>
      <c r="C126" s="3">
        <v>46242</v>
      </c>
      <c r="D126" s="2" t="s">
        <v>214</v>
      </c>
      <c r="E126" s="2" t="s">
        <v>68</v>
      </c>
      <c r="F126" t="str">
        <f>CONCATENATE(Table7[[#This Row],[MPG Code]],Table7[[#This Row],[Farmer code]])</f>
        <v>105300340030</v>
      </c>
      <c r="G126" s="9">
        <v>10530034</v>
      </c>
      <c r="H126" s="57" t="s">
        <v>230</v>
      </c>
      <c r="I126" s="7" t="s">
        <v>162</v>
      </c>
      <c r="J126" s="8" t="s">
        <v>76</v>
      </c>
      <c r="K126" s="7" t="s">
        <v>24</v>
      </c>
      <c r="L126" s="2" t="s">
        <v>24</v>
      </c>
      <c r="M126" s="4">
        <v>1</v>
      </c>
      <c r="N126" s="4">
        <v>165</v>
      </c>
      <c r="O126" s="4">
        <v>165</v>
      </c>
      <c r="P126" s="4">
        <v>0</v>
      </c>
      <c r="Q126" s="4">
        <v>165</v>
      </c>
      <c r="R126" s="4">
        <v>1</v>
      </c>
      <c r="S126" s="55">
        <v>165</v>
      </c>
      <c r="T126" s="5"/>
      <c r="U126" s="71">
        <v>165</v>
      </c>
      <c r="V126" s="6"/>
    </row>
    <row r="127" spans="1:22" x14ac:dyDescent="0.25">
      <c r="A127" s="1">
        <v>46242.323865358798</v>
      </c>
      <c r="B127" s="2" t="s">
        <v>50</v>
      </c>
      <c r="C127" s="3">
        <v>46242</v>
      </c>
      <c r="D127" s="2" t="s">
        <v>214</v>
      </c>
      <c r="E127" s="2" t="s">
        <v>68</v>
      </c>
      <c r="F127" t="str">
        <f>CONCATENATE(Table7[[#This Row],[MPG Code]],Table7[[#This Row],[Farmer code]])</f>
        <v>105300340100</v>
      </c>
      <c r="G127" s="9">
        <v>10530034</v>
      </c>
      <c r="H127" s="57" t="s">
        <v>230</v>
      </c>
      <c r="I127" s="7" t="s">
        <v>162</v>
      </c>
      <c r="J127" s="8" t="s">
        <v>176</v>
      </c>
      <c r="K127" s="7" t="s">
        <v>24</v>
      </c>
      <c r="L127" s="2" t="s">
        <v>24</v>
      </c>
      <c r="M127" s="4">
        <v>1</v>
      </c>
      <c r="N127" s="4">
        <v>165</v>
      </c>
      <c r="O127" s="4">
        <v>165</v>
      </c>
      <c r="P127" s="4">
        <v>0</v>
      </c>
      <c r="Q127" s="4">
        <v>165</v>
      </c>
      <c r="R127" s="4">
        <v>1</v>
      </c>
      <c r="S127" s="55">
        <v>165</v>
      </c>
      <c r="T127" s="5"/>
      <c r="U127" s="71">
        <v>165</v>
      </c>
      <c r="V127" s="6"/>
    </row>
    <row r="128" spans="1:22" x14ac:dyDescent="0.25">
      <c r="A128" s="1">
        <v>46242.324403680555</v>
      </c>
      <c r="B128" s="2" t="s">
        <v>50</v>
      </c>
      <c r="C128" s="3">
        <v>46242</v>
      </c>
      <c r="D128" s="2" t="s">
        <v>214</v>
      </c>
      <c r="E128" s="2" t="s">
        <v>154</v>
      </c>
      <c r="F128" t="str">
        <f>CONCATENATE(Table7[[#This Row],[MPG Code]],Table7[[#This Row],[Farmer code]])</f>
        <v>105300320017</v>
      </c>
      <c r="G128" s="9">
        <v>10530032</v>
      </c>
      <c r="H128" s="57" t="s">
        <v>230</v>
      </c>
      <c r="I128" s="7" t="s">
        <v>52</v>
      </c>
      <c r="J128" s="8" t="s">
        <v>55</v>
      </c>
      <c r="K128" s="7" t="s">
        <v>24</v>
      </c>
      <c r="L128" s="2" t="s">
        <v>24</v>
      </c>
      <c r="M128" s="4">
        <v>1</v>
      </c>
      <c r="N128" s="4">
        <v>264</v>
      </c>
      <c r="O128" s="4">
        <v>264</v>
      </c>
      <c r="P128" s="4">
        <v>0</v>
      </c>
      <c r="Q128" s="4">
        <v>264</v>
      </c>
      <c r="R128" s="4">
        <v>1</v>
      </c>
      <c r="S128" s="55">
        <v>264</v>
      </c>
      <c r="T128" s="5"/>
      <c r="U128" s="71">
        <v>264</v>
      </c>
      <c r="V128" s="6"/>
    </row>
    <row r="129" spans="1:22" x14ac:dyDescent="0.25">
      <c r="A129" s="1">
        <v>46242.324726886574</v>
      </c>
      <c r="B129" s="2" t="s">
        <v>50</v>
      </c>
      <c r="C129" s="3">
        <v>46242</v>
      </c>
      <c r="D129" s="2" t="s">
        <v>214</v>
      </c>
      <c r="E129" s="2" t="s">
        <v>154</v>
      </c>
      <c r="F129" t="str">
        <f>CONCATENATE(Table7[[#This Row],[MPG Code]],Table7[[#This Row],[Farmer code]])</f>
        <v>105300320074</v>
      </c>
      <c r="G129" s="9">
        <v>10530032</v>
      </c>
      <c r="H129" s="57" t="s">
        <v>230</v>
      </c>
      <c r="I129" s="7" t="s">
        <v>52</v>
      </c>
      <c r="J129" s="8" t="s">
        <v>174</v>
      </c>
      <c r="K129" s="7" t="s">
        <v>24</v>
      </c>
      <c r="L129" s="2" t="s">
        <v>24</v>
      </c>
      <c r="M129" s="4">
        <v>1</v>
      </c>
      <c r="N129" s="4">
        <v>264</v>
      </c>
      <c r="O129" s="4">
        <v>264</v>
      </c>
      <c r="P129" s="4">
        <v>0</v>
      </c>
      <c r="Q129" s="4">
        <v>264</v>
      </c>
      <c r="R129" s="4">
        <v>1</v>
      </c>
      <c r="S129" s="55">
        <v>264</v>
      </c>
      <c r="T129" s="5"/>
      <c r="U129" s="71">
        <v>264</v>
      </c>
      <c r="V129" s="6"/>
    </row>
    <row r="130" spans="1:22" x14ac:dyDescent="0.25">
      <c r="A130" s="1">
        <v>46242.32500055556</v>
      </c>
      <c r="B130" s="2" t="s">
        <v>50</v>
      </c>
      <c r="C130" s="3">
        <v>46242</v>
      </c>
      <c r="D130" s="2" t="s">
        <v>214</v>
      </c>
      <c r="E130" s="2" t="s">
        <v>19</v>
      </c>
      <c r="F130" t="str">
        <f>CONCATENATE(Table7[[#This Row],[MPG Code]],Table7[[#This Row],[Farmer code]])</f>
        <v>105300840065</v>
      </c>
      <c r="G130" s="9">
        <v>10530084</v>
      </c>
      <c r="H130" s="57" t="s">
        <v>230</v>
      </c>
      <c r="I130" s="7" t="s">
        <v>61</v>
      </c>
      <c r="J130" s="8" t="s">
        <v>62</v>
      </c>
      <c r="K130" s="7" t="s">
        <v>24</v>
      </c>
      <c r="L130" s="2" t="s">
        <v>24</v>
      </c>
      <c r="M130" s="4">
        <v>0</v>
      </c>
      <c r="N130" s="4">
        <v>7</v>
      </c>
      <c r="O130" s="4">
        <v>0</v>
      </c>
      <c r="P130" s="4">
        <v>0.4</v>
      </c>
      <c r="Q130" s="4">
        <v>0.4</v>
      </c>
      <c r="R130" s="4">
        <v>0</v>
      </c>
      <c r="S130" s="55">
        <v>0.4</v>
      </c>
      <c r="T130" s="5"/>
      <c r="U130" s="71">
        <v>0</v>
      </c>
      <c r="V130" s="6"/>
    </row>
    <row r="131" spans="1:22" x14ac:dyDescent="0.25">
      <c r="A131" s="1">
        <v>46242.355458402773</v>
      </c>
      <c r="B131" s="2" t="s">
        <v>87</v>
      </c>
      <c r="C131" s="3">
        <v>46242</v>
      </c>
      <c r="D131" s="2" t="s">
        <v>214</v>
      </c>
      <c r="E131" s="2" t="s">
        <v>27</v>
      </c>
      <c r="F131" t="str">
        <f>CONCATENATE(Table7[[#This Row],[MPG Code]],Table7[[#This Row],[Farmer code]])</f>
        <v>101300730002</v>
      </c>
      <c r="G131" s="9">
        <v>10130073</v>
      </c>
      <c r="H131" s="57" t="s">
        <v>230</v>
      </c>
      <c r="I131" s="7" t="s">
        <v>158</v>
      </c>
      <c r="J131" s="8" t="s">
        <v>22</v>
      </c>
      <c r="K131" s="7" t="s">
        <v>88</v>
      </c>
      <c r="L131" s="2" t="s">
        <v>21</v>
      </c>
      <c r="M131" s="4">
        <v>4</v>
      </c>
      <c r="N131" s="4">
        <v>1550</v>
      </c>
      <c r="O131" s="4">
        <v>6200</v>
      </c>
      <c r="P131" s="4">
        <v>0</v>
      </c>
      <c r="Q131" s="4">
        <v>6200</v>
      </c>
      <c r="R131" s="4">
        <v>4</v>
      </c>
      <c r="S131" s="55">
        <v>6200</v>
      </c>
      <c r="T131" s="5"/>
      <c r="U131" s="71">
        <v>4448</v>
      </c>
      <c r="V131" s="6"/>
    </row>
    <row r="132" spans="1:22" x14ac:dyDescent="0.25">
      <c r="A132" s="1">
        <v>46242.357021053242</v>
      </c>
      <c r="B132" s="2" t="s">
        <v>87</v>
      </c>
      <c r="C132" s="3">
        <v>46242</v>
      </c>
      <c r="D132" s="2" t="s">
        <v>214</v>
      </c>
      <c r="E132" s="2" t="s">
        <v>82</v>
      </c>
      <c r="F132" t="str">
        <f>CONCATENATE(Table7[[#This Row],[MPG Code]],Table7[[#This Row],[Farmer code]])</f>
        <v>101300470009</v>
      </c>
      <c r="G132" s="9">
        <v>10130047</v>
      </c>
      <c r="H132" s="57" t="s">
        <v>230</v>
      </c>
      <c r="I132" s="7" t="s">
        <v>207</v>
      </c>
      <c r="J132" s="8" t="s">
        <v>45</v>
      </c>
      <c r="K132" s="7" t="s">
        <v>88</v>
      </c>
      <c r="L132" s="2" t="s">
        <v>21</v>
      </c>
      <c r="M132" s="4">
        <v>1</v>
      </c>
      <c r="N132" s="4">
        <v>286</v>
      </c>
      <c r="O132" s="4">
        <v>286</v>
      </c>
      <c r="P132" s="4">
        <v>0</v>
      </c>
      <c r="Q132" s="4">
        <v>286</v>
      </c>
      <c r="R132" s="4">
        <v>1</v>
      </c>
      <c r="S132" s="55">
        <v>286</v>
      </c>
      <c r="T132" s="5"/>
      <c r="U132" s="71">
        <v>286</v>
      </c>
      <c r="V132" s="6"/>
    </row>
    <row r="133" spans="1:22" x14ac:dyDescent="0.25">
      <c r="A133" s="1">
        <v>46242.358525115742</v>
      </c>
      <c r="B133" s="2" t="s">
        <v>87</v>
      </c>
      <c r="C133" s="3">
        <v>46242</v>
      </c>
      <c r="D133" s="2" t="s">
        <v>214</v>
      </c>
      <c r="E133" s="2" t="s">
        <v>27</v>
      </c>
      <c r="F133" t="str">
        <f>CONCATENATE(Table7[[#This Row],[MPG Code]],Table7[[#This Row],[Farmer code]])</f>
        <v>101300060000</v>
      </c>
      <c r="G133" s="9">
        <v>10130006</v>
      </c>
      <c r="H133" s="57" t="s">
        <v>230</v>
      </c>
      <c r="I133" s="7" t="s">
        <v>168</v>
      </c>
      <c r="J133" s="8" t="s">
        <v>208</v>
      </c>
      <c r="K133" s="7" t="s">
        <v>88</v>
      </c>
      <c r="L133" s="2" t="s">
        <v>21</v>
      </c>
      <c r="M133" s="4">
        <v>0</v>
      </c>
      <c r="N133" s="4">
        <v>1550</v>
      </c>
      <c r="O133" s="4">
        <v>0</v>
      </c>
      <c r="P133" s="4">
        <v>728</v>
      </c>
      <c r="Q133" s="4">
        <v>728</v>
      </c>
      <c r="R133" s="4">
        <v>0</v>
      </c>
      <c r="S133" s="55">
        <v>728</v>
      </c>
      <c r="T133" s="5"/>
      <c r="U133" s="71">
        <v>0</v>
      </c>
      <c r="V133" s="6"/>
    </row>
    <row r="134" spans="1:22" x14ac:dyDescent="0.25">
      <c r="A134" s="1">
        <v>46242.382750173609</v>
      </c>
      <c r="B134" s="2" t="s">
        <v>116</v>
      </c>
      <c r="C134" s="3">
        <v>46242</v>
      </c>
      <c r="D134" s="2" t="s">
        <v>214</v>
      </c>
      <c r="E134" s="2" t="s">
        <v>30</v>
      </c>
      <c r="F134" t="str">
        <f>CONCATENATE(Table7[[#This Row],[MPG Code]],Table7[[#This Row],[Farmer code]])</f>
        <v>101101230007</v>
      </c>
      <c r="G134" s="9">
        <v>10110123</v>
      </c>
      <c r="H134" s="57" t="s">
        <v>230</v>
      </c>
      <c r="I134" s="7" t="s">
        <v>137</v>
      </c>
      <c r="J134" s="8" t="s">
        <v>25</v>
      </c>
      <c r="K134" s="7" t="s">
        <v>106</v>
      </c>
      <c r="L134" s="2" t="s">
        <v>21</v>
      </c>
      <c r="M134" s="4">
        <v>2</v>
      </c>
      <c r="N134" s="4">
        <v>1400</v>
      </c>
      <c r="O134" s="4">
        <v>2800</v>
      </c>
      <c r="P134" s="4">
        <v>0</v>
      </c>
      <c r="Q134" s="4">
        <v>2800</v>
      </c>
      <c r="R134" s="4">
        <v>2</v>
      </c>
      <c r="S134" s="55">
        <v>2800</v>
      </c>
      <c r="T134" s="5"/>
      <c r="U134" s="71">
        <v>2800</v>
      </c>
      <c r="V134" s="6"/>
    </row>
    <row r="135" spans="1:22" x14ac:dyDescent="0.25">
      <c r="A135" s="1">
        <v>46242.383319131943</v>
      </c>
      <c r="B135" s="2" t="s">
        <v>116</v>
      </c>
      <c r="C135" s="3">
        <v>46242</v>
      </c>
      <c r="D135" s="2" t="s">
        <v>214</v>
      </c>
      <c r="E135" s="2" t="s">
        <v>30</v>
      </c>
      <c r="F135" t="str">
        <f>CONCATENATE(Table7[[#This Row],[MPG Code]],Table7[[#This Row],[Farmer code]])</f>
        <v>101101230011</v>
      </c>
      <c r="G135" s="9">
        <v>10110123</v>
      </c>
      <c r="H135" s="57" t="s">
        <v>230</v>
      </c>
      <c r="I135" s="7" t="s">
        <v>137</v>
      </c>
      <c r="J135" s="8" t="s">
        <v>138</v>
      </c>
      <c r="K135" s="7" t="s">
        <v>106</v>
      </c>
      <c r="L135" s="2" t="s">
        <v>21</v>
      </c>
      <c r="M135" s="4">
        <v>1</v>
      </c>
      <c r="N135" s="4">
        <v>1400</v>
      </c>
      <c r="O135" s="4">
        <v>1400</v>
      </c>
      <c r="P135" s="4">
        <v>0</v>
      </c>
      <c r="Q135" s="4">
        <v>1400</v>
      </c>
      <c r="R135" s="4">
        <v>1</v>
      </c>
      <c r="S135" s="55">
        <v>1400</v>
      </c>
      <c r="T135" s="5"/>
      <c r="U135" s="71">
        <v>1400</v>
      </c>
      <c r="V135" s="6"/>
    </row>
    <row r="136" spans="1:22" x14ac:dyDescent="0.25">
      <c r="A136" s="1">
        <v>46242.383693946758</v>
      </c>
      <c r="B136" s="2" t="s">
        <v>116</v>
      </c>
      <c r="C136" s="3">
        <v>46242</v>
      </c>
      <c r="D136" s="2" t="s">
        <v>214</v>
      </c>
      <c r="E136" s="2" t="s">
        <v>30</v>
      </c>
      <c r="F136" t="str">
        <f>CONCATENATE(Table7[[#This Row],[MPG Code]],Table7[[#This Row],[Farmer code]])</f>
        <v>101101230006</v>
      </c>
      <c r="G136" s="9">
        <v>10110123</v>
      </c>
      <c r="H136" s="57" t="s">
        <v>230</v>
      </c>
      <c r="I136" s="7" t="s">
        <v>137</v>
      </c>
      <c r="J136" s="8" t="s">
        <v>78</v>
      </c>
      <c r="K136" s="7" t="s">
        <v>106</v>
      </c>
      <c r="L136" s="2" t="s">
        <v>21</v>
      </c>
      <c r="M136" s="4">
        <v>1</v>
      </c>
      <c r="N136" s="4">
        <v>1400</v>
      </c>
      <c r="O136" s="4">
        <v>1400</v>
      </c>
      <c r="P136" s="4">
        <v>0</v>
      </c>
      <c r="Q136" s="4">
        <v>1400</v>
      </c>
      <c r="R136" s="4">
        <v>1</v>
      </c>
      <c r="S136" s="55">
        <v>1400</v>
      </c>
      <c r="T136" s="5"/>
      <c r="U136" s="71">
        <v>1400</v>
      </c>
      <c r="V136" s="6"/>
    </row>
    <row r="137" spans="1:22" x14ac:dyDescent="0.25">
      <c r="A137" s="26"/>
      <c r="B137" s="19" t="s">
        <v>218</v>
      </c>
      <c r="C137" s="19"/>
      <c r="D137" s="2" t="s">
        <v>214</v>
      </c>
      <c r="E137" s="19" t="s">
        <v>33</v>
      </c>
      <c r="F137" t="str">
        <f>CONCATENATE(Table7[[#This Row],[MPG Code]],Table7[[#This Row],[Farmer code]])</f>
        <v>101401730003</v>
      </c>
      <c r="G137" s="19">
        <v>10140173</v>
      </c>
      <c r="H137" s="29" t="s">
        <v>230</v>
      </c>
      <c r="I137" s="19" t="s">
        <v>108</v>
      </c>
      <c r="J137" s="33" t="s">
        <v>34</v>
      </c>
      <c r="K137" s="19" t="s">
        <v>132</v>
      </c>
      <c r="L137" s="2" t="s">
        <v>21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55">
        <f>1330*5</f>
        <v>6650</v>
      </c>
      <c r="T137" s="19"/>
      <c r="U137" s="72">
        <v>6650</v>
      </c>
      <c r="V137" s="27"/>
    </row>
    <row r="138" spans="1:22" x14ac:dyDescent="0.25">
      <c r="A138" s="26"/>
      <c r="B138" s="19" t="s">
        <v>218</v>
      </c>
      <c r="C138" s="19"/>
      <c r="D138" s="2" t="s">
        <v>214</v>
      </c>
      <c r="E138" s="19" t="s">
        <v>33</v>
      </c>
      <c r="F138" t="str">
        <f>CONCATENATE(Table7[[#This Row],[MPG Code]],Table7[[#This Row],[Farmer code]])</f>
        <v>101401800002</v>
      </c>
      <c r="G138" s="19">
        <v>10140180</v>
      </c>
      <c r="H138" s="29" t="s">
        <v>230</v>
      </c>
      <c r="I138" s="19" t="s">
        <v>209</v>
      </c>
      <c r="J138" s="33" t="s">
        <v>22</v>
      </c>
      <c r="K138" s="19" t="s">
        <v>132</v>
      </c>
      <c r="L138" s="2" t="s">
        <v>21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55">
        <f>999.38-709</f>
        <v>290.38</v>
      </c>
      <c r="T138" s="19"/>
      <c r="U138" s="72">
        <v>290.38</v>
      </c>
      <c r="V138" s="27"/>
    </row>
    <row r="139" spans="1:22" x14ac:dyDescent="0.25">
      <c r="A139" s="26"/>
      <c r="B139" s="19" t="s">
        <v>218</v>
      </c>
      <c r="C139" s="19"/>
      <c r="D139" s="2" t="s">
        <v>214</v>
      </c>
      <c r="E139" s="19" t="s">
        <v>33</v>
      </c>
      <c r="F139" t="str">
        <f>CONCATENATE(Table7[[#This Row],[MPG Code]],Table7[[#This Row],[Farmer code]])</f>
        <v>101401800003</v>
      </c>
      <c r="G139" s="19">
        <v>10140180</v>
      </c>
      <c r="H139" s="29" t="s">
        <v>230</v>
      </c>
      <c r="I139" s="19" t="s">
        <v>209</v>
      </c>
      <c r="J139" s="33" t="s">
        <v>34</v>
      </c>
      <c r="K139" s="19" t="s">
        <v>132</v>
      </c>
      <c r="L139" s="2" t="s">
        <v>21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55">
        <v>854.23</v>
      </c>
      <c r="T139" s="19"/>
      <c r="U139" s="72">
        <v>854.23</v>
      </c>
      <c r="V139" s="27"/>
    </row>
    <row r="140" spans="1:22" x14ac:dyDescent="0.25">
      <c r="A140" s="26"/>
      <c r="B140" s="19" t="s">
        <v>218</v>
      </c>
      <c r="C140" s="19"/>
      <c r="D140" s="2" t="s">
        <v>214</v>
      </c>
      <c r="E140" s="19" t="s">
        <v>33</v>
      </c>
      <c r="F140" t="str">
        <f>CONCATENATE(Table7[[#This Row],[MPG Code]],Table7[[#This Row],[Farmer code]])</f>
        <v>101401800007</v>
      </c>
      <c r="G140" s="19">
        <v>10140180</v>
      </c>
      <c r="H140" s="29" t="s">
        <v>230</v>
      </c>
      <c r="I140" s="19" t="s">
        <v>209</v>
      </c>
      <c r="J140" s="33" t="s">
        <v>25</v>
      </c>
      <c r="K140" s="19" t="s">
        <v>132</v>
      </c>
      <c r="L140" s="2" t="s">
        <v>21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55">
        <v>1097.5700000000002</v>
      </c>
      <c r="T140" s="19"/>
      <c r="U140" s="72">
        <v>1097.5700000000002</v>
      </c>
      <c r="V140" s="27"/>
    </row>
    <row r="141" spans="1:22" x14ac:dyDescent="0.25">
      <c r="A141" s="26"/>
      <c r="B141" s="19" t="s">
        <v>218</v>
      </c>
      <c r="C141" s="19"/>
      <c r="D141" s="2" t="s">
        <v>214</v>
      </c>
      <c r="E141" s="19" t="s">
        <v>33</v>
      </c>
      <c r="F141" t="str">
        <f>CONCATENATE(Table7[[#This Row],[MPG Code]],Table7[[#This Row],[Farmer code]])</f>
        <v>101401370002</v>
      </c>
      <c r="G141" s="19">
        <v>10140137</v>
      </c>
      <c r="H141" s="29" t="s">
        <v>230</v>
      </c>
      <c r="I141" s="19" t="s">
        <v>210</v>
      </c>
      <c r="J141" s="33" t="s">
        <v>22</v>
      </c>
      <c r="K141" s="19" t="s">
        <v>132</v>
      </c>
      <c r="L141" s="2" t="s">
        <v>21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55">
        <v>2141.54</v>
      </c>
      <c r="T141" s="19"/>
      <c r="U141" s="72">
        <v>795</v>
      </c>
      <c r="V141" s="27"/>
    </row>
    <row r="142" spans="1:22" x14ac:dyDescent="0.25">
      <c r="A142" s="26"/>
      <c r="B142" s="19" t="s">
        <v>218</v>
      </c>
      <c r="C142" s="19"/>
      <c r="D142" s="2" t="s">
        <v>214</v>
      </c>
      <c r="E142" s="19" t="s">
        <v>33</v>
      </c>
      <c r="F142" t="str">
        <f>CONCATENATE(Table7[[#This Row],[MPG Code]],Table7[[#This Row],[Farmer code]])</f>
        <v>101401370004</v>
      </c>
      <c r="G142" s="19">
        <v>10140137</v>
      </c>
      <c r="H142" s="29" t="s">
        <v>230</v>
      </c>
      <c r="I142" s="19" t="s">
        <v>210</v>
      </c>
      <c r="J142" s="33" t="s">
        <v>56</v>
      </c>
      <c r="K142" s="19" t="s">
        <v>132</v>
      </c>
      <c r="L142" s="2" t="s">
        <v>21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55">
        <v>3905.17</v>
      </c>
      <c r="T142" s="19"/>
      <c r="U142" s="72">
        <v>3905.17</v>
      </c>
      <c r="V142" s="27"/>
    </row>
    <row r="143" spans="1:22" x14ac:dyDescent="0.25">
      <c r="A143" s="26"/>
      <c r="B143" s="19" t="s">
        <v>218</v>
      </c>
      <c r="C143" s="19"/>
      <c r="D143" s="2" t="s">
        <v>214</v>
      </c>
      <c r="E143" s="19" t="s">
        <v>33</v>
      </c>
      <c r="F143" t="str">
        <f>CONCATENATE(Table7[[#This Row],[MPG Code]],Table7[[#This Row],[Farmer code]])</f>
        <v>101400110002</v>
      </c>
      <c r="G143" s="19">
        <v>10140011</v>
      </c>
      <c r="H143" s="29" t="s">
        <v>230</v>
      </c>
      <c r="I143" s="19" t="s">
        <v>211</v>
      </c>
      <c r="J143" s="33" t="s">
        <v>22</v>
      </c>
      <c r="K143" s="19" t="s">
        <v>132</v>
      </c>
      <c r="L143" s="2" t="s">
        <v>21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55">
        <f>3*1330</f>
        <v>3990</v>
      </c>
      <c r="T143" s="19"/>
      <c r="U143" s="72">
        <v>3990</v>
      </c>
      <c r="V143" s="27"/>
    </row>
    <row r="144" spans="1:22" x14ac:dyDescent="0.25">
      <c r="A144" s="26"/>
      <c r="B144" s="19" t="s">
        <v>218</v>
      </c>
      <c r="C144" s="19"/>
      <c r="D144" s="2" t="s">
        <v>214</v>
      </c>
      <c r="E144" s="19" t="s">
        <v>33</v>
      </c>
      <c r="F144" t="str">
        <f>CONCATENATE(Table7[[#This Row],[MPG Code]],Table7[[#This Row],[Farmer code]])</f>
        <v>101400010088</v>
      </c>
      <c r="G144" s="19">
        <v>10140001</v>
      </c>
      <c r="H144" s="29" t="s">
        <v>230</v>
      </c>
      <c r="I144" s="19" t="s">
        <v>212</v>
      </c>
      <c r="J144" s="33" t="s">
        <v>213</v>
      </c>
      <c r="K144" s="19" t="s">
        <v>132</v>
      </c>
      <c r="L144" s="2" t="s">
        <v>21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55">
        <f>1330*5</f>
        <v>6650</v>
      </c>
      <c r="T144" s="19"/>
      <c r="U144" s="72">
        <v>6650</v>
      </c>
      <c r="V144" s="27"/>
    </row>
    <row r="145" spans="1:22" x14ac:dyDescent="0.25">
      <c r="A145" s="26"/>
      <c r="B145" s="19" t="s">
        <v>218</v>
      </c>
      <c r="C145" s="19"/>
      <c r="D145" s="2" t="s">
        <v>214</v>
      </c>
      <c r="E145" s="19" t="s">
        <v>33</v>
      </c>
      <c r="F145" t="str">
        <f>CONCATENATE(Table7[[#This Row],[MPG Code]],Table7[[#This Row],[Farmer code]])</f>
        <v>106000040003</v>
      </c>
      <c r="G145" s="19">
        <v>10600004</v>
      </c>
      <c r="H145" s="29" t="s">
        <v>230</v>
      </c>
      <c r="I145" s="19" t="s">
        <v>133</v>
      </c>
      <c r="J145" s="33" t="s">
        <v>34</v>
      </c>
      <c r="K145" s="19" t="s">
        <v>132</v>
      </c>
      <c r="L145" s="2" t="s">
        <v>21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55">
        <v>1330</v>
      </c>
      <c r="T145" s="19"/>
      <c r="U145" s="72">
        <v>1330</v>
      </c>
      <c r="V145" s="27"/>
    </row>
    <row r="146" spans="1:22" x14ac:dyDescent="0.25">
      <c r="A146" s="26"/>
      <c r="B146" s="19" t="s">
        <v>218</v>
      </c>
      <c r="C146" s="19"/>
      <c r="D146" s="2" t="s">
        <v>214</v>
      </c>
      <c r="E146" s="19" t="s">
        <v>33</v>
      </c>
      <c r="F146" t="str">
        <f>CONCATENATE(Table7[[#This Row],[MPG Code]],Table7[[#This Row],[Farmer code]])</f>
        <v>106000050002</v>
      </c>
      <c r="G146" s="19">
        <v>10600005</v>
      </c>
      <c r="H146" s="29" t="s">
        <v>230</v>
      </c>
      <c r="I146" s="19" t="s">
        <v>134</v>
      </c>
      <c r="J146" s="33" t="s">
        <v>22</v>
      </c>
      <c r="K146" s="19" t="s">
        <v>132</v>
      </c>
      <c r="L146" s="2" t="s">
        <v>21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55">
        <v>1330</v>
      </c>
      <c r="T146" s="19"/>
      <c r="U146" s="72">
        <v>1330</v>
      </c>
      <c r="V146" s="27"/>
    </row>
    <row r="147" spans="1:22" x14ac:dyDescent="0.25">
      <c r="A147" s="1">
        <v>46242.418887106483</v>
      </c>
      <c r="B147" s="2" t="s">
        <v>107</v>
      </c>
      <c r="C147" s="3">
        <v>46242</v>
      </c>
      <c r="D147" s="2" t="s">
        <v>214</v>
      </c>
      <c r="E147" s="2" t="s">
        <v>33</v>
      </c>
      <c r="F147" t="str">
        <f>CONCATENATE(Table7[[#This Row],[MPG Code]],Table7[[#This Row],[Farmer code]])</f>
        <v>106600040003</v>
      </c>
      <c r="G147" s="9">
        <v>10660004</v>
      </c>
      <c r="H147" s="57" t="s">
        <v>230</v>
      </c>
      <c r="I147" s="7" t="s">
        <v>173</v>
      </c>
      <c r="J147" s="8" t="s">
        <v>34</v>
      </c>
      <c r="K147" s="7" t="s">
        <v>108</v>
      </c>
      <c r="L147" s="2" t="s">
        <v>21</v>
      </c>
      <c r="M147" s="4">
        <v>0</v>
      </c>
      <c r="N147" s="4">
        <v>0</v>
      </c>
      <c r="O147" s="4">
        <v>0</v>
      </c>
      <c r="P147" s="4">
        <v>1700</v>
      </c>
      <c r="Q147" s="4">
        <v>1700</v>
      </c>
      <c r="R147" s="4">
        <v>0</v>
      </c>
      <c r="S147" s="55">
        <v>1700</v>
      </c>
      <c r="T147" s="5"/>
      <c r="U147" s="71">
        <v>1650</v>
      </c>
      <c r="V147" s="6"/>
    </row>
    <row r="148" spans="1:22" x14ac:dyDescent="0.25">
      <c r="A148" s="1">
        <v>46242.420329953704</v>
      </c>
      <c r="B148" s="2" t="s">
        <v>107</v>
      </c>
      <c r="C148" s="3">
        <v>46242</v>
      </c>
      <c r="D148" s="2" t="s">
        <v>214</v>
      </c>
      <c r="E148" s="2" t="s">
        <v>27</v>
      </c>
      <c r="F148" t="str">
        <f>CONCATENATE(Table7[[#This Row],[MPG Code]],Table7[[#This Row],[Farmer code]])</f>
        <v>106600010002</v>
      </c>
      <c r="G148" s="9">
        <v>10660001</v>
      </c>
      <c r="H148" s="57" t="s">
        <v>230</v>
      </c>
      <c r="I148" s="7" t="s">
        <v>215</v>
      </c>
      <c r="J148" s="8" t="s">
        <v>22</v>
      </c>
      <c r="K148" s="7" t="s">
        <v>108</v>
      </c>
      <c r="L148" s="2" t="s">
        <v>21</v>
      </c>
      <c r="M148" s="4">
        <v>1</v>
      </c>
      <c r="N148" s="4">
        <v>1550</v>
      </c>
      <c r="O148" s="4">
        <v>1550</v>
      </c>
      <c r="P148" s="4">
        <v>0</v>
      </c>
      <c r="Q148" s="4">
        <v>1550</v>
      </c>
      <c r="R148" s="4">
        <v>1</v>
      </c>
      <c r="S148" s="55">
        <v>1550</v>
      </c>
      <c r="T148" s="5"/>
      <c r="U148" s="71">
        <v>1550</v>
      </c>
      <c r="V148" s="6"/>
    </row>
    <row r="149" spans="1:22" x14ac:dyDescent="0.25">
      <c r="A149" s="1">
        <v>46242.421601504626</v>
      </c>
      <c r="B149" s="2" t="s">
        <v>92</v>
      </c>
      <c r="C149" s="3">
        <v>46242</v>
      </c>
      <c r="D149" s="2" t="s">
        <v>214</v>
      </c>
      <c r="E149" s="2" t="s">
        <v>33</v>
      </c>
      <c r="F149" t="str">
        <f>CONCATENATE(Table7[[#This Row],[MPG Code]],Table7[[#This Row],[Farmer code]])</f>
        <v>105400500002</v>
      </c>
      <c r="G149" s="9">
        <v>10540050</v>
      </c>
      <c r="H149" s="57" t="s">
        <v>230</v>
      </c>
      <c r="I149" s="7" t="s">
        <v>167</v>
      </c>
      <c r="J149" s="8" t="s">
        <v>22</v>
      </c>
      <c r="K149" s="7" t="s">
        <v>93</v>
      </c>
      <c r="L149" s="2" t="s">
        <v>21</v>
      </c>
      <c r="M149" s="4">
        <v>0</v>
      </c>
      <c r="N149" s="4">
        <v>0</v>
      </c>
      <c r="O149" s="4">
        <v>0</v>
      </c>
      <c r="P149" s="4">
        <v>3064</v>
      </c>
      <c r="Q149" s="4">
        <v>3064</v>
      </c>
      <c r="R149" s="4">
        <v>0</v>
      </c>
      <c r="S149" s="55">
        <v>3064</v>
      </c>
      <c r="T149" s="5"/>
      <c r="U149" s="71">
        <v>3064</v>
      </c>
      <c r="V149" s="6"/>
    </row>
    <row r="150" spans="1:22" x14ac:dyDescent="0.25">
      <c r="A150" s="1">
        <v>46242.421730752314</v>
      </c>
      <c r="B150" s="2" t="s">
        <v>107</v>
      </c>
      <c r="C150" s="3">
        <v>46242</v>
      </c>
      <c r="D150" s="2" t="s">
        <v>214</v>
      </c>
      <c r="E150" s="2" t="s">
        <v>27</v>
      </c>
      <c r="F150" t="str">
        <f>CONCATENATE(Table7[[#This Row],[MPG Code]],Table7[[#This Row],[Farmer code]])</f>
        <v>106600010004</v>
      </c>
      <c r="G150" s="9">
        <v>10660001</v>
      </c>
      <c r="H150" s="57" t="s">
        <v>230</v>
      </c>
      <c r="I150" s="7" t="s">
        <v>215</v>
      </c>
      <c r="J150" s="8" t="s">
        <v>56</v>
      </c>
      <c r="K150" s="7" t="s">
        <v>108</v>
      </c>
      <c r="L150" s="2" t="s">
        <v>21</v>
      </c>
      <c r="M150" s="4">
        <v>1</v>
      </c>
      <c r="N150" s="4">
        <v>1550</v>
      </c>
      <c r="O150" s="4">
        <v>1550</v>
      </c>
      <c r="P150" s="4">
        <v>0</v>
      </c>
      <c r="Q150" s="4">
        <v>1550</v>
      </c>
      <c r="R150" s="4">
        <v>1</v>
      </c>
      <c r="S150" s="55">
        <v>1550</v>
      </c>
      <c r="T150" s="5"/>
      <c r="U150" s="71">
        <v>1550</v>
      </c>
      <c r="V150" s="6"/>
    </row>
    <row r="151" spans="1:22" x14ac:dyDescent="0.25">
      <c r="A151" s="1">
        <v>46242.42185564815</v>
      </c>
      <c r="B151" s="2" t="s">
        <v>92</v>
      </c>
      <c r="C151" s="3">
        <v>46242</v>
      </c>
      <c r="D151" s="2" t="s">
        <v>214</v>
      </c>
      <c r="E151" s="2" t="s">
        <v>33</v>
      </c>
      <c r="F151" t="str">
        <f>CONCATENATE(Table7[[#This Row],[MPG Code]],Table7[[#This Row],[Farmer code]])</f>
        <v>105400080010</v>
      </c>
      <c r="G151" s="9">
        <v>10540008</v>
      </c>
      <c r="H151" s="57" t="s">
        <v>230</v>
      </c>
      <c r="I151" s="7" t="s">
        <v>115</v>
      </c>
      <c r="J151" s="8" t="s">
        <v>53</v>
      </c>
      <c r="K151" s="7" t="s">
        <v>93</v>
      </c>
      <c r="L151" s="2" t="s">
        <v>21</v>
      </c>
      <c r="M151" s="4">
        <v>0</v>
      </c>
      <c r="N151" s="4">
        <v>0</v>
      </c>
      <c r="O151" s="4">
        <v>0</v>
      </c>
      <c r="P151" s="4">
        <v>1289</v>
      </c>
      <c r="Q151" s="4">
        <v>1289</v>
      </c>
      <c r="R151" s="4">
        <v>0</v>
      </c>
      <c r="S151" s="55">
        <v>1289</v>
      </c>
      <c r="T151" s="5"/>
      <c r="U151" s="71">
        <v>1018</v>
      </c>
      <c r="V151" s="6"/>
    </row>
    <row r="152" spans="1:22" x14ac:dyDescent="0.25">
      <c r="A152" s="1">
        <v>46242.422030324073</v>
      </c>
      <c r="B152" s="2" t="s">
        <v>107</v>
      </c>
      <c r="C152" s="3">
        <v>46242</v>
      </c>
      <c r="D152" s="2" t="s">
        <v>214</v>
      </c>
      <c r="E152" s="2" t="s">
        <v>27</v>
      </c>
      <c r="F152" t="str">
        <f>CONCATENATE(Table7[[#This Row],[MPG Code]],Table7[[#This Row],[Farmer code]])</f>
        <v>106600010017</v>
      </c>
      <c r="G152" s="9">
        <v>10660001</v>
      </c>
      <c r="H152" s="57" t="s">
        <v>230</v>
      </c>
      <c r="I152" s="7" t="s">
        <v>215</v>
      </c>
      <c r="J152" s="8" t="s">
        <v>55</v>
      </c>
      <c r="K152" s="7" t="s">
        <v>108</v>
      </c>
      <c r="L152" s="2" t="s">
        <v>21</v>
      </c>
      <c r="M152" s="4">
        <v>1</v>
      </c>
      <c r="N152" s="4">
        <v>1550</v>
      </c>
      <c r="O152" s="4">
        <v>1550</v>
      </c>
      <c r="P152" s="4">
        <v>0</v>
      </c>
      <c r="Q152" s="4">
        <v>1550</v>
      </c>
      <c r="R152" s="4">
        <v>1</v>
      </c>
      <c r="S152" s="55">
        <v>1550</v>
      </c>
      <c r="T152" s="5"/>
      <c r="U152" s="71">
        <v>615</v>
      </c>
      <c r="V152" s="6"/>
    </row>
    <row r="153" spans="1:22" x14ac:dyDescent="0.25">
      <c r="A153" s="1">
        <v>46242.422074756949</v>
      </c>
      <c r="B153" s="2" t="s">
        <v>92</v>
      </c>
      <c r="C153" s="3">
        <v>46242</v>
      </c>
      <c r="D153" s="2" t="s">
        <v>214</v>
      </c>
      <c r="E153" s="2" t="s">
        <v>33</v>
      </c>
      <c r="F153" t="str">
        <f>CONCATENATE(Table7[[#This Row],[MPG Code]],Table7[[#This Row],[Farmer code]])</f>
        <v>101101440002</v>
      </c>
      <c r="G153" s="9">
        <v>10110144</v>
      </c>
      <c r="H153" s="57" t="s">
        <v>230</v>
      </c>
      <c r="I153" s="7" t="s">
        <v>135</v>
      </c>
      <c r="J153" s="8" t="s">
        <v>22</v>
      </c>
      <c r="K153" s="7" t="s">
        <v>93</v>
      </c>
      <c r="L153" s="2" t="s">
        <v>21</v>
      </c>
      <c r="M153" s="4">
        <v>0</v>
      </c>
      <c r="N153" s="4">
        <v>0</v>
      </c>
      <c r="O153" s="4">
        <v>0</v>
      </c>
      <c r="P153" s="4">
        <v>3149</v>
      </c>
      <c r="Q153" s="4">
        <v>3149</v>
      </c>
      <c r="R153" s="4">
        <v>0</v>
      </c>
      <c r="S153" s="55">
        <v>3149</v>
      </c>
      <c r="T153" s="5"/>
      <c r="U153" s="71">
        <v>3149</v>
      </c>
      <c r="V153" s="6"/>
    </row>
    <row r="154" spans="1:22" x14ac:dyDescent="0.25">
      <c r="A154" s="1">
        <v>46242.422334247683</v>
      </c>
      <c r="B154" s="2" t="s">
        <v>107</v>
      </c>
      <c r="C154" s="3">
        <v>46242</v>
      </c>
      <c r="D154" s="2" t="s">
        <v>214</v>
      </c>
      <c r="E154" s="2" t="s">
        <v>27</v>
      </c>
      <c r="F154" t="str">
        <f>CONCATENATE(Table7[[#This Row],[MPG Code]],Table7[[#This Row],[Farmer code]])</f>
        <v>106600010012</v>
      </c>
      <c r="G154" s="9">
        <v>10660001</v>
      </c>
      <c r="H154" s="57" t="s">
        <v>230</v>
      </c>
      <c r="I154" s="7" t="s">
        <v>215</v>
      </c>
      <c r="J154" s="8" t="s">
        <v>156</v>
      </c>
      <c r="K154" s="7" t="s">
        <v>108</v>
      </c>
      <c r="L154" s="2" t="s">
        <v>21</v>
      </c>
      <c r="M154" s="4">
        <v>1</v>
      </c>
      <c r="N154" s="4">
        <v>1550</v>
      </c>
      <c r="O154" s="4">
        <v>1550</v>
      </c>
      <c r="P154" s="4">
        <v>0</v>
      </c>
      <c r="Q154" s="4">
        <v>1550</v>
      </c>
      <c r="R154" s="4">
        <v>1</v>
      </c>
      <c r="S154" s="55">
        <v>1550</v>
      </c>
      <c r="T154" s="5"/>
      <c r="U154" s="71">
        <v>1550</v>
      </c>
      <c r="V154" s="6"/>
    </row>
    <row r="155" spans="1:22" x14ac:dyDescent="0.25">
      <c r="A155" s="11">
        <v>46242.42234917824</v>
      </c>
      <c r="B155" s="12" t="s">
        <v>92</v>
      </c>
      <c r="C155" s="13">
        <v>46242</v>
      </c>
      <c r="D155" s="2" t="s">
        <v>214</v>
      </c>
      <c r="E155" s="12" t="s">
        <v>33</v>
      </c>
      <c r="F155" t="str">
        <f>CONCATENATE(Table7[[#This Row],[MPG Code]],Table7[[#This Row],[Farmer code]])</f>
        <v>105400430002</v>
      </c>
      <c r="G155" s="14">
        <v>10540043</v>
      </c>
      <c r="H155" s="58" t="s">
        <v>230</v>
      </c>
      <c r="I155" s="15" t="s">
        <v>190</v>
      </c>
      <c r="J155" s="32" t="s">
        <v>22</v>
      </c>
      <c r="K155" s="15" t="s">
        <v>93</v>
      </c>
      <c r="L155" s="12" t="s">
        <v>21</v>
      </c>
      <c r="M155" s="16">
        <v>0</v>
      </c>
      <c r="N155" s="16">
        <v>0</v>
      </c>
      <c r="O155" s="16">
        <v>0</v>
      </c>
      <c r="P155" s="16">
        <v>9573</v>
      </c>
      <c r="Q155" s="16">
        <v>9573</v>
      </c>
      <c r="R155" s="16">
        <v>0</v>
      </c>
      <c r="S155" s="55">
        <v>9573</v>
      </c>
      <c r="T155" s="17"/>
      <c r="U155" s="73">
        <v>6111</v>
      </c>
      <c r="V155" s="18"/>
    </row>
    <row r="156" spans="1:22" x14ac:dyDescent="0.25">
      <c r="A156" s="1">
        <v>46242.436201990742</v>
      </c>
      <c r="B156" s="2" t="s">
        <v>107</v>
      </c>
      <c r="C156" s="3">
        <v>46242</v>
      </c>
      <c r="D156" s="2" t="s">
        <v>214</v>
      </c>
      <c r="E156" s="2" t="s">
        <v>65</v>
      </c>
      <c r="F156" t="str">
        <f>CONCATENATE(Table7[[#This Row],[MPG Code]],Table7[[#This Row],[Farmer code]])</f>
        <v>106600020002</v>
      </c>
      <c r="G156" s="9">
        <v>10660002</v>
      </c>
      <c r="H156" s="57" t="s">
        <v>230</v>
      </c>
      <c r="I156" s="7" t="s">
        <v>109</v>
      </c>
      <c r="J156" s="8" t="s">
        <v>22</v>
      </c>
      <c r="K156" s="7" t="s">
        <v>108</v>
      </c>
      <c r="L156" s="12" t="s">
        <v>21</v>
      </c>
      <c r="M156" s="4">
        <v>10</v>
      </c>
      <c r="N156" s="4">
        <v>259</v>
      </c>
      <c r="O156" s="4">
        <v>2590</v>
      </c>
      <c r="P156" s="4">
        <v>0</v>
      </c>
      <c r="Q156" s="4">
        <v>2590</v>
      </c>
      <c r="R156" s="4">
        <v>10</v>
      </c>
      <c r="S156" s="55">
        <v>2590</v>
      </c>
      <c r="T156" s="5"/>
      <c r="U156" s="71">
        <v>2590</v>
      </c>
      <c r="V156" s="6"/>
    </row>
    <row r="157" spans="1:22" x14ac:dyDescent="0.25">
      <c r="A157" s="1">
        <v>46242.438676238424</v>
      </c>
      <c r="B157" s="2" t="s">
        <v>107</v>
      </c>
      <c r="C157" s="3">
        <v>46242</v>
      </c>
      <c r="D157" s="2" t="s">
        <v>214</v>
      </c>
      <c r="E157" s="2" t="s">
        <v>65</v>
      </c>
      <c r="F157" t="str">
        <f>CONCATENATE(Table7[[#This Row],[MPG Code]],Table7[[#This Row],[Farmer code]])</f>
        <v>106600280002</v>
      </c>
      <c r="G157" s="9">
        <v>10660028</v>
      </c>
      <c r="H157" s="57" t="s">
        <v>230</v>
      </c>
      <c r="I157" s="7" t="s">
        <v>171</v>
      </c>
      <c r="J157" s="8" t="s">
        <v>22</v>
      </c>
      <c r="K157" s="7" t="s">
        <v>108</v>
      </c>
      <c r="L157" s="12" t="s">
        <v>21</v>
      </c>
      <c r="M157" s="4">
        <v>10</v>
      </c>
      <c r="N157" s="4">
        <v>259</v>
      </c>
      <c r="O157" s="4">
        <v>2590</v>
      </c>
      <c r="P157" s="4">
        <v>0</v>
      </c>
      <c r="Q157" s="4">
        <v>2590</v>
      </c>
      <c r="R157" s="4">
        <v>10</v>
      </c>
      <c r="S157" s="55">
        <v>2590</v>
      </c>
      <c r="T157" s="5"/>
      <c r="U157" s="71">
        <v>2590</v>
      </c>
      <c r="V157" s="6"/>
    </row>
    <row r="158" spans="1:22" x14ac:dyDescent="0.25">
      <c r="A158" s="36">
        <v>46242.475648148145</v>
      </c>
      <c r="B158" s="38" t="s">
        <v>185</v>
      </c>
      <c r="C158" s="40">
        <v>46242</v>
      </c>
      <c r="D158" s="2" t="s">
        <v>214</v>
      </c>
      <c r="E158" s="38" t="s">
        <v>19</v>
      </c>
      <c r="F158" t="str">
        <f>CONCATENATE(Table7[[#This Row],[MPG Code]],Table7[[#This Row],[Farmer code]])</f>
        <v>100600270150</v>
      </c>
      <c r="G158" s="44">
        <v>10060027</v>
      </c>
      <c r="H158" s="59" t="s">
        <v>230</v>
      </c>
      <c r="I158" s="46" t="s">
        <v>219</v>
      </c>
      <c r="J158" s="48" t="s">
        <v>225</v>
      </c>
      <c r="K158" s="46" t="s">
        <v>159</v>
      </c>
      <c r="L158" s="56" t="s">
        <v>21</v>
      </c>
      <c r="M158" s="50">
        <v>66.7</v>
      </c>
      <c r="N158" s="50">
        <v>7.5</v>
      </c>
      <c r="O158" s="50">
        <v>500.25</v>
      </c>
      <c r="P158" s="50">
        <v>0</v>
      </c>
      <c r="Q158" s="50">
        <v>500.25</v>
      </c>
      <c r="R158" s="50">
        <v>66.7</v>
      </c>
      <c r="S158" s="55">
        <v>500.25</v>
      </c>
      <c r="T158" s="42"/>
      <c r="U158" s="74">
        <v>500.25</v>
      </c>
      <c r="V158" s="52"/>
    </row>
    <row r="159" spans="1:22" x14ac:dyDescent="0.25">
      <c r="A159" s="37">
        <v>46242.476087962961</v>
      </c>
      <c r="B159" s="39" t="s">
        <v>185</v>
      </c>
      <c r="C159" s="41">
        <v>46242</v>
      </c>
      <c r="D159" s="2" t="s">
        <v>214</v>
      </c>
      <c r="E159" s="39" t="s">
        <v>19</v>
      </c>
      <c r="F159" t="str">
        <f>CONCATENATE(Table7[[#This Row],[MPG Code]],Table7[[#This Row],[Farmer code]])</f>
        <v>100600270080</v>
      </c>
      <c r="G159" s="45">
        <v>10060027</v>
      </c>
      <c r="H159" s="60" t="s">
        <v>230</v>
      </c>
      <c r="I159" s="47" t="s">
        <v>219</v>
      </c>
      <c r="J159" s="49" t="s">
        <v>74</v>
      </c>
      <c r="K159" s="47" t="s">
        <v>159</v>
      </c>
      <c r="L159" s="54" t="s">
        <v>21</v>
      </c>
      <c r="M159" s="51">
        <v>48</v>
      </c>
      <c r="N159" s="51">
        <v>7.5</v>
      </c>
      <c r="O159" s="51">
        <v>360</v>
      </c>
      <c r="P159" s="51">
        <v>0</v>
      </c>
      <c r="Q159" s="51">
        <v>360</v>
      </c>
      <c r="R159" s="51">
        <v>48</v>
      </c>
      <c r="S159" s="55">
        <v>360</v>
      </c>
      <c r="T159" s="43"/>
      <c r="U159" s="75">
        <v>360</v>
      </c>
      <c r="V159" s="53"/>
    </row>
    <row r="160" spans="1:22" x14ac:dyDescent="0.25">
      <c r="A160" s="36">
        <v>46242.476631944446</v>
      </c>
      <c r="B160" s="38" t="s">
        <v>185</v>
      </c>
      <c r="C160" s="40">
        <v>46242</v>
      </c>
      <c r="D160" s="2" t="s">
        <v>214</v>
      </c>
      <c r="E160" s="38" t="s">
        <v>19</v>
      </c>
      <c r="F160" t="str">
        <f>CONCATENATE(Table7[[#This Row],[MPG Code]],Table7[[#This Row],[Farmer code]])</f>
        <v>100600270294</v>
      </c>
      <c r="G160" s="44">
        <v>10060027</v>
      </c>
      <c r="H160" s="59" t="s">
        <v>230</v>
      </c>
      <c r="I160" s="46" t="s">
        <v>219</v>
      </c>
      <c r="J160" s="48" t="s">
        <v>226</v>
      </c>
      <c r="K160" s="46" t="s">
        <v>159</v>
      </c>
      <c r="L160" s="56" t="s">
        <v>21</v>
      </c>
      <c r="M160" s="50">
        <v>118</v>
      </c>
      <c r="N160" s="50">
        <v>7.5</v>
      </c>
      <c r="O160" s="50">
        <v>885</v>
      </c>
      <c r="P160" s="50">
        <v>0</v>
      </c>
      <c r="Q160" s="50">
        <v>885</v>
      </c>
      <c r="R160" s="50">
        <v>118</v>
      </c>
      <c r="S160" s="55">
        <v>885</v>
      </c>
      <c r="T160" s="42"/>
      <c r="U160" s="74">
        <v>749</v>
      </c>
      <c r="V160" s="52"/>
    </row>
    <row r="161" spans="1:25" x14ac:dyDescent="0.25">
      <c r="A161" s="37">
        <v>46242.477037037039</v>
      </c>
      <c r="B161" s="39" t="s">
        <v>185</v>
      </c>
      <c r="C161" s="41">
        <v>46242</v>
      </c>
      <c r="D161" s="2" t="s">
        <v>214</v>
      </c>
      <c r="E161" s="39" t="s">
        <v>19</v>
      </c>
      <c r="F161" t="str">
        <f>CONCATENATE(Table7[[#This Row],[MPG Code]],Table7[[#This Row],[Farmer code]])</f>
        <v>100600270306</v>
      </c>
      <c r="G161" s="45">
        <v>10060027</v>
      </c>
      <c r="H161" s="60" t="s">
        <v>230</v>
      </c>
      <c r="I161" s="47" t="s">
        <v>219</v>
      </c>
      <c r="J161" s="49" t="s">
        <v>227</v>
      </c>
      <c r="K161" s="47" t="s">
        <v>159</v>
      </c>
      <c r="L161" s="54" t="s">
        <v>21</v>
      </c>
      <c r="M161" s="51">
        <v>46.2</v>
      </c>
      <c r="N161" s="51">
        <v>7.5</v>
      </c>
      <c r="O161" s="51">
        <v>346.5</v>
      </c>
      <c r="P161" s="51">
        <v>0</v>
      </c>
      <c r="Q161" s="51">
        <v>346.5</v>
      </c>
      <c r="R161" s="51">
        <v>46.2</v>
      </c>
      <c r="S161" s="55">
        <v>346.5</v>
      </c>
      <c r="T161" s="43"/>
      <c r="U161" s="75">
        <v>346.5</v>
      </c>
      <c r="V161" s="53"/>
    </row>
    <row r="162" spans="1:25" x14ac:dyDescent="0.25">
      <c r="A162" s="37">
        <v>46242.477488425924</v>
      </c>
      <c r="B162" s="39" t="s">
        <v>185</v>
      </c>
      <c r="C162" s="41">
        <v>46242</v>
      </c>
      <c r="D162" s="2" t="s">
        <v>214</v>
      </c>
      <c r="E162" s="39" t="s">
        <v>19</v>
      </c>
      <c r="F162" t="str">
        <f>CONCATENATE(Table7[[#This Row],[MPG Code]],Table7[[#This Row],[Farmer code]])</f>
        <v>100600270012</v>
      </c>
      <c r="G162" s="45">
        <v>10060027</v>
      </c>
      <c r="H162" s="60" t="s">
        <v>230</v>
      </c>
      <c r="I162" s="47" t="s">
        <v>219</v>
      </c>
      <c r="J162" s="49" t="s">
        <v>156</v>
      </c>
      <c r="K162" s="47" t="s">
        <v>159</v>
      </c>
      <c r="L162" s="54" t="s">
        <v>21</v>
      </c>
      <c r="M162" s="51">
        <v>41.3</v>
      </c>
      <c r="N162" s="51">
        <v>7.5</v>
      </c>
      <c r="O162" s="51">
        <v>309.75</v>
      </c>
      <c r="P162" s="51">
        <v>0</v>
      </c>
      <c r="Q162" s="51">
        <v>309.75</v>
      </c>
      <c r="R162" s="51">
        <v>41.3</v>
      </c>
      <c r="S162" s="55">
        <v>309.75</v>
      </c>
      <c r="T162" s="43"/>
      <c r="U162" s="75">
        <v>212</v>
      </c>
      <c r="V162" s="53"/>
    </row>
    <row r="163" spans="1:25" x14ac:dyDescent="0.25">
      <c r="A163" s="36">
        <v>46242.477962962963</v>
      </c>
      <c r="B163" s="38" t="s">
        <v>185</v>
      </c>
      <c r="C163" s="40">
        <v>46242</v>
      </c>
      <c r="D163" s="2" t="s">
        <v>214</v>
      </c>
      <c r="E163" s="38" t="s">
        <v>19</v>
      </c>
      <c r="F163" t="str">
        <f>CONCATENATE(Table7[[#This Row],[MPG Code]],Table7[[#This Row],[Farmer code]])</f>
        <v>100600270282</v>
      </c>
      <c r="G163" s="44">
        <v>10060027</v>
      </c>
      <c r="H163" s="59" t="s">
        <v>230</v>
      </c>
      <c r="I163" s="46" t="s">
        <v>219</v>
      </c>
      <c r="J163" s="48" t="s">
        <v>228</v>
      </c>
      <c r="K163" s="46" t="s">
        <v>159</v>
      </c>
      <c r="L163" s="56" t="s">
        <v>21</v>
      </c>
      <c r="M163" s="50">
        <v>480</v>
      </c>
      <c r="N163" s="50">
        <v>7.5</v>
      </c>
      <c r="O163" s="50">
        <v>3600</v>
      </c>
      <c r="P163" s="50">
        <v>0</v>
      </c>
      <c r="Q163" s="50">
        <v>3600</v>
      </c>
      <c r="R163" s="50">
        <v>480</v>
      </c>
      <c r="S163" s="55">
        <v>3600</v>
      </c>
      <c r="T163" s="42"/>
      <c r="U163" s="74">
        <v>3600</v>
      </c>
      <c r="V163" s="52"/>
    </row>
    <row r="164" spans="1:25" x14ac:dyDescent="0.25">
      <c r="A164" s="37">
        <v>46242.513425925928</v>
      </c>
      <c r="B164" s="39" t="s">
        <v>220</v>
      </c>
      <c r="C164" s="41">
        <v>46242</v>
      </c>
      <c r="D164" s="2" t="s">
        <v>214</v>
      </c>
      <c r="E164" s="39" t="s">
        <v>19</v>
      </c>
      <c r="F164" t="str">
        <f>CONCATENATE(Table7[[#This Row],[MPG Code]],Table7[[#This Row],[Farmer code]])</f>
        <v>100200270002</v>
      </c>
      <c r="G164" s="45">
        <v>10020027</v>
      </c>
      <c r="H164" s="60" t="s">
        <v>230</v>
      </c>
      <c r="I164" s="47" t="s">
        <v>221</v>
      </c>
      <c r="J164" s="49" t="s">
        <v>22</v>
      </c>
      <c r="K164" s="47" t="s">
        <v>222</v>
      </c>
      <c r="L164" s="54" t="s">
        <v>21</v>
      </c>
      <c r="M164" s="51">
        <v>547.9</v>
      </c>
      <c r="N164" s="51">
        <v>7</v>
      </c>
      <c r="O164" s="51">
        <v>3835.3</v>
      </c>
      <c r="P164" s="51">
        <v>0</v>
      </c>
      <c r="Q164" s="51">
        <v>3835.3</v>
      </c>
      <c r="R164" s="51">
        <v>547.9</v>
      </c>
      <c r="S164" s="55">
        <v>3835.3</v>
      </c>
      <c r="T164" s="43"/>
      <c r="U164" s="75">
        <v>3835.3</v>
      </c>
      <c r="V164" s="53"/>
    </row>
    <row r="165" spans="1:25" x14ac:dyDescent="0.25">
      <c r="A165" s="11">
        <v>46239.491735937496</v>
      </c>
      <c r="B165" s="2" t="s">
        <v>96</v>
      </c>
      <c r="C165" s="13">
        <v>46239</v>
      </c>
      <c r="D165" s="2" t="s">
        <v>214</v>
      </c>
      <c r="E165" s="2" t="s">
        <v>30</v>
      </c>
      <c r="F165" t="str">
        <f>CONCATENATE(Table7[[#This Row],[MPG Code]],Table7[[#This Row],[Farmer code]])</f>
        <v>101101530002</v>
      </c>
      <c r="G165" s="14">
        <v>10110153</v>
      </c>
      <c r="H165" s="58" t="s">
        <v>231</v>
      </c>
      <c r="I165" s="7" t="s">
        <v>110</v>
      </c>
      <c r="J165" s="8" t="s">
        <v>22</v>
      </c>
      <c r="K165" s="7" t="s">
        <v>97</v>
      </c>
      <c r="L165" s="12" t="s">
        <v>21</v>
      </c>
      <c r="M165" s="4">
        <v>1</v>
      </c>
      <c r="N165" s="4">
        <v>1350</v>
      </c>
      <c r="O165" s="4">
        <v>1350</v>
      </c>
      <c r="P165" s="4">
        <v>0</v>
      </c>
      <c r="Q165" s="4">
        <v>1350</v>
      </c>
      <c r="R165" s="4">
        <v>1</v>
      </c>
      <c r="S165" s="55">
        <v>1350</v>
      </c>
      <c r="T165" s="17"/>
      <c r="U165" s="73">
        <v>1350</v>
      </c>
      <c r="V165" s="18"/>
      <c r="Y165">
        <f>IFERROR(VLOOKUP(Table7[[#This Row],[MPG Code]],Sheet2!Q:T,4,0),0)</f>
        <v>1350</v>
      </c>
    </row>
    <row r="166" spans="1:25" x14ac:dyDescent="0.25">
      <c r="A166" s="1">
        <v>46239.492215266204</v>
      </c>
      <c r="B166" s="2" t="s">
        <v>96</v>
      </c>
      <c r="C166" s="3">
        <v>46239</v>
      </c>
      <c r="D166" s="2" t="s">
        <v>214</v>
      </c>
      <c r="E166" s="2" t="s">
        <v>30</v>
      </c>
      <c r="F166" t="str">
        <f>CONCATENATE(Table7[[#This Row],[MPG Code]],Table7[[#This Row],[Farmer code]])</f>
        <v>101101830002</v>
      </c>
      <c r="G166" s="9">
        <v>10110183</v>
      </c>
      <c r="H166" s="57" t="s">
        <v>231</v>
      </c>
      <c r="I166" s="7" t="s">
        <v>112</v>
      </c>
      <c r="J166" s="8" t="s">
        <v>22</v>
      </c>
      <c r="K166" s="7" t="s">
        <v>97</v>
      </c>
      <c r="L166" s="2" t="s">
        <v>21</v>
      </c>
      <c r="M166" s="4">
        <v>1</v>
      </c>
      <c r="N166" s="4">
        <v>1350</v>
      </c>
      <c r="O166" s="4">
        <v>1350</v>
      </c>
      <c r="P166" s="4">
        <v>0</v>
      </c>
      <c r="Q166" s="4">
        <v>1350</v>
      </c>
      <c r="R166" s="4">
        <v>1</v>
      </c>
      <c r="S166" s="55">
        <v>1350</v>
      </c>
      <c r="T166" s="5"/>
      <c r="U166" s="71">
        <v>1350</v>
      </c>
      <c r="V166" s="6"/>
      <c r="Y166">
        <f>IFERROR(VLOOKUP(Table7[[#This Row],[MPG Code]],Sheet2!Q:T,4,0),0)</f>
        <v>1350</v>
      </c>
    </row>
    <row r="167" spans="1:25" x14ac:dyDescent="0.25">
      <c r="A167" s="1">
        <v>46239.492420613431</v>
      </c>
      <c r="B167" s="2" t="s">
        <v>96</v>
      </c>
      <c r="C167" s="3">
        <v>46239</v>
      </c>
      <c r="D167" s="2" t="s">
        <v>214</v>
      </c>
      <c r="E167" s="2" t="s">
        <v>30</v>
      </c>
      <c r="F167" t="str">
        <f>CONCATENATE(Table7[[#This Row],[MPG Code]],Table7[[#This Row],[Farmer code]])</f>
        <v>101101610002</v>
      </c>
      <c r="G167" s="9">
        <v>10110161</v>
      </c>
      <c r="H167" s="57" t="s">
        <v>231</v>
      </c>
      <c r="I167" s="7" t="s">
        <v>111</v>
      </c>
      <c r="J167" s="8" t="s">
        <v>22</v>
      </c>
      <c r="K167" s="7" t="s">
        <v>97</v>
      </c>
      <c r="L167" s="2" t="s">
        <v>21</v>
      </c>
      <c r="M167" s="4">
        <v>1</v>
      </c>
      <c r="N167" s="4">
        <v>1350</v>
      </c>
      <c r="O167" s="4">
        <v>1350</v>
      </c>
      <c r="P167" s="4">
        <v>0</v>
      </c>
      <c r="Q167" s="4">
        <v>1350</v>
      </c>
      <c r="R167" s="4">
        <v>1</v>
      </c>
      <c r="S167" s="55">
        <v>1350</v>
      </c>
      <c r="T167" s="5"/>
      <c r="U167" s="71">
        <v>1350</v>
      </c>
      <c r="V167" s="6"/>
      <c r="Y167">
        <f>IFERROR(VLOOKUP(Table7[[#This Row],[MPG Code]],Sheet2!Q:T,4,0),0)</f>
        <v>1350</v>
      </c>
    </row>
    <row r="168" spans="1:25" x14ac:dyDescent="0.25">
      <c r="A168" s="1">
        <v>46241.563092060183</v>
      </c>
      <c r="B168" s="2" t="s">
        <v>31</v>
      </c>
      <c r="C168" s="3">
        <v>46241</v>
      </c>
      <c r="D168" s="2" t="s">
        <v>214</v>
      </c>
      <c r="E168" s="2" t="s">
        <v>30</v>
      </c>
      <c r="F168" t="str">
        <f>CONCATENATE(Table7[[#This Row],[MPG Code]],Table7[[#This Row],[Farmer code]])</f>
        <v>101200130002</v>
      </c>
      <c r="G168" s="9">
        <v>10120013</v>
      </c>
      <c r="H168" s="57" t="s">
        <v>231</v>
      </c>
      <c r="I168" s="7" t="s">
        <v>49</v>
      </c>
      <c r="J168" s="8" t="s">
        <v>22</v>
      </c>
      <c r="K168" s="7" t="s">
        <v>32</v>
      </c>
      <c r="L168" s="2" t="s">
        <v>21</v>
      </c>
      <c r="M168" s="4">
        <v>2</v>
      </c>
      <c r="N168" s="4">
        <v>1400</v>
      </c>
      <c r="O168" s="4">
        <v>2800</v>
      </c>
      <c r="P168" s="4">
        <v>0</v>
      </c>
      <c r="Q168" s="4">
        <v>2800</v>
      </c>
      <c r="R168" s="4">
        <v>2</v>
      </c>
      <c r="S168" s="55">
        <v>2800</v>
      </c>
      <c r="T168" s="5"/>
      <c r="U168" s="71">
        <v>2800</v>
      </c>
      <c r="V168" s="6"/>
      <c r="Y168">
        <f>IFERROR(VLOOKUP(Table7[[#This Row],[MPG Code]],Sheet2!Q:T,4,0),0)</f>
        <v>2800</v>
      </c>
    </row>
    <row r="169" spans="1:25" x14ac:dyDescent="0.25">
      <c r="A169" s="1">
        <v>46241.563339837958</v>
      </c>
      <c r="B169" s="2" t="s">
        <v>31</v>
      </c>
      <c r="C169" s="3">
        <v>46241</v>
      </c>
      <c r="D169" s="2" t="s">
        <v>214</v>
      </c>
      <c r="E169" s="2" t="s">
        <v>30</v>
      </c>
      <c r="F169" t="str">
        <f>CONCATENATE(Table7[[#This Row],[MPG Code]],Table7[[#This Row],[Farmer code]])</f>
        <v>101200100002</v>
      </c>
      <c r="G169" s="9">
        <v>10120010</v>
      </c>
      <c r="H169" s="57" t="s">
        <v>231</v>
      </c>
      <c r="I169" s="7" t="s">
        <v>41</v>
      </c>
      <c r="J169" s="8" t="s">
        <v>22</v>
      </c>
      <c r="K169" s="7" t="s">
        <v>32</v>
      </c>
      <c r="L169" s="2" t="s">
        <v>21</v>
      </c>
      <c r="M169" s="4">
        <v>2</v>
      </c>
      <c r="N169" s="4">
        <v>1400</v>
      </c>
      <c r="O169" s="4">
        <v>2800</v>
      </c>
      <c r="P169" s="4">
        <v>0</v>
      </c>
      <c r="Q169" s="4">
        <v>2800</v>
      </c>
      <c r="R169" s="4">
        <v>2</v>
      </c>
      <c r="S169" s="55">
        <v>2800</v>
      </c>
      <c r="T169" s="5"/>
      <c r="U169" s="71">
        <v>2800</v>
      </c>
      <c r="V169" s="6"/>
      <c r="Y169">
        <f>IFERROR(VLOOKUP(Table7[[#This Row],[MPG Code]],Sheet2!Q:T,4,0),0)</f>
        <v>2800</v>
      </c>
    </row>
    <row r="170" spans="1:25" x14ac:dyDescent="0.25">
      <c r="A170" s="1">
        <v>46242.286172002314</v>
      </c>
      <c r="B170" s="2" t="s">
        <v>70</v>
      </c>
      <c r="C170" s="3">
        <v>46242</v>
      </c>
      <c r="D170" s="2" t="s">
        <v>214</v>
      </c>
      <c r="E170" s="2" t="s">
        <v>30</v>
      </c>
      <c r="F170" t="str">
        <f>CONCATENATE(Table7[[#This Row],[MPG Code]],Table7[[#This Row],[Farmer code]])</f>
        <v>105300380038</v>
      </c>
      <c r="G170" s="9">
        <v>10530038</v>
      </c>
      <c r="H170" s="57" t="s">
        <v>231</v>
      </c>
      <c r="I170" s="7" t="s">
        <v>149</v>
      </c>
      <c r="J170" s="8" t="s">
        <v>39</v>
      </c>
      <c r="K170" s="7" t="s">
        <v>24</v>
      </c>
      <c r="L170" s="2" t="s">
        <v>21</v>
      </c>
      <c r="M170" s="4">
        <v>1</v>
      </c>
      <c r="N170" s="4">
        <v>1400</v>
      </c>
      <c r="O170" s="4">
        <v>1400</v>
      </c>
      <c r="P170" s="4">
        <v>0</v>
      </c>
      <c r="Q170" s="4">
        <v>1400</v>
      </c>
      <c r="R170" s="4">
        <v>1</v>
      </c>
      <c r="S170" s="55">
        <v>1400</v>
      </c>
      <c r="T170" s="5"/>
      <c r="U170" s="71">
        <v>1400</v>
      </c>
      <c r="V170" s="6"/>
      <c r="Y170">
        <f>IFERROR(VLOOKUP(Table7[[#This Row],[MPG Code]],Sheet2!Q:T,4,0),0)</f>
        <v>1400</v>
      </c>
    </row>
    <row r="171" spans="1:25" x14ac:dyDescent="0.25">
      <c r="A171" s="1">
        <v>46242.302205868051</v>
      </c>
      <c r="B171" s="2" t="s">
        <v>42</v>
      </c>
      <c r="C171" s="3">
        <v>46242</v>
      </c>
      <c r="D171" s="2" t="s">
        <v>214</v>
      </c>
      <c r="E171" s="2" t="s">
        <v>102</v>
      </c>
      <c r="F171" t="str">
        <f>CONCATENATE(Table7[[#This Row],[MPG Code]],Table7[[#This Row],[Farmer code]])</f>
        <v>101200220002</v>
      </c>
      <c r="G171" s="9">
        <v>10120022</v>
      </c>
      <c r="H171" s="57" t="s">
        <v>231</v>
      </c>
      <c r="I171" s="7" t="s">
        <v>144</v>
      </c>
      <c r="J171" s="8" t="s">
        <v>22</v>
      </c>
      <c r="K171" s="7" t="s">
        <v>32</v>
      </c>
      <c r="L171" s="2" t="s">
        <v>21</v>
      </c>
      <c r="M171" s="4">
        <v>0</v>
      </c>
      <c r="N171" s="4">
        <v>3960</v>
      </c>
      <c r="O171" s="4">
        <v>0</v>
      </c>
      <c r="P171" s="4">
        <v>640</v>
      </c>
      <c r="Q171" s="4">
        <v>640</v>
      </c>
      <c r="R171" s="4">
        <v>0</v>
      </c>
      <c r="S171" s="55">
        <v>640</v>
      </c>
      <c r="T171" s="5"/>
      <c r="U171" s="71">
        <v>640</v>
      </c>
      <c r="V171" s="10" t="s">
        <v>199</v>
      </c>
      <c r="X171" s="77">
        <f>Table7[[#This Row],[Final Amount]]-Table7[[#This Row],[Deduction]]</f>
        <v>0</v>
      </c>
      <c r="Y171">
        <f>IFERROR(VLOOKUP(Table7[[#This Row],[MPG Code]],Sheet2!Q:T,4,0),0)</f>
        <v>640</v>
      </c>
    </row>
    <row r="172" spans="1:25" x14ac:dyDescent="0.25">
      <c r="A172" s="1">
        <v>46242.305979942132</v>
      </c>
      <c r="B172" s="2" t="s">
        <v>42</v>
      </c>
      <c r="C172" s="3">
        <v>46242</v>
      </c>
      <c r="D172" s="2" t="s">
        <v>214</v>
      </c>
      <c r="E172" s="2" t="s">
        <v>27</v>
      </c>
      <c r="F172" t="str">
        <f>CONCATENATE(Table7[[#This Row],[MPG Code]],Table7[[#This Row],[Farmer code]])</f>
        <v>101200490002</v>
      </c>
      <c r="G172" s="9">
        <v>10120049</v>
      </c>
      <c r="H172" s="57" t="s">
        <v>231</v>
      </c>
      <c r="I172" s="7" t="s">
        <v>104</v>
      </c>
      <c r="J172" s="8" t="s">
        <v>22</v>
      </c>
      <c r="K172" s="7" t="s">
        <v>32</v>
      </c>
      <c r="L172" s="2" t="s">
        <v>21</v>
      </c>
      <c r="M172" s="4">
        <v>2</v>
      </c>
      <c r="N172" s="4">
        <v>1550</v>
      </c>
      <c r="O172" s="4">
        <v>3100</v>
      </c>
      <c r="P172" s="4">
        <v>0</v>
      </c>
      <c r="Q172" s="4">
        <v>3100</v>
      </c>
      <c r="R172" s="4">
        <v>2</v>
      </c>
      <c r="S172" s="55">
        <v>3100</v>
      </c>
      <c r="T172" s="5"/>
      <c r="U172" s="71">
        <v>3100</v>
      </c>
      <c r="V172" s="10" t="s">
        <v>202</v>
      </c>
      <c r="X172" s="77">
        <f>Table7[[#This Row],[Final Amount]]-Table7[[#This Row],[Deduction]]</f>
        <v>0</v>
      </c>
      <c r="Y172">
        <f>IFERROR(VLOOKUP(Table7[[#This Row],[MPG Code]],Sheet2!Q:T,4,0),0)</f>
        <v>3100</v>
      </c>
    </row>
    <row r="173" spans="1:25" x14ac:dyDescent="0.25">
      <c r="A173" s="1">
        <v>46242.315744733802</v>
      </c>
      <c r="B173" s="2" t="s">
        <v>50</v>
      </c>
      <c r="C173" s="3">
        <v>46242</v>
      </c>
      <c r="D173" s="2" t="s">
        <v>214</v>
      </c>
      <c r="E173" s="2" t="s">
        <v>30</v>
      </c>
      <c r="F173" t="str">
        <f>CONCATENATE(Table7[[#This Row],[MPG Code]],Table7[[#This Row],[Farmer code]])</f>
        <v>105300150002</v>
      </c>
      <c r="G173" s="9">
        <v>10530015</v>
      </c>
      <c r="H173" s="57" t="s">
        <v>231</v>
      </c>
      <c r="I173" s="7" t="s">
        <v>143</v>
      </c>
      <c r="J173" s="8" t="s">
        <v>22</v>
      </c>
      <c r="K173" s="7" t="s">
        <v>24</v>
      </c>
      <c r="L173" s="2" t="s">
        <v>24</v>
      </c>
      <c r="M173" s="4">
        <v>2</v>
      </c>
      <c r="N173" s="4">
        <v>1400</v>
      </c>
      <c r="O173" s="4">
        <v>2800</v>
      </c>
      <c r="P173" s="4">
        <v>0</v>
      </c>
      <c r="Q173" s="4">
        <v>2800</v>
      </c>
      <c r="R173" s="4">
        <v>2</v>
      </c>
      <c r="S173" s="55">
        <v>2800</v>
      </c>
      <c r="T173" s="5"/>
      <c r="U173" s="71">
        <v>2800</v>
      </c>
      <c r="V173" s="6"/>
      <c r="Y173">
        <f>IFERROR(VLOOKUP(Table7[[#This Row],[MPG Code]],Sheet2!Q:T,4,0),0)</f>
        <v>2800</v>
      </c>
    </row>
    <row r="174" spans="1:25" x14ac:dyDescent="0.25">
      <c r="A174" s="1">
        <v>46242.316400289354</v>
      </c>
      <c r="B174" s="2" t="s">
        <v>50</v>
      </c>
      <c r="C174" s="3">
        <v>46242</v>
      </c>
      <c r="D174" s="2" t="s">
        <v>214</v>
      </c>
      <c r="E174" s="2" t="s">
        <v>27</v>
      </c>
      <c r="F174" t="str">
        <f>CONCATENATE(Table7[[#This Row],[MPG Code]],Table7[[#This Row],[Farmer code]])</f>
        <v>105301170002</v>
      </c>
      <c r="G174" s="9">
        <v>10530117</v>
      </c>
      <c r="H174" s="57" t="s">
        <v>231</v>
      </c>
      <c r="I174" s="7" t="s">
        <v>191</v>
      </c>
      <c r="J174" s="8" t="s">
        <v>22</v>
      </c>
      <c r="K174" s="7" t="s">
        <v>24</v>
      </c>
      <c r="L174" s="2" t="s">
        <v>24</v>
      </c>
      <c r="M174" s="4">
        <v>15</v>
      </c>
      <c r="N174" s="4">
        <v>1550</v>
      </c>
      <c r="O174" s="4">
        <v>23250</v>
      </c>
      <c r="P174" s="4">
        <v>0</v>
      </c>
      <c r="Q174" s="4">
        <v>23250</v>
      </c>
      <c r="R174" s="4">
        <v>15</v>
      </c>
      <c r="S174" s="55">
        <v>23250</v>
      </c>
      <c r="T174" s="5"/>
      <c r="U174" s="71">
        <v>23250</v>
      </c>
      <c r="V174" s="6"/>
      <c r="Y174">
        <v>23250</v>
      </c>
    </row>
    <row r="175" spans="1:25" x14ac:dyDescent="0.25">
      <c r="A175" s="1">
        <v>46242.316597314813</v>
      </c>
      <c r="B175" s="2" t="s">
        <v>50</v>
      </c>
      <c r="C175" s="3">
        <v>46242</v>
      </c>
      <c r="D175" s="2" t="s">
        <v>214</v>
      </c>
      <c r="E175" s="2" t="s">
        <v>27</v>
      </c>
      <c r="F175" t="str">
        <f>CONCATENATE(Table7[[#This Row],[MPG Code]],Table7[[#This Row],[Farmer code]])</f>
        <v>105300310002</v>
      </c>
      <c r="G175" s="9">
        <v>10530031</v>
      </c>
      <c r="H175" s="57" t="s">
        <v>231</v>
      </c>
      <c r="I175" s="7" t="s">
        <v>150</v>
      </c>
      <c r="J175" s="8" t="s">
        <v>22</v>
      </c>
      <c r="K175" s="7" t="s">
        <v>24</v>
      </c>
      <c r="L175" s="2" t="s">
        <v>24</v>
      </c>
      <c r="M175" s="4">
        <v>1</v>
      </c>
      <c r="N175" s="4">
        <v>1550</v>
      </c>
      <c r="O175" s="4">
        <v>1550</v>
      </c>
      <c r="P175" s="4">
        <v>0</v>
      </c>
      <c r="Q175" s="4">
        <v>1550</v>
      </c>
      <c r="R175" s="4">
        <v>1</v>
      </c>
      <c r="S175" s="55">
        <v>1550</v>
      </c>
      <c r="T175" s="5"/>
      <c r="U175" s="71">
        <v>1550</v>
      </c>
      <c r="V175" s="6"/>
      <c r="Y175">
        <f>IFERROR(VLOOKUP(Table7[[#This Row],[MPG Code]],Sheet2!Q:T,4,0),0)</f>
        <v>1550</v>
      </c>
    </row>
    <row r="176" spans="1:25" x14ac:dyDescent="0.25">
      <c r="A176" s="1">
        <v>46242.317736643519</v>
      </c>
      <c r="B176" s="2" t="s">
        <v>42</v>
      </c>
      <c r="C176" s="3">
        <v>46242</v>
      </c>
      <c r="D176" s="2" t="s">
        <v>214</v>
      </c>
      <c r="E176" s="2" t="s">
        <v>27</v>
      </c>
      <c r="F176" t="str">
        <f>CONCATENATE(Table7[[#This Row],[MPG Code]],Table7[[#This Row],[Farmer code]])</f>
        <v>101200110002</v>
      </c>
      <c r="G176" s="9">
        <v>10120011</v>
      </c>
      <c r="H176" s="57" t="s">
        <v>231</v>
      </c>
      <c r="I176" s="7" t="s">
        <v>151</v>
      </c>
      <c r="J176" s="8" t="s">
        <v>22</v>
      </c>
      <c r="K176" s="7" t="s">
        <v>32</v>
      </c>
      <c r="L176" s="2" t="s">
        <v>21</v>
      </c>
      <c r="M176" s="4">
        <v>3</v>
      </c>
      <c r="N176" s="4">
        <v>1550</v>
      </c>
      <c r="O176" s="4">
        <v>4650</v>
      </c>
      <c r="P176" s="4">
        <v>0</v>
      </c>
      <c r="Q176" s="4">
        <v>4650</v>
      </c>
      <c r="R176" s="4">
        <v>3</v>
      </c>
      <c r="S176" s="55">
        <v>4650</v>
      </c>
      <c r="T176" s="5"/>
      <c r="U176" s="71">
        <v>4650</v>
      </c>
      <c r="V176" s="6"/>
      <c r="Y176">
        <f>IFERROR(VLOOKUP(Table7[[#This Row],[MPG Code]],Sheet2!Q:T,4,0),0)</f>
        <v>4650</v>
      </c>
    </row>
    <row r="177" spans="1:25" x14ac:dyDescent="0.25">
      <c r="A177" s="1">
        <v>46242.32413818287</v>
      </c>
      <c r="B177" s="2" t="s">
        <v>50</v>
      </c>
      <c r="C177" s="3">
        <v>46242</v>
      </c>
      <c r="D177" s="2" t="s">
        <v>214</v>
      </c>
      <c r="E177" s="2" t="s">
        <v>122</v>
      </c>
      <c r="F177" t="str">
        <f>CONCATENATE(Table7[[#This Row],[MPG Code]],Table7[[#This Row],[Farmer code]])</f>
        <v>105301170002</v>
      </c>
      <c r="G177" s="9">
        <v>10530117</v>
      </c>
      <c r="H177" s="57" t="s">
        <v>231</v>
      </c>
      <c r="I177" s="7" t="s">
        <v>191</v>
      </c>
      <c r="J177" s="8" t="s">
        <v>22</v>
      </c>
      <c r="K177" s="7" t="s">
        <v>24</v>
      </c>
      <c r="L177" s="2" t="s">
        <v>24</v>
      </c>
      <c r="M177" s="4">
        <v>1</v>
      </c>
      <c r="N177" s="4">
        <v>1125</v>
      </c>
      <c r="O177" s="4">
        <v>1125</v>
      </c>
      <c r="P177" s="4">
        <v>0</v>
      </c>
      <c r="Q177" s="4">
        <v>1125</v>
      </c>
      <c r="R177" s="4">
        <v>1</v>
      </c>
      <c r="S177" s="55">
        <v>1125</v>
      </c>
      <c r="T177" s="5"/>
      <c r="U177" s="71">
        <v>1125</v>
      </c>
      <c r="V177" s="6"/>
      <c r="Y177">
        <v>1125</v>
      </c>
    </row>
    <row r="178" spans="1:25" x14ac:dyDescent="0.25">
      <c r="A178" s="1">
        <v>46242.352591331015</v>
      </c>
      <c r="B178" s="2" t="s">
        <v>87</v>
      </c>
      <c r="C178" s="3">
        <v>46242</v>
      </c>
      <c r="D178" s="2" t="s">
        <v>214</v>
      </c>
      <c r="E178" s="2" t="s">
        <v>30</v>
      </c>
      <c r="F178" t="str">
        <f>CONCATENATE(Table7[[#This Row],[MPG Code]],Table7[[#This Row],[Farmer code]])</f>
        <v>101300180002</v>
      </c>
      <c r="G178" s="9">
        <v>10130018</v>
      </c>
      <c r="H178" s="57" t="s">
        <v>231</v>
      </c>
      <c r="I178" s="7" t="s">
        <v>90</v>
      </c>
      <c r="J178" s="8" t="s">
        <v>22</v>
      </c>
      <c r="K178" s="7" t="s">
        <v>88</v>
      </c>
      <c r="L178" s="2" t="s">
        <v>21</v>
      </c>
      <c r="M178" s="4">
        <v>1</v>
      </c>
      <c r="N178" s="4">
        <v>1400</v>
      </c>
      <c r="O178" s="4">
        <v>1400</v>
      </c>
      <c r="P178" s="4">
        <v>0</v>
      </c>
      <c r="Q178" s="4">
        <v>1400</v>
      </c>
      <c r="R178" s="4">
        <v>1</v>
      </c>
      <c r="S178" s="55">
        <v>1400</v>
      </c>
      <c r="T178" s="5"/>
      <c r="U178" s="71">
        <v>1400</v>
      </c>
      <c r="V178" s="6"/>
      <c r="Y178">
        <f>IFERROR(VLOOKUP(Table7[[#This Row],[MPG Code]],Sheet2!Q:T,4,0),0)</f>
        <v>1400</v>
      </c>
    </row>
    <row r="179" spans="1:25" x14ac:dyDescent="0.25">
      <c r="A179" s="1">
        <v>46242.352821770837</v>
      </c>
      <c r="B179" s="2" t="s">
        <v>87</v>
      </c>
      <c r="C179" s="3">
        <v>46242</v>
      </c>
      <c r="D179" s="2" t="s">
        <v>214</v>
      </c>
      <c r="E179" s="2" t="s">
        <v>30</v>
      </c>
      <c r="F179" t="str">
        <f>CONCATENATE(Table7[[#This Row],[MPG Code]],Table7[[#This Row],[Farmer code]])</f>
        <v>101300810002</v>
      </c>
      <c r="G179" s="9">
        <v>10130081</v>
      </c>
      <c r="H179" s="57" t="s">
        <v>231</v>
      </c>
      <c r="I179" s="7" t="s">
        <v>169</v>
      </c>
      <c r="J179" s="8" t="s">
        <v>22</v>
      </c>
      <c r="K179" s="7" t="s">
        <v>88</v>
      </c>
      <c r="L179" s="2" t="s">
        <v>21</v>
      </c>
      <c r="M179" s="4">
        <v>1</v>
      </c>
      <c r="N179" s="4">
        <v>1400</v>
      </c>
      <c r="O179" s="4">
        <v>1400</v>
      </c>
      <c r="P179" s="4">
        <v>0</v>
      </c>
      <c r="Q179" s="4">
        <v>1400</v>
      </c>
      <c r="R179" s="4">
        <v>1</v>
      </c>
      <c r="S179" s="55">
        <v>1400</v>
      </c>
      <c r="T179" s="5"/>
      <c r="U179" s="71">
        <v>1400</v>
      </c>
      <c r="V179" s="6"/>
      <c r="Y179">
        <f>IFERROR(VLOOKUP(Table7[[#This Row],[MPG Code]],Sheet2!Q:T,4,0),0)</f>
        <v>1400</v>
      </c>
    </row>
    <row r="180" spans="1:25" x14ac:dyDescent="0.25">
      <c r="A180" s="11">
        <v>46242.353490937501</v>
      </c>
      <c r="B180" s="12" t="s">
        <v>87</v>
      </c>
      <c r="C180" s="13">
        <v>46242</v>
      </c>
      <c r="D180" s="2" t="s">
        <v>214</v>
      </c>
      <c r="E180" s="12" t="s">
        <v>30</v>
      </c>
      <c r="F180" t="str">
        <f>CONCATENATE(Table7[[#This Row],[MPG Code]],Table7[[#This Row],[Farmer code]])</f>
        <v>101300050002</v>
      </c>
      <c r="G180" s="14">
        <v>10130005</v>
      </c>
      <c r="H180" s="58" t="s">
        <v>231</v>
      </c>
      <c r="I180" s="15" t="s">
        <v>153</v>
      </c>
      <c r="J180" s="32" t="s">
        <v>22</v>
      </c>
      <c r="K180" s="15" t="s">
        <v>88</v>
      </c>
      <c r="L180" s="12" t="s">
        <v>21</v>
      </c>
      <c r="M180" s="16">
        <v>1</v>
      </c>
      <c r="N180" s="16">
        <v>1400</v>
      </c>
      <c r="O180" s="16">
        <v>1400</v>
      </c>
      <c r="P180" s="16">
        <v>0</v>
      </c>
      <c r="Q180" s="16">
        <v>1400</v>
      </c>
      <c r="R180" s="16">
        <v>1</v>
      </c>
      <c r="S180" s="55">
        <v>1400</v>
      </c>
      <c r="T180" s="17"/>
      <c r="U180" s="73">
        <v>1400</v>
      </c>
      <c r="V180" s="18"/>
      <c r="Y180">
        <f>IFERROR(VLOOKUP(Table7[[#This Row],[MPG Code]],Sheet2!Q:T,4,0),0)</f>
        <v>1400</v>
      </c>
    </row>
    <row r="181" spans="1:25" x14ac:dyDescent="0.25">
      <c r="A181" s="1">
        <v>46242.354449930557</v>
      </c>
      <c r="B181" s="2" t="s">
        <v>87</v>
      </c>
      <c r="C181" s="3">
        <v>46242</v>
      </c>
      <c r="D181" s="2" t="s">
        <v>214</v>
      </c>
      <c r="E181" s="2" t="s">
        <v>30</v>
      </c>
      <c r="F181" t="str">
        <f>CONCATENATE(Table7[[#This Row],[MPG Code]],Table7[[#This Row],[Farmer code]])</f>
        <v>101301220002</v>
      </c>
      <c r="G181" s="9">
        <v>10130122</v>
      </c>
      <c r="H181" s="57" t="s">
        <v>231</v>
      </c>
      <c r="I181" s="35" t="s">
        <v>217</v>
      </c>
      <c r="J181" s="8" t="s">
        <v>22</v>
      </c>
      <c r="K181" s="7" t="s">
        <v>88</v>
      </c>
      <c r="L181" s="2" t="s">
        <v>21</v>
      </c>
      <c r="M181" s="4">
        <v>1</v>
      </c>
      <c r="N181" s="4">
        <v>1400</v>
      </c>
      <c r="O181" s="4">
        <v>1400</v>
      </c>
      <c r="P181" s="4">
        <v>0</v>
      </c>
      <c r="Q181" s="4">
        <v>1400</v>
      </c>
      <c r="R181" s="4">
        <v>1</v>
      </c>
      <c r="S181" s="55">
        <v>1400</v>
      </c>
      <c r="T181" s="5"/>
      <c r="U181" s="71">
        <v>1400</v>
      </c>
      <c r="V181" s="6"/>
      <c r="Y181">
        <v>1400</v>
      </c>
    </row>
    <row r="182" spans="1:25" x14ac:dyDescent="0.25">
      <c r="A182" s="1">
        <v>46242.35751347222</v>
      </c>
      <c r="B182" s="2" t="s">
        <v>87</v>
      </c>
      <c r="C182" s="3">
        <v>46242</v>
      </c>
      <c r="D182" s="2" t="s">
        <v>214</v>
      </c>
      <c r="E182" s="2" t="s">
        <v>122</v>
      </c>
      <c r="F182" t="str">
        <f>CONCATENATE(Table7[[#This Row],[MPG Code]],Table7[[#This Row],[Farmer code]])</f>
        <v>101301220002</v>
      </c>
      <c r="G182" s="9">
        <v>10130122</v>
      </c>
      <c r="H182" s="57" t="s">
        <v>231</v>
      </c>
      <c r="I182" s="35" t="s">
        <v>217</v>
      </c>
      <c r="J182" s="8" t="s">
        <v>22</v>
      </c>
      <c r="K182" s="7" t="s">
        <v>88</v>
      </c>
      <c r="L182" s="2" t="s">
        <v>21</v>
      </c>
      <c r="M182" s="4">
        <v>1</v>
      </c>
      <c r="N182" s="4">
        <v>1238</v>
      </c>
      <c r="O182" s="4">
        <v>1238</v>
      </c>
      <c r="P182" s="4">
        <v>0</v>
      </c>
      <c r="Q182" s="4">
        <v>1238</v>
      </c>
      <c r="R182" s="4">
        <v>1</v>
      </c>
      <c r="S182" s="55">
        <v>1238</v>
      </c>
      <c r="T182" s="5"/>
      <c r="U182" s="71">
        <v>1238</v>
      </c>
      <c r="V182" s="6"/>
      <c r="Y182">
        <v>1238</v>
      </c>
    </row>
    <row r="183" spans="1:25" x14ac:dyDescent="0.25">
      <c r="A183" s="1">
        <v>46242.35997380787</v>
      </c>
      <c r="B183" s="2" t="s">
        <v>87</v>
      </c>
      <c r="C183" s="3">
        <v>46242</v>
      </c>
      <c r="D183" s="2" t="s">
        <v>214</v>
      </c>
      <c r="E183" s="2" t="s">
        <v>27</v>
      </c>
      <c r="F183" t="str">
        <f>CONCATENATE(Table7[[#This Row],[MPG Code]],Table7[[#This Row],[Farmer code]])</f>
        <v>101300310002</v>
      </c>
      <c r="G183" s="9">
        <v>10130031</v>
      </c>
      <c r="H183" s="57" t="s">
        <v>231</v>
      </c>
      <c r="I183" s="7" t="s">
        <v>89</v>
      </c>
      <c r="J183" s="8" t="s">
        <v>22</v>
      </c>
      <c r="K183" s="7" t="s">
        <v>88</v>
      </c>
      <c r="L183" s="2" t="s">
        <v>21</v>
      </c>
      <c r="M183" s="4">
        <v>0</v>
      </c>
      <c r="N183" s="4">
        <v>1550</v>
      </c>
      <c r="O183" s="4">
        <v>0</v>
      </c>
      <c r="P183" s="4">
        <v>1669</v>
      </c>
      <c r="Q183" s="4">
        <v>1669</v>
      </c>
      <c r="R183" s="4">
        <v>0</v>
      </c>
      <c r="S183" s="55">
        <v>1669</v>
      </c>
      <c r="T183" s="5"/>
      <c r="U183" s="71">
        <v>1669</v>
      </c>
      <c r="V183" s="6"/>
      <c r="Y183">
        <f>IFERROR(VLOOKUP(Table7[[#This Row],[MPG Code]],Sheet2!Q:T,4,0),0)</f>
        <v>1669</v>
      </c>
    </row>
    <row r="184" spans="1:25" x14ac:dyDescent="0.25">
      <c r="A184" s="1">
        <v>46242.413805798613</v>
      </c>
      <c r="B184" s="2" t="s">
        <v>96</v>
      </c>
      <c r="C184" s="3">
        <v>46242</v>
      </c>
      <c r="D184" s="2" t="s">
        <v>214</v>
      </c>
      <c r="E184" s="2" t="s">
        <v>30</v>
      </c>
      <c r="F184" t="str">
        <f>CONCATENATE(Table7[[#This Row],[MPG Code]],Table7[[#This Row],[Farmer code]])</f>
        <v>101100080002</v>
      </c>
      <c r="G184" s="9">
        <v>10110008</v>
      </c>
      <c r="H184" s="57" t="s">
        <v>231</v>
      </c>
      <c r="I184" s="7" t="s">
        <v>182</v>
      </c>
      <c r="J184" s="8" t="s">
        <v>22</v>
      </c>
      <c r="K184" s="7" t="s">
        <v>97</v>
      </c>
      <c r="L184" s="2" t="s">
        <v>21</v>
      </c>
      <c r="M184" s="4">
        <v>100</v>
      </c>
      <c r="N184" s="4">
        <v>1440</v>
      </c>
      <c r="O184" s="4">
        <v>144000</v>
      </c>
      <c r="P184" s="4">
        <v>0</v>
      </c>
      <c r="Q184" s="4">
        <v>144000</v>
      </c>
      <c r="R184" s="4">
        <v>100</v>
      </c>
      <c r="S184" s="55">
        <v>144000</v>
      </c>
      <c r="T184" s="5"/>
      <c r="U184" s="71">
        <v>144000</v>
      </c>
      <c r="V184" s="6"/>
      <c r="Y184">
        <f>IFERROR(VLOOKUP(Table7[[#This Row],[MPG Code]],Sheet2!Q:T,4,0),0)</f>
        <v>144000</v>
      </c>
    </row>
    <row r="185" spans="1:25" x14ac:dyDescent="0.25">
      <c r="A185" s="1">
        <v>46242.423020694448</v>
      </c>
      <c r="B185" s="2" t="s">
        <v>107</v>
      </c>
      <c r="C185" s="3">
        <v>46242</v>
      </c>
      <c r="D185" s="2" t="s">
        <v>214</v>
      </c>
      <c r="E185" s="2" t="s">
        <v>27</v>
      </c>
      <c r="F185" t="str">
        <f>CONCATENATE(Table7[[#This Row],[MPG Code]],Table7[[#This Row],[Farmer code]])</f>
        <v>105300690069</v>
      </c>
      <c r="G185" s="9">
        <v>10530069</v>
      </c>
      <c r="H185" s="57" t="s">
        <v>231</v>
      </c>
      <c r="I185" s="7" t="s">
        <v>188</v>
      </c>
      <c r="J185" s="8" t="s">
        <v>189</v>
      </c>
      <c r="K185" s="7" t="s">
        <v>24</v>
      </c>
      <c r="L185" s="2" t="s">
        <v>21</v>
      </c>
      <c r="M185" s="4">
        <v>1</v>
      </c>
      <c r="N185" s="4">
        <v>1550</v>
      </c>
      <c r="O185" s="4">
        <v>1550</v>
      </c>
      <c r="P185" s="4">
        <v>0</v>
      </c>
      <c r="Q185" s="4">
        <v>1550</v>
      </c>
      <c r="R185" s="4">
        <v>1</v>
      </c>
      <c r="S185" s="55">
        <v>1550</v>
      </c>
      <c r="T185" s="5"/>
      <c r="U185" s="71">
        <v>1550</v>
      </c>
      <c r="V185" s="6"/>
      <c r="Y185">
        <f>IFERROR(VLOOKUP(Table7[[#This Row],[MPG Code]],Sheet2!Q:T,4,0),0)</f>
        <v>1550</v>
      </c>
    </row>
    <row r="186" spans="1:25" x14ac:dyDescent="0.25">
      <c r="A186" s="1">
        <v>46242.439733842592</v>
      </c>
      <c r="B186" s="2" t="s">
        <v>107</v>
      </c>
      <c r="C186" s="3">
        <v>46242</v>
      </c>
      <c r="D186" s="2" t="s">
        <v>214</v>
      </c>
      <c r="E186" s="2" t="s">
        <v>66</v>
      </c>
      <c r="F186" t="str">
        <f>CONCATENATE(Table7[[#This Row],[MPG Code]],Table7[[#This Row],[Farmer code]])</f>
        <v>106600100010</v>
      </c>
      <c r="G186" s="9">
        <v>10660010</v>
      </c>
      <c r="H186" s="57" t="s">
        <v>231</v>
      </c>
      <c r="I186" s="7" t="s">
        <v>216</v>
      </c>
      <c r="J186" s="8" t="s">
        <v>53</v>
      </c>
      <c r="K186" s="7" t="s">
        <v>108</v>
      </c>
      <c r="L186" s="2" t="s">
        <v>21</v>
      </c>
      <c r="M186" s="4">
        <v>1</v>
      </c>
      <c r="N186" s="4">
        <v>1001</v>
      </c>
      <c r="O186" s="4">
        <v>1001</v>
      </c>
      <c r="P186" s="4">
        <v>0</v>
      </c>
      <c r="Q186" s="4">
        <v>1001</v>
      </c>
      <c r="R186" s="4">
        <v>1</v>
      </c>
      <c r="S186" s="55">
        <v>1001</v>
      </c>
      <c r="T186" s="5"/>
      <c r="U186" s="71">
        <v>1001</v>
      </c>
      <c r="V186" s="6"/>
      <c r="Y186">
        <f>IFERROR(VLOOKUP(Table7[[#This Row],[MPG Code]],Sheet2!Q:T,4,0),0)</f>
        <v>1001</v>
      </c>
    </row>
    <row r="187" spans="1:25" x14ac:dyDescent="0.25">
      <c r="A187" s="36">
        <v>46242.477268518516</v>
      </c>
      <c r="B187" s="38" t="s">
        <v>160</v>
      </c>
      <c r="C187" s="40">
        <v>46242</v>
      </c>
      <c r="D187" s="2" t="s">
        <v>214</v>
      </c>
      <c r="E187" s="38" t="s">
        <v>19</v>
      </c>
      <c r="F187" t="str">
        <f>CONCATENATE(Table7[[#This Row],[MPG Code]],Table7[[#This Row],[Farmer code]])</f>
        <v>100300690002</v>
      </c>
      <c r="G187" s="44">
        <v>10030069</v>
      </c>
      <c r="H187" s="59" t="s">
        <v>231</v>
      </c>
      <c r="I187" s="46" t="s">
        <v>170</v>
      </c>
      <c r="J187" s="48" t="s">
        <v>22</v>
      </c>
      <c r="K187" s="46" t="s">
        <v>161</v>
      </c>
      <c r="L187" s="38" t="s">
        <v>21</v>
      </c>
      <c r="M187" s="50">
        <v>0</v>
      </c>
      <c r="N187" s="50">
        <v>7</v>
      </c>
      <c r="O187" s="50">
        <v>0</v>
      </c>
      <c r="P187" s="50">
        <v>0.5</v>
      </c>
      <c r="Q187" s="50">
        <v>0.5</v>
      </c>
      <c r="R187" s="50">
        <v>0</v>
      </c>
      <c r="S187" s="55">
        <v>0.5</v>
      </c>
      <c r="T187" s="42"/>
      <c r="U187" s="74">
        <v>0.5</v>
      </c>
      <c r="V187" s="52"/>
      <c r="Y187">
        <f>IFERROR(VLOOKUP(Table7[[#This Row],[MPG Code]],Sheet2!Q:T,4,0),0)</f>
        <v>0.5</v>
      </c>
    </row>
    <row r="188" spans="1:25" x14ac:dyDescent="0.25">
      <c r="A188" s="11">
        <v>46242.430744594909</v>
      </c>
      <c r="B188" s="12" t="s">
        <v>107</v>
      </c>
      <c r="C188" s="13">
        <v>46242</v>
      </c>
      <c r="D188" s="2" t="s">
        <v>214</v>
      </c>
      <c r="E188" s="12" t="s">
        <v>30</v>
      </c>
      <c r="F188" t="str">
        <f>CONCATENATE(Table7[[#This Row],[MPG Code]],Table7[[#This Row],[Farmer code]])</f>
        <v>106600940094</v>
      </c>
      <c r="G188" s="14">
        <v>10660094</v>
      </c>
      <c r="H188" s="58"/>
      <c r="I188" s="15" t="s">
        <v>172</v>
      </c>
      <c r="J188" s="32" t="s">
        <v>165</v>
      </c>
      <c r="K188" s="15" t="s">
        <v>108</v>
      </c>
      <c r="L188" s="12" t="s">
        <v>21</v>
      </c>
      <c r="M188" s="16">
        <v>1</v>
      </c>
      <c r="N188" s="16">
        <v>1400</v>
      </c>
      <c r="O188" s="16">
        <v>1400</v>
      </c>
      <c r="P188" s="16">
        <v>0</v>
      </c>
      <c r="Q188" s="16">
        <v>1400</v>
      </c>
      <c r="R188" s="16">
        <v>1</v>
      </c>
      <c r="S188" s="55">
        <v>1400</v>
      </c>
      <c r="T188" s="17"/>
      <c r="U188" s="73">
        <v>0</v>
      </c>
      <c r="V188" s="18"/>
      <c r="Y188">
        <f>IFERROR(VLOOKUP(Table7[[#This Row],[MPG Code]],Sheet2!Q:T,4,0),0)</f>
        <v>0</v>
      </c>
    </row>
    <row r="189" spans="1:25" x14ac:dyDescent="0.25">
      <c r="A189" s="21"/>
      <c r="B189" s="28"/>
      <c r="C189" s="28"/>
      <c r="D189" s="28"/>
      <c r="E189" s="28"/>
      <c r="F189" s="28"/>
      <c r="G189" s="28"/>
      <c r="H189" s="67"/>
      <c r="I189" s="68"/>
      <c r="J189" s="68"/>
      <c r="K189" s="28"/>
      <c r="L189" s="28"/>
      <c r="M189" s="28"/>
      <c r="N189" s="28"/>
      <c r="O189" s="28"/>
      <c r="P189" s="28"/>
      <c r="Q189" s="28"/>
      <c r="R189" s="28"/>
      <c r="S189" s="69">
        <f>SUBTOTAL(109,Table7[Final Amount])</f>
        <v>547294.59</v>
      </c>
      <c r="T189" s="28"/>
      <c r="U189" s="76">
        <f>SUBTOTAL(109,Table7[Deduction])</f>
        <v>520575.29999999993</v>
      </c>
      <c r="V189" s="20"/>
    </row>
    <row r="191" spans="1:25" x14ac:dyDescent="0.25">
      <c r="T191" t="s">
        <v>1199</v>
      </c>
      <c r="U191" s="64">
        <f>Table7[[#Totals],[Deduction]]</f>
        <v>520575.29999999993</v>
      </c>
    </row>
    <row r="192" spans="1:25" x14ac:dyDescent="0.25">
      <c r="T192" t="s">
        <v>1200</v>
      </c>
      <c r="U192" s="126">
        <f>Summary!V991</f>
        <v>90042</v>
      </c>
    </row>
    <row r="193" spans="20:21" ht="15.75" thickBot="1" x14ac:dyDescent="0.3">
      <c r="T193" s="125" t="s">
        <v>1201</v>
      </c>
      <c r="U193" s="125">
        <v>0</v>
      </c>
    </row>
    <row r="194" spans="20:21" ht="15.75" thickTop="1" x14ac:dyDescent="0.25">
      <c r="T194" t="s">
        <v>238</v>
      </c>
      <c r="U194" s="64">
        <f>SUM(U191:U193)</f>
        <v>610617.29999999993</v>
      </c>
    </row>
    <row r="195" spans="20:21" x14ac:dyDescent="0.25">
      <c r="U195" s="64"/>
    </row>
    <row r="196" spans="20:21" x14ac:dyDescent="0.25">
      <c r="T196" t="s">
        <v>1202</v>
      </c>
      <c r="U196">
        <f>Summary!J991</f>
        <v>610617.30000000005</v>
      </c>
    </row>
    <row r="198" spans="20:21" x14ac:dyDescent="0.25">
      <c r="T198" t="s">
        <v>1203</v>
      </c>
      <c r="U198" s="64">
        <f>U196-U194</f>
        <v>0</v>
      </c>
    </row>
  </sheetData>
  <conditionalFormatting sqref="F2:F188">
    <cfRule type="duplicateValues" dxfId="12" priority="1"/>
  </conditionalFormatting>
  <dataValidations count="1">
    <dataValidation type="list" allowBlank="1" sqref="E2:E188" xr:uid="{D59912CC-CB73-43E4-BF7E-60D82EF51090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ECD8-5D8E-41D5-A375-C8D57711286C}">
  <dimension ref="A1:AG991"/>
  <sheetViews>
    <sheetView topLeftCell="A954" zoomScale="83" workbookViewId="0">
      <selection activeCell="G996" sqref="G996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.42578125" bestFit="1" customWidth="1"/>
    <col min="4" max="4" width="34.42578125" customWidth="1"/>
    <col min="5" max="5" width="6" bestFit="1" customWidth="1"/>
    <col min="6" max="6" width="8.85546875" bestFit="1" customWidth="1"/>
    <col min="7" max="7" width="8" bestFit="1" customWidth="1"/>
    <col min="8" max="8" width="9.42578125" bestFit="1" customWidth="1"/>
    <col min="9" max="10" width="10.140625" bestFit="1" customWidth="1"/>
    <col min="11" max="11" width="7.85546875" bestFit="1" customWidth="1"/>
    <col min="12" max="12" width="9" bestFit="1" customWidth="1"/>
    <col min="13" max="13" width="8.140625" bestFit="1" customWidth="1"/>
    <col min="14" max="14" width="9.85546875" bestFit="1" customWidth="1"/>
    <col min="15" max="15" width="8.140625" bestFit="1" customWidth="1"/>
    <col min="16" max="16" width="35.7109375" bestFit="1" customWidth="1"/>
    <col min="17" max="17" width="13" bestFit="1" customWidth="1"/>
    <col min="19" max="19" width="9" bestFit="1" customWidth="1"/>
    <col min="20" max="20" width="7.5703125" bestFit="1" customWidth="1"/>
    <col min="21" max="21" width="12" bestFit="1" customWidth="1"/>
    <col min="22" max="22" width="10.42578125" bestFit="1" customWidth="1"/>
    <col min="23" max="23" width="12" bestFit="1" customWidth="1"/>
    <col min="24" max="24" width="5.85546875" bestFit="1" customWidth="1"/>
    <col min="26" max="26" width="7.5703125" bestFit="1" customWidth="1"/>
    <col min="27" max="27" width="7.7109375" bestFit="1" customWidth="1"/>
    <col min="28" max="28" width="7.42578125" bestFit="1" customWidth="1"/>
    <col min="29" max="29" width="8.140625" bestFit="1" customWidth="1"/>
    <col min="30" max="30" width="8.28515625" bestFit="1" customWidth="1"/>
    <col min="31" max="31" width="9.7109375" bestFit="1" customWidth="1"/>
    <col min="32" max="32" width="8.85546875" bestFit="1" customWidth="1"/>
  </cols>
  <sheetData>
    <row r="1" spans="1:33" s="89" customFormat="1" ht="40.5" customHeight="1" x14ac:dyDescent="0.25">
      <c r="A1" s="78" t="s">
        <v>241</v>
      </c>
      <c r="B1" s="78" t="s">
        <v>242</v>
      </c>
      <c r="C1" s="78" t="s">
        <v>243</v>
      </c>
      <c r="D1" s="79" t="s">
        <v>244</v>
      </c>
      <c r="E1" s="78" t="s">
        <v>229</v>
      </c>
      <c r="F1" s="78" t="s">
        <v>245</v>
      </c>
      <c r="G1" s="80" t="s">
        <v>246</v>
      </c>
      <c r="H1" s="80" t="s">
        <v>247</v>
      </c>
      <c r="I1" s="81" t="s">
        <v>248</v>
      </c>
      <c r="J1" s="81" t="s">
        <v>249</v>
      </c>
      <c r="K1" s="81" t="s">
        <v>250</v>
      </c>
      <c r="L1" s="81" t="s">
        <v>251</v>
      </c>
      <c r="M1" s="78" t="s">
        <v>252</v>
      </c>
      <c r="N1" s="82" t="s">
        <v>253</v>
      </c>
      <c r="O1" s="83" t="s">
        <v>254</v>
      </c>
      <c r="P1" s="83" t="s">
        <v>255</v>
      </c>
      <c r="Q1" s="83" t="s">
        <v>256</v>
      </c>
      <c r="R1" s="84"/>
      <c r="S1" s="85" t="s">
        <v>257</v>
      </c>
      <c r="T1" s="85" t="s">
        <v>258</v>
      </c>
      <c r="U1" s="85" t="s">
        <v>259</v>
      </c>
      <c r="V1" s="85" t="s">
        <v>223</v>
      </c>
      <c r="W1" s="85" t="s">
        <v>260</v>
      </c>
      <c r="X1" s="86" t="s">
        <v>261</v>
      </c>
      <c r="Y1" s="86" t="s">
        <v>262</v>
      </c>
      <c r="Z1" s="86" t="s">
        <v>263</v>
      </c>
      <c r="AA1" s="86" t="s">
        <v>264</v>
      </c>
      <c r="AB1" s="86" t="s">
        <v>238</v>
      </c>
      <c r="AC1" s="86" t="s">
        <v>265</v>
      </c>
      <c r="AD1" s="86" t="s">
        <v>266</v>
      </c>
      <c r="AE1" s="87" t="s">
        <v>267</v>
      </c>
      <c r="AF1" s="88" t="s">
        <v>268</v>
      </c>
    </row>
    <row r="2" spans="1:33" x14ac:dyDescent="0.25">
      <c r="A2" s="90">
        <v>1001</v>
      </c>
      <c r="B2" s="91" t="s">
        <v>1185</v>
      </c>
      <c r="C2" s="29">
        <v>10010013</v>
      </c>
      <c r="D2" s="92" t="s">
        <v>269</v>
      </c>
      <c r="E2" s="93" t="s">
        <v>270</v>
      </c>
      <c r="F2" s="93" t="s">
        <v>230</v>
      </c>
      <c r="G2" s="94">
        <v>372.89999999999992</v>
      </c>
      <c r="H2" s="94">
        <v>14111.21</v>
      </c>
      <c r="I2" s="95">
        <v>0</v>
      </c>
      <c r="J2" s="95">
        <v>0</v>
      </c>
      <c r="K2" s="95">
        <v>0</v>
      </c>
      <c r="L2" s="95">
        <v>0</v>
      </c>
      <c r="M2" s="96">
        <v>18</v>
      </c>
      <c r="N2" s="97">
        <v>0</v>
      </c>
      <c r="O2" s="98">
        <v>0</v>
      </c>
      <c r="P2" s="33"/>
      <c r="Q2" s="99" t="s">
        <v>1198</v>
      </c>
      <c r="R2" s="100"/>
      <c r="S2" s="101">
        <v>1.2529046056291623E-3</v>
      </c>
      <c r="T2" s="102">
        <v>12</v>
      </c>
      <c r="U2" s="103">
        <v>0</v>
      </c>
      <c r="V2" s="103">
        <v>0</v>
      </c>
      <c r="W2" s="104">
        <v>0</v>
      </c>
      <c r="X2" s="19"/>
      <c r="Y2" s="103">
        <v>0</v>
      </c>
      <c r="Z2" s="103">
        <v>0</v>
      </c>
      <c r="AA2" s="105">
        <v>0</v>
      </c>
      <c r="AB2" s="106">
        <v>0</v>
      </c>
      <c r="AC2" s="105">
        <v>0</v>
      </c>
      <c r="AD2" s="104">
        <v>0</v>
      </c>
      <c r="AE2" s="104">
        <v>0</v>
      </c>
      <c r="AF2" s="107">
        <v>46265</v>
      </c>
    </row>
    <row r="3" spans="1:33" x14ac:dyDescent="0.25">
      <c r="A3" s="90">
        <v>1001</v>
      </c>
      <c r="B3" s="91" t="s">
        <v>1185</v>
      </c>
      <c r="C3" s="90">
        <v>10010019</v>
      </c>
      <c r="D3" s="92" t="s">
        <v>271</v>
      </c>
      <c r="E3" s="93" t="s">
        <v>270</v>
      </c>
      <c r="F3" s="93" t="s">
        <v>230</v>
      </c>
      <c r="G3" s="94">
        <v>822.19999999999993</v>
      </c>
      <c r="H3" s="94">
        <v>33186.89</v>
      </c>
      <c r="I3" s="95">
        <v>0</v>
      </c>
      <c r="J3" s="95">
        <v>0</v>
      </c>
      <c r="K3" s="95">
        <v>0</v>
      </c>
      <c r="L3" s="95">
        <v>0</v>
      </c>
      <c r="M3" s="96">
        <v>0</v>
      </c>
      <c r="N3" s="97">
        <v>0</v>
      </c>
      <c r="O3" s="98">
        <v>0</v>
      </c>
      <c r="P3" s="33"/>
      <c r="Q3" s="99" t="s">
        <v>1198</v>
      </c>
      <c r="R3" s="100"/>
      <c r="S3" s="101">
        <v>-6.1379659256999806E-4</v>
      </c>
      <c r="T3" s="102">
        <v>12</v>
      </c>
      <c r="U3" s="103">
        <v>0</v>
      </c>
      <c r="V3" s="103">
        <v>0</v>
      </c>
      <c r="W3" s="104">
        <v>0</v>
      </c>
      <c r="X3" s="19"/>
      <c r="Y3" s="103">
        <v>0</v>
      </c>
      <c r="Z3" s="103">
        <v>0</v>
      </c>
      <c r="AA3" s="105">
        <v>0</v>
      </c>
      <c r="AB3" s="106">
        <v>0</v>
      </c>
      <c r="AC3" s="105">
        <v>0</v>
      </c>
      <c r="AD3" s="104">
        <v>0</v>
      </c>
      <c r="AE3" s="104">
        <v>0</v>
      </c>
      <c r="AF3" s="107">
        <v>46265</v>
      </c>
      <c r="AG3" s="108"/>
    </row>
    <row r="4" spans="1:33" x14ac:dyDescent="0.25">
      <c r="A4" s="90">
        <v>1058</v>
      </c>
      <c r="B4" s="91" t="s">
        <v>1186</v>
      </c>
      <c r="C4" s="29">
        <v>10010038</v>
      </c>
      <c r="D4" s="92" t="s">
        <v>272</v>
      </c>
      <c r="E4" s="93" t="s">
        <v>270</v>
      </c>
      <c r="F4" s="93" t="s">
        <v>230</v>
      </c>
      <c r="G4" s="109">
        <v>763.02</v>
      </c>
      <c r="H4" s="109">
        <v>31772.25</v>
      </c>
      <c r="I4" s="95">
        <v>0</v>
      </c>
      <c r="J4" s="95">
        <v>0</v>
      </c>
      <c r="K4" s="95">
        <v>0</v>
      </c>
      <c r="L4" s="95">
        <v>0</v>
      </c>
      <c r="M4" s="96">
        <v>0</v>
      </c>
      <c r="N4" s="97">
        <v>0</v>
      </c>
      <c r="O4" s="98">
        <v>0</v>
      </c>
      <c r="P4" s="33"/>
      <c r="Q4" s="99" t="s">
        <v>1198</v>
      </c>
      <c r="R4" s="100"/>
      <c r="S4" s="101">
        <v>-2.1811486438639551E-3</v>
      </c>
      <c r="T4" s="102">
        <v>7</v>
      </c>
      <c r="U4" s="103">
        <v>0</v>
      </c>
      <c r="V4" s="103">
        <v>0</v>
      </c>
      <c r="W4" s="104">
        <v>0</v>
      </c>
      <c r="X4" s="19"/>
      <c r="Y4" s="103">
        <v>0</v>
      </c>
      <c r="Z4" s="103">
        <v>0</v>
      </c>
      <c r="AA4" s="105">
        <v>0</v>
      </c>
      <c r="AB4" s="106">
        <v>0</v>
      </c>
      <c r="AC4" s="105">
        <v>0</v>
      </c>
      <c r="AD4" s="104">
        <v>0</v>
      </c>
      <c r="AE4" s="104">
        <v>0</v>
      </c>
      <c r="AF4" s="107">
        <v>46265</v>
      </c>
      <c r="AG4" s="108"/>
    </row>
    <row r="5" spans="1:33" x14ac:dyDescent="0.25">
      <c r="A5" s="90">
        <v>1058</v>
      </c>
      <c r="B5" s="91" t="s">
        <v>1186</v>
      </c>
      <c r="C5" s="29">
        <v>10010044</v>
      </c>
      <c r="D5" s="92" t="s">
        <v>273</v>
      </c>
      <c r="E5" s="93" t="s">
        <v>270</v>
      </c>
      <c r="F5" s="93" t="s">
        <v>230</v>
      </c>
      <c r="G5" s="109">
        <v>255.44</v>
      </c>
      <c r="H5" s="109">
        <v>10525.36</v>
      </c>
      <c r="I5" s="95">
        <v>0</v>
      </c>
      <c r="J5" s="95">
        <v>0</v>
      </c>
      <c r="K5" s="95">
        <v>0</v>
      </c>
      <c r="L5" s="95">
        <v>0</v>
      </c>
      <c r="M5" s="96">
        <v>32</v>
      </c>
      <c r="N5" s="97">
        <v>0</v>
      </c>
      <c r="O5" s="98">
        <v>0</v>
      </c>
      <c r="P5" s="33"/>
      <c r="Q5" s="99" t="s">
        <v>1198</v>
      </c>
      <c r="R5" s="100"/>
      <c r="S5" s="101">
        <v>3.0507270060122012E-3</v>
      </c>
      <c r="T5" s="102">
        <v>1</v>
      </c>
      <c r="U5" s="103">
        <v>0</v>
      </c>
      <c r="V5" s="103">
        <v>0</v>
      </c>
      <c r="W5" s="104">
        <v>0</v>
      </c>
      <c r="X5" s="19"/>
      <c r="Y5" s="103">
        <v>0</v>
      </c>
      <c r="Z5" s="103">
        <v>0</v>
      </c>
      <c r="AA5" s="105">
        <v>0</v>
      </c>
      <c r="AB5" s="106">
        <v>0</v>
      </c>
      <c r="AC5" s="105">
        <v>0</v>
      </c>
      <c r="AD5" s="104">
        <v>0</v>
      </c>
      <c r="AE5" s="104">
        <v>0</v>
      </c>
      <c r="AF5" s="107">
        <v>46265</v>
      </c>
    </row>
    <row r="6" spans="1:33" x14ac:dyDescent="0.25">
      <c r="A6" s="90">
        <v>1001</v>
      </c>
      <c r="B6" s="91" t="s">
        <v>1185</v>
      </c>
      <c r="C6" s="29">
        <v>10010047</v>
      </c>
      <c r="D6" s="92" t="s">
        <v>274</v>
      </c>
      <c r="E6" s="93" t="s">
        <v>275</v>
      </c>
      <c r="F6" s="93" t="s">
        <v>231</v>
      </c>
      <c r="G6" s="109">
        <v>28.13</v>
      </c>
      <c r="H6" s="109">
        <v>1106.6300000000001</v>
      </c>
      <c r="I6" s="95">
        <v>0</v>
      </c>
      <c r="J6" s="95">
        <v>0</v>
      </c>
      <c r="K6" s="95">
        <v>0</v>
      </c>
      <c r="L6" s="95">
        <v>0</v>
      </c>
      <c r="M6" s="96">
        <v>0</v>
      </c>
      <c r="N6" s="97">
        <v>0</v>
      </c>
      <c r="O6" s="98">
        <v>0</v>
      </c>
      <c r="P6" s="33"/>
      <c r="Q6" s="99" t="s">
        <v>1198</v>
      </c>
      <c r="R6" s="100"/>
      <c r="S6" s="101">
        <v>0</v>
      </c>
      <c r="T6" s="102">
        <v>0</v>
      </c>
      <c r="U6" s="103">
        <v>0</v>
      </c>
      <c r="V6" s="103">
        <v>0</v>
      </c>
      <c r="W6" s="104">
        <v>0</v>
      </c>
      <c r="X6" s="19"/>
      <c r="Y6" s="103">
        <v>0</v>
      </c>
      <c r="Z6" s="103">
        <v>0</v>
      </c>
      <c r="AA6" s="105">
        <v>0</v>
      </c>
      <c r="AB6" s="106">
        <v>0</v>
      </c>
      <c r="AC6" s="105">
        <v>0</v>
      </c>
      <c r="AD6" s="104">
        <v>0</v>
      </c>
      <c r="AE6" s="104">
        <v>0</v>
      </c>
      <c r="AF6" s="107">
        <v>46265</v>
      </c>
    </row>
    <row r="7" spans="1:33" x14ac:dyDescent="0.25">
      <c r="A7" s="90">
        <v>1058</v>
      </c>
      <c r="B7" s="91" t="s">
        <v>1186</v>
      </c>
      <c r="C7" s="29">
        <v>10010050</v>
      </c>
      <c r="D7" s="92" t="s">
        <v>276</v>
      </c>
      <c r="E7" s="93" t="s">
        <v>270</v>
      </c>
      <c r="F7" s="93" t="s">
        <v>231</v>
      </c>
      <c r="G7" s="109">
        <v>977.33</v>
      </c>
      <c r="H7" s="109">
        <v>43491.499999999993</v>
      </c>
      <c r="I7" s="95">
        <v>0</v>
      </c>
      <c r="J7" s="95">
        <v>0</v>
      </c>
      <c r="K7" s="95">
        <v>0</v>
      </c>
      <c r="L7" s="95">
        <v>0</v>
      </c>
      <c r="M7" s="96">
        <v>0</v>
      </c>
      <c r="N7" s="97">
        <v>0</v>
      </c>
      <c r="O7" s="98">
        <v>0</v>
      </c>
      <c r="P7" s="33"/>
      <c r="Q7" s="99" t="s">
        <v>1198</v>
      </c>
      <c r="R7" s="100"/>
      <c r="S7" s="101">
        <v>0</v>
      </c>
      <c r="T7" s="102">
        <v>0</v>
      </c>
      <c r="U7" s="103">
        <v>0</v>
      </c>
      <c r="V7" s="103">
        <v>0</v>
      </c>
      <c r="W7" s="104">
        <v>0</v>
      </c>
      <c r="X7" s="19"/>
      <c r="Y7" s="103">
        <v>0</v>
      </c>
      <c r="Z7" s="103">
        <v>0</v>
      </c>
      <c r="AA7" s="105">
        <v>0</v>
      </c>
      <c r="AB7" s="106">
        <v>0</v>
      </c>
      <c r="AC7" s="105">
        <v>0</v>
      </c>
      <c r="AD7" s="104">
        <v>0</v>
      </c>
      <c r="AE7" s="104">
        <v>0</v>
      </c>
      <c r="AF7" s="107">
        <v>46265</v>
      </c>
    </row>
    <row r="8" spans="1:33" x14ac:dyDescent="0.25">
      <c r="A8" s="90">
        <v>1058</v>
      </c>
      <c r="B8" s="91" t="s">
        <v>1186</v>
      </c>
      <c r="C8" s="29">
        <v>10010051</v>
      </c>
      <c r="D8" s="92" t="s">
        <v>277</v>
      </c>
      <c r="E8" s="93" t="s">
        <v>270</v>
      </c>
      <c r="F8" s="93" t="s">
        <v>230</v>
      </c>
      <c r="G8" s="109">
        <v>155.27000000000001</v>
      </c>
      <c r="H8" s="109">
        <v>6770.81</v>
      </c>
      <c r="I8" s="95">
        <v>0</v>
      </c>
      <c r="J8" s="95">
        <v>0</v>
      </c>
      <c r="K8" s="95">
        <v>0</v>
      </c>
      <c r="L8" s="95">
        <v>0</v>
      </c>
      <c r="M8" s="96">
        <v>117</v>
      </c>
      <c r="N8" s="97">
        <v>0</v>
      </c>
      <c r="O8" s="98">
        <v>2</v>
      </c>
      <c r="P8" s="33"/>
      <c r="Q8" s="99" t="s">
        <v>1198</v>
      </c>
      <c r="R8" s="100"/>
      <c r="S8" s="101">
        <v>1.6968427706581683E-2</v>
      </c>
      <c r="T8" s="102">
        <v>7</v>
      </c>
      <c r="U8" s="103">
        <v>0</v>
      </c>
      <c r="V8" s="103">
        <v>0</v>
      </c>
      <c r="W8" s="104">
        <v>0</v>
      </c>
      <c r="X8" s="19"/>
      <c r="Y8" s="103">
        <v>0</v>
      </c>
      <c r="Z8" s="103">
        <v>0</v>
      </c>
      <c r="AA8" s="105">
        <v>0</v>
      </c>
      <c r="AB8" s="106">
        <v>0</v>
      </c>
      <c r="AC8" s="105">
        <v>0</v>
      </c>
      <c r="AD8" s="104">
        <v>0</v>
      </c>
      <c r="AE8" s="104">
        <v>0</v>
      </c>
      <c r="AF8" s="107">
        <v>46265</v>
      </c>
      <c r="AG8" s="108"/>
    </row>
    <row r="9" spans="1:33" x14ac:dyDescent="0.25">
      <c r="A9" s="90">
        <v>1001</v>
      </c>
      <c r="B9" s="91" t="s">
        <v>1185</v>
      </c>
      <c r="C9" s="29">
        <v>10010055</v>
      </c>
      <c r="D9" s="92" t="s">
        <v>278</v>
      </c>
      <c r="E9" s="93" t="s">
        <v>270</v>
      </c>
      <c r="F9" s="93" t="s">
        <v>230</v>
      </c>
      <c r="G9" s="109">
        <v>93.830000000000013</v>
      </c>
      <c r="H9" s="109">
        <v>4071.09</v>
      </c>
      <c r="I9" s="95">
        <v>0</v>
      </c>
      <c r="J9" s="95">
        <v>0</v>
      </c>
      <c r="K9" s="95">
        <v>500</v>
      </c>
      <c r="L9" s="95">
        <v>0</v>
      </c>
      <c r="M9" s="96">
        <v>0</v>
      </c>
      <c r="N9" s="97">
        <v>0</v>
      </c>
      <c r="O9" s="98">
        <v>0</v>
      </c>
      <c r="P9" s="33"/>
      <c r="Q9" s="99" t="s">
        <v>1198</v>
      </c>
      <c r="R9" s="100"/>
      <c r="S9" s="101">
        <v>-1.9336344811831784E-2</v>
      </c>
      <c r="T9" s="102">
        <v>2</v>
      </c>
      <c r="U9" s="103">
        <v>0</v>
      </c>
      <c r="V9" s="103">
        <v>0</v>
      </c>
      <c r="W9" s="104">
        <v>0</v>
      </c>
      <c r="X9" s="19"/>
      <c r="Y9" s="103">
        <v>500</v>
      </c>
      <c r="Z9" s="103">
        <v>0</v>
      </c>
      <c r="AA9" s="105">
        <v>0</v>
      </c>
      <c r="AB9" s="106">
        <v>500</v>
      </c>
      <c r="AC9" s="105">
        <v>500</v>
      </c>
      <c r="AD9" s="104">
        <v>0</v>
      </c>
      <c r="AE9" s="104">
        <v>0</v>
      </c>
      <c r="AF9" s="107">
        <v>46265</v>
      </c>
    </row>
    <row r="10" spans="1:33" x14ac:dyDescent="0.25">
      <c r="A10" s="90">
        <v>1001</v>
      </c>
      <c r="B10" s="91" t="s">
        <v>1185</v>
      </c>
      <c r="C10" s="29">
        <v>10010057</v>
      </c>
      <c r="D10" s="92" t="s">
        <v>279</v>
      </c>
      <c r="E10" s="93" t="s">
        <v>275</v>
      </c>
      <c r="F10" s="93" t="s">
        <v>231</v>
      </c>
      <c r="G10" s="109">
        <v>6216</v>
      </c>
      <c r="H10" s="109">
        <v>242414.2</v>
      </c>
      <c r="I10" s="95">
        <v>0</v>
      </c>
      <c r="J10" s="95">
        <v>0</v>
      </c>
      <c r="K10" s="95">
        <v>0</v>
      </c>
      <c r="L10" s="95">
        <v>0</v>
      </c>
      <c r="M10" s="96">
        <v>0</v>
      </c>
      <c r="N10" s="97">
        <v>0</v>
      </c>
      <c r="O10" s="98">
        <v>0</v>
      </c>
      <c r="P10" s="33"/>
      <c r="Q10" s="99" t="s">
        <v>1198</v>
      </c>
      <c r="R10" s="100"/>
      <c r="S10" s="101">
        <v>0</v>
      </c>
      <c r="T10" s="102">
        <v>0</v>
      </c>
      <c r="U10" s="103">
        <v>0</v>
      </c>
      <c r="V10" s="103">
        <v>0</v>
      </c>
      <c r="W10" s="104">
        <v>0</v>
      </c>
      <c r="X10" s="19"/>
      <c r="Y10" s="103">
        <v>0</v>
      </c>
      <c r="Z10" s="103">
        <v>0</v>
      </c>
      <c r="AA10" s="105">
        <v>0</v>
      </c>
      <c r="AB10" s="106">
        <v>0</v>
      </c>
      <c r="AC10" s="105">
        <v>0</v>
      </c>
      <c r="AD10" s="104">
        <v>0</v>
      </c>
      <c r="AE10" s="104">
        <v>0</v>
      </c>
      <c r="AF10" s="107">
        <v>46265</v>
      </c>
    </row>
    <row r="11" spans="1:33" x14ac:dyDescent="0.25">
      <c r="A11" s="90">
        <v>1001</v>
      </c>
      <c r="B11" s="91" t="s">
        <v>1185</v>
      </c>
      <c r="C11" s="29">
        <v>10010076</v>
      </c>
      <c r="D11" s="92" t="s">
        <v>280</v>
      </c>
      <c r="E11" s="93" t="s">
        <v>270</v>
      </c>
      <c r="F11" s="93" t="s">
        <v>230</v>
      </c>
      <c r="G11" s="109">
        <v>722.58</v>
      </c>
      <c r="H11" s="109">
        <v>31793.32</v>
      </c>
      <c r="I11" s="95">
        <v>0</v>
      </c>
      <c r="J11" s="95">
        <v>0</v>
      </c>
      <c r="K11" s="95">
        <v>0</v>
      </c>
      <c r="L11" s="95">
        <v>0</v>
      </c>
      <c r="M11" s="96">
        <v>248</v>
      </c>
      <c r="N11" s="97">
        <v>0</v>
      </c>
      <c r="O11" s="98">
        <v>0</v>
      </c>
      <c r="P11" s="33"/>
      <c r="Q11" s="99" t="s">
        <v>1198</v>
      </c>
      <c r="R11" s="100"/>
      <c r="S11" s="101">
        <v>7.7931464848592117E-3</v>
      </c>
      <c r="T11" s="102">
        <v>9</v>
      </c>
      <c r="U11" s="103">
        <v>0</v>
      </c>
      <c r="V11" s="103">
        <v>0</v>
      </c>
      <c r="W11" s="104">
        <v>0</v>
      </c>
      <c r="X11" s="19"/>
      <c r="Y11" s="103">
        <v>0</v>
      </c>
      <c r="Z11" s="103">
        <v>0</v>
      </c>
      <c r="AA11" s="105">
        <v>0</v>
      </c>
      <c r="AB11" s="106">
        <v>0</v>
      </c>
      <c r="AC11" s="105">
        <v>0</v>
      </c>
      <c r="AD11" s="104">
        <v>0</v>
      </c>
      <c r="AE11" s="104">
        <v>0</v>
      </c>
      <c r="AF11" s="107">
        <v>46265</v>
      </c>
      <c r="AG11" s="108"/>
    </row>
    <row r="12" spans="1:33" x14ac:dyDescent="0.25">
      <c r="A12" s="90">
        <v>1058</v>
      </c>
      <c r="B12" s="91" t="s">
        <v>1186</v>
      </c>
      <c r="C12" s="29">
        <v>10010079</v>
      </c>
      <c r="D12" s="92" t="s">
        <v>281</v>
      </c>
      <c r="E12" s="93" t="s">
        <v>275</v>
      </c>
      <c r="F12" s="93" t="s">
        <v>231</v>
      </c>
      <c r="G12" s="109">
        <v>40.25</v>
      </c>
      <c r="H12" s="109">
        <v>1600.34</v>
      </c>
      <c r="I12" s="95">
        <v>0</v>
      </c>
      <c r="J12" s="95">
        <v>0</v>
      </c>
      <c r="K12" s="95">
        <v>0</v>
      </c>
      <c r="L12" s="95">
        <v>0</v>
      </c>
      <c r="M12" s="96">
        <v>0</v>
      </c>
      <c r="N12" s="97">
        <v>0</v>
      </c>
      <c r="O12" s="98">
        <v>0</v>
      </c>
      <c r="P12" s="33"/>
      <c r="Q12" s="99" t="s">
        <v>1198</v>
      </c>
      <c r="R12" s="100"/>
      <c r="S12" s="101">
        <v>0</v>
      </c>
      <c r="T12" s="102">
        <v>0</v>
      </c>
      <c r="U12" s="103">
        <v>0</v>
      </c>
      <c r="V12" s="103">
        <v>0</v>
      </c>
      <c r="W12" s="104">
        <v>0</v>
      </c>
      <c r="X12" s="19"/>
      <c r="Y12" s="103">
        <v>0</v>
      </c>
      <c r="Z12" s="103">
        <v>0</v>
      </c>
      <c r="AA12" s="105">
        <v>0</v>
      </c>
      <c r="AB12" s="106">
        <v>0</v>
      </c>
      <c r="AC12" s="105">
        <v>0</v>
      </c>
      <c r="AD12" s="104">
        <v>0</v>
      </c>
      <c r="AE12" s="104">
        <v>0</v>
      </c>
      <c r="AF12" s="107">
        <v>46265</v>
      </c>
    </row>
    <row r="13" spans="1:33" x14ac:dyDescent="0.25">
      <c r="A13" s="90">
        <v>1001</v>
      </c>
      <c r="B13" s="91" t="s">
        <v>1185</v>
      </c>
      <c r="C13" s="29">
        <v>10010082</v>
      </c>
      <c r="D13" s="92" t="s">
        <v>282</v>
      </c>
      <c r="E13" s="93" t="s">
        <v>270</v>
      </c>
      <c r="F13" s="93" t="s">
        <v>230</v>
      </c>
      <c r="G13" s="109">
        <v>1160.54</v>
      </c>
      <c r="H13" s="109">
        <v>45606.15</v>
      </c>
      <c r="I13" s="95">
        <v>0</v>
      </c>
      <c r="J13" s="95">
        <v>0</v>
      </c>
      <c r="K13" s="95">
        <v>0</v>
      </c>
      <c r="L13" s="95">
        <v>0</v>
      </c>
      <c r="M13" s="96">
        <v>0</v>
      </c>
      <c r="N13" s="97">
        <v>0</v>
      </c>
      <c r="O13" s="98">
        <v>0</v>
      </c>
      <c r="P13" s="33"/>
      <c r="Q13" s="99" t="s">
        <v>1198</v>
      </c>
      <c r="R13" s="100"/>
      <c r="S13" s="101">
        <v>-4.6438912295818343E-3</v>
      </c>
      <c r="T13" s="102">
        <v>8</v>
      </c>
      <c r="U13" s="103">
        <v>0</v>
      </c>
      <c r="V13" s="103">
        <v>0</v>
      </c>
      <c r="W13" s="104">
        <v>0</v>
      </c>
      <c r="X13" s="19"/>
      <c r="Y13" s="103">
        <v>0</v>
      </c>
      <c r="Z13" s="103">
        <v>0</v>
      </c>
      <c r="AA13" s="105">
        <v>0</v>
      </c>
      <c r="AB13" s="106">
        <v>0</v>
      </c>
      <c r="AC13" s="105">
        <v>0</v>
      </c>
      <c r="AD13" s="104">
        <v>0</v>
      </c>
      <c r="AE13" s="104">
        <v>0</v>
      </c>
      <c r="AF13" s="107">
        <v>46265</v>
      </c>
    </row>
    <row r="14" spans="1:33" x14ac:dyDescent="0.25">
      <c r="A14" s="90">
        <v>1001</v>
      </c>
      <c r="B14" s="91" t="s">
        <v>1185</v>
      </c>
      <c r="C14" s="29">
        <v>10010084</v>
      </c>
      <c r="D14" s="92" t="s">
        <v>283</v>
      </c>
      <c r="E14" s="93" t="s">
        <v>275</v>
      </c>
      <c r="F14" s="93" t="s">
        <v>231</v>
      </c>
      <c r="G14" s="109">
        <v>156.29999999999998</v>
      </c>
      <c r="H14" s="109">
        <v>5692.49</v>
      </c>
      <c r="I14" s="95">
        <v>0</v>
      </c>
      <c r="J14" s="95">
        <v>0</v>
      </c>
      <c r="K14" s="95">
        <v>0</v>
      </c>
      <c r="L14" s="95">
        <v>0</v>
      </c>
      <c r="M14" s="96">
        <v>0</v>
      </c>
      <c r="N14" s="97">
        <v>0</v>
      </c>
      <c r="O14" s="98">
        <v>0</v>
      </c>
      <c r="P14" s="33"/>
      <c r="Q14" s="99" t="s">
        <v>1198</v>
      </c>
      <c r="R14" s="100"/>
      <c r="S14" s="101">
        <v>0</v>
      </c>
      <c r="T14" s="102">
        <v>0</v>
      </c>
      <c r="U14" s="103">
        <v>0</v>
      </c>
      <c r="V14" s="103">
        <v>0</v>
      </c>
      <c r="W14" s="104">
        <v>0</v>
      </c>
      <c r="X14" s="19"/>
      <c r="Y14" s="103">
        <v>0</v>
      </c>
      <c r="Z14" s="103">
        <v>0</v>
      </c>
      <c r="AA14" s="105">
        <v>0</v>
      </c>
      <c r="AB14" s="106">
        <v>0</v>
      </c>
      <c r="AC14" s="105">
        <v>0</v>
      </c>
      <c r="AD14" s="104">
        <v>0</v>
      </c>
      <c r="AE14" s="104">
        <v>0</v>
      </c>
      <c r="AF14" s="107">
        <v>46265</v>
      </c>
    </row>
    <row r="15" spans="1:33" x14ac:dyDescent="0.25">
      <c r="A15" s="90">
        <v>1058</v>
      </c>
      <c r="B15" s="91" t="s">
        <v>1186</v>
      </c>
      <c r="C15" s="29">
        <v>10010086</v>
      </c>
      <c r="D15" s="92" t="s">
        <v>284</v>
      </c>
      <c r="E15" s="93" t="s">
        <v>270</v>
      </c>
      <c r="F15" s="93" t="s">
        <v>230</v>
      </c>
      <c r="G15" s="109">
        <v>58.25</v>
      </c>
      <c r="H15" s="109">
        <v>2785.9700000000003</v>
      </c>
      <c r="I15" s="95">
        <v>0</v>
      </c>
      <c r="J15" s="95">
        <v>0</v>
      </c>
      <c r="K15" s="95">
        <v>0</v>
      </c>
      <c r="L15" s="95">
        <v>0</v>
      </c>
      <c r="M15" s="96">
        <v>2742</v>
      </c>
      <c r="N15" s="97" t="s">
        <v>285</v>
      </c>
      <c r="O15" s="98">
        <v>2742</v>
      </c>
      <c r="P15" s="33" t="s">
        <v>286</v>
      </c>
      <c r="Q15" s="99" t="s">
        <v>1198</v>
      </c>
      <c r="R15" s="100"/>
      <c r="S15" s="101">
        <v>-0.51316417621151689</v>
      </c>
      <c r="T15" s="102">
        <v>5</v>
      </c>
      <c r="U15" s="103">
        <v>0</v>
      </c>
      <c r="V15" s="103">
        <v>0</v>
      </c>
      <c r="W15" s="104">
        <v>0</v>
      </c>
      <c r="X15" s="19"/>
      <c r="Y15" s="103">
        <v>500</v>
      </c>
      <c r="Z15" s="103">
        <v>0</v>
      </c>
      <c r="AA15" s="105">
        <v>0</v>
      </c>
      <c r="AB15" s="106">
        <v>500</v>
      </c>
      <c r="AC15" s="105">
        <v>0</v>
      </c>
      <c r="AD15" s="104">
        <v>-500</v>
      </c>
      <c r="AE15" s="104">
        <v>-500</v>
      </c>
      <c r="AF15" s="107">
        <v>46265</v>
      </c>
    </row>
    <row r="16" spans="1:33" x14ac:dyDescent="0.25">
      <c r="A16" s="90">
        <v>1058</v>
      </c>
      <c r="B16" s="91" t="s">
        <v>1186</v>
      </c>
      <c r="C16" s="29">
        <v>10010089</v>
      </c>
      <c r="D16" s="92" t="s">
        <v>287</v>
      </c>
      <c r="E16" s="93" t="s">
        <v>270</v>
      </c>
      <c r="F16" s="93" t="s">
        <v>230</v>
      </c>
      <c r="G16" s="109">
        <v>468.16999999999996</v>
      </c>
      <c r="H16" s="109">
        <v>20680.109999999997</v>
      </c>
      <c r="I16" s="95">
        <v>0</v>
      </c>
      <c r="J16" s="95">
        <v>0</v>
      </c>
      <c r="K16" s="95">
        <v>0</v>
      </c>
      <c r="L16" s="95">
        <v>0</v>
      </c>
      <c r="M16" s="96">
        <v>0</v>
      </c>
      <c r="N16" s="97">
        <v>0</v>
      </c>
      <c r="O16" s="98">
        <v>0</v>
      </c>
      <c r="P16" s="33"/>
      <c r="Q16" s="99" t="s">
        <v>1198</v>
      </c>
      <c r="R16" s="100"/>
      <c r="S16" s="101">
        <v>-6.294695724539201E-2</v>
      </c>
      <c r="T16" s="102">
        <v>19</v>
      </c>
      <c r="U16" s="103">
        <v>0</v>
      </c>
      <c r="V16" s="103">
        <v>0</v>
      </c>
      <c r="W16" s="104">
        <v>0</v>
      </c>
      <c r="X16" s="19"/>
      <c r="Y16" s="103">
        <v>0</v>
      </c>
      <c r="Z16" s="103">
        <v>0</v>
      </c>
      <c r="AA16" s="105">
        <v>0</v>
      </c>
      <c r="AB16" s="106">
        <v>0</v>
      </c>
      <c r="AC16" s="105">
        <v>0</v>
      </c>
      <c r="AD16" s="104">
        <v>0</v>
      </c>
      <c r="AE16" s="104">
        <v>0</v>
      </c>
      <c r="AF16" s="107">
        <v>46265</v>
      </c>
      <c r="AG16" s="108"/>
    </row>
    <row r="17" spans="1:33" x14ac:dyDescent="0.25">
      <c r="A17" s="90">
        <v>1001</v>
      </c>
      <c r="B17" s="91" t="s">
        <v>1185</v>
      </c>
      <c r="C17" s="29">
        <v>10010092</v>
      </c>
      <c r="D17" s="92" t="s">
        <v>288</v>
      </c>
      <c r="E17" s="93" t="s">
        <v>275</v>
      </c>
      <c r="F17" s="93" t="s">
        <v>231</v>
      </c>
      <c r="G17" s="109">
        <v>406.89999999999992</v>
      </c>
      <c r="H17" s="109">
        <v>12884.99</v>
      </c>
      <c r="I17" s="95">
        <v>0</v>
      </c>
      <c r="J17" s="95">
        <v>0</v>
      </c>
      <c r="K17" s="95">
        <v>0</v>
      </c>
      <c r="L17" s="95">
        <v>0</v>
      </c>
      <c r="M17" s="96">
        <v>0</v>
      </c>
      <c r="N17" s="97">
        <v>0</v>
      </c>
      <c r="O17" s="98">
        <v>0</v>
      </c>
      <c r="P17" s="33"/>
      <c r="Q17" s="99" t="s">
        <v>1198</v>
      </c>
      <c r="R17" s="100"/>
      <c r="S17" s="101">
        <v>0</v>
      </c>
      <c r="T17" s="102">
        <v>0</v>
      </c>
      <c r="U17" s="103">
        <v>0</v>
      </c>
      <c r="V17" s="103">
        <v>0</v>
      </c>
      <c r="W17" s="104">
        <v>0</v>
      </c>
      <c r="X17" s="19"/>
      <c r="Y17" s="103">
        <v>0</v>
      </c>
      <c r="Z17" s="103">
        <v>0</v>
      </c>
      <c r="AA17" s="105">
        <v>0</v>
      </c>
      <c r="AB17" s="106">
        <v>0</v>
      </c>
      <c r="AC17" s="105">
        <v>0</v>
      </c>
      <c r="AD17" s="104">
        <v>0</v>
      </c>
      <c r="AE17" s="104">
        <v>0</v>
      </c>
      <c r="AF17" s="107">
        <v>46265</v>
      </c>
    </row>
    <row r="18" spans="1:33" x14ac:dyDescent="0.25">
      <c r="A18" s="90">
        <v>1058</v>
      </c>
      <c r="B18" s="91" t="s">
        <v>1186</v>
      </c>
      <c r="C18" s="29">
        <v>10010095</v>
      </c>
      <c r="D18" s="92" t="s">
        <v>289</v>
      </c>
      <c r="E18" s="93" t="s">
        <v>270</v>
      </c>
      <c r="F18" s="93" t="s">
        <v>230</v>
      </c>
      <c r="G18" s="109">
        <v>201.57</v>
      </c>
      <c r="H18" s="109">
        <v>8605.49</v>
      </c>
      <c r="I18" s="95">
        <v>0</v>
      </c>
      <c r="J18" s="95">
        <v>0</v>
      </c>
      <c r="K18" s="95">
        <v>0</v>
      </c>
      <c r="L18" s="95">
        <v>0</v>
      </c>
      <c r="M18" s="96">
        <v>1</v>
      </c>
      <c r="N18" s="97">
        <v>0</v>
      </c>
      <c r="O18" s="98">
        <v>1</v>
      </c>
      <c r="P18" s="33"/>
      <c r="Q18" s="99" t="s">
        <v>1198</v>
      </c>
      <c r="R18" s="100"/>
      <c r="S18" s="101">
        <v>-3.5825966911820161E-3</v>
      </c>
      <c r="T18" s="102">
        <v>3</v>
      </c>
      <c r="U18" s="103">
        <v>0</v>
      </c>
      <c r="V18" s="103">
        <v>0</v>
      </c>
      <c r="W18" s="104">
        <v>0</v>
      </c>
      <c r="X18" s="19"/>
      <c r="Y18" s="103">
        <v>0</v>
      </c>
      <c r="Z18" s="103">
        <v>0</v>
      </c>
      <c r="AA18" s="105">
        <v>0</v>
      </c>
      <c r="AB18" s="106">
        <v>0</v>
      </c>
      <c r="AC18" s="105">
        <v>0</v>
      </c>
      <c r="AD18" s="104">
        <v>0</v>
      </c>
      <c r="AE18" s="104">
        <v>0</v>
      </c>
      <c r="AF18" s="107">
        <v>46265</v>
      </c>
    </row>
    <row r="19" spans="1:33" x14ac:dyDescent="0.25">
      <c r="A19" s="90">
        <v>1001</v>
      </c>
      <c r="B19" s="91" t="s">
        <v>1185</v>
      </c>
      <c r="C19" s="29">
        <v>10010097</v>
      </c>
      <c r="D19" s="92" t="s">
        <v>290</v>
      </c>
      <c r="E19" s="93" t="s">
        <v>270</v>
      </c>
      <c r="F19" s="93" t="s">
        <v>230</v>
      </c>
      <c r="G19" s="109">
        <v>973.59999999999991</v>
      </c>
      <c r="H19" s="109">
        <v>38535.089999999997</v>
      </c>
      <c r="I19" s="95">
        <v>0</v>
      </c>
      <c r="J19" s="95">
        <v>0</v>
      </c>
      <c r="K19" s="95">
        <v>0</v>
      </c>
      <c r="L19" s="95">
        <v>0</v>
      </c>
      <c r="M19" s="96">
        <v>0</v>
      </c>
      <c r="N19" s="97">
        <v>0</v>
      </c>
      <c r="O19" s="98">
        <v>0</v>
      </c>
      <c r="P19" s="33"/>
      <c r="Q19" s="99" t="s">
        <v>1198</v>
      </c>
      <c r="R19" s="100"/>
      <c r="S19" s="101">
        <v>-4.2741304094528088E-2</v>
      </c>
      <c r="T19" s="102">
        <v>11</v>
      </c>
      <c r="U19" s="103">
        <v>0</v>
      </c>
      <c r="V19" s="103">
        <v>0</v>
      </c>
      <c r="W19" s="104">
        <v>0</v>
      </c>
      <c r="X19" s="19"/>
      <c r="Y19" s="103">
        <v>0</v>
      </c>
      <c r="Z19" s="103">
        <v>0</v>
      </c>
      <c r="AA19" s="105">
        <v>0</v>
      </c>
      <c r="AB19" s="106">
        <v>0</v>
      </c>
      <c r="AC19" s="105">
        <v>0</v>
      </c>
      <c r="AD19" s="104">
        <v>0</v>
      </c>
      <c r="AE19" s="104">
        <v>0</v>
      </c>
      <c r="AF19" s="107">
        <v>46265</v>
      </c>
    </row>
    <row r="20" spans="1:33" x14ac:dyDescent="0.25">
      <c r="A20" s="90">
        <v>1058</v>
      </c>
      <c r="B20" s="91" t="s">
        <v>1186</v>
      </c>
      <c r="C20" s="29">
        <v>10010099</v>
      </c>
      <c r="D20" s="92" t="s">
        <v>291</v>
      </c>
      <c r="E20" s="93" t="s">
        <v>270</v>
      </c>
      <c r="F20" s="93" t="s">
        <v>230</v>
      </c>
      <c r="G20" s="109">
        <v>125.19</v>
      </c>
      <c r="H20" s="109">
        <v>5267.08</v>
      </c>
      <c r="I20" s="95">
        <v>0</v>
      </c>
      <c r="J20" s="95">
        <v>0</v>
      </c>
      <c r="K20" s="95">
        <v>500</v>
      </c>
      <c r="L20" s="95">
        <v>0</v>
      </c>
      <c r="M20" s="96">
        <v>0</v>
      </c>
      <c r="N20" s="97">
        <v>0</v>
      </c>
      <c r="O20" s="98">
        <v>0</v>
      </c>
      <c r="P20" s="33"/>
      <c r="Q20" s="99" t="s">
        <v>1198</v>
      </c>
      <c r="R20" s="100"/>
      <c r="S20" s="101">
        <v>-8.4107323222734759E-3</v>
      </c>
      <c r="T20" s="102">
        <v>2</v>
      </c>
      <c r="U20" s="103">
        <v>0</v>
      </c>
      <c r="V20" s="103">
        <v>0</v>
      </c>
      <c r="W20" s="104">
        <v>0</v>
      </c>
      <c r="X20" s="19"/>
      <c r="Y20" s="103">
        <v>500</v>
      </c>
      <c r="Z20" s="103">
        <v>0</v>
      </c>
      <c r="AA20" s="105">
        <v>0</v>
      </c>
      <c r="AB20" s="106">
        <v>500</v>
      </c>
      <c r="AC20" s="105">
        <v>500</v>
      </c>
      <c r="AD20" s="104">
        <v>0</v>
      </c>
      <c r="AE20" s="104">
        <v>0</v>
      </c>
      <c r="AF20" s="107">
        <v>46265</v>
      </c>
      <c r="AG20" s="108"/>
    </row>
    <row r="21" spans="1:33" x14ac:dyDescent="0.25">
      <c r="A21" s="90">
        <v>1001</v>
      </c>
      <c r="B21" s="91" t="s">
        <v>1185</v>
      </c>
      <c r="C21" s="29">
        <v>10010108</v>
      </c>
      <c r="D21" s="92" t="s">
        <v>292</v>
      </c>
      <c r="E21" s="93" t="s">
        <v>270</v>
      </c>
      <c r="F21" s="93" t="s">
        <v>230</v>
      </c>
      <c r="G21" s="109">
        <v>106.57</v>
      </c>
      <c r="H21" s="109">
        <v>3624.389999999999</v>
      </c>
      <c r="I21" s="95">
        <v>0</v>
      </c>
      <c r="J21" s="95">
        <v>0</v>
      </c>
      <c r="K21" s="95">
        <v>500</v>
      </c>
      <c r="L21" s="95">
        <v>0</v>
      </c>
      <c r="M21" s="96">
        <v>0</v>
      </c>
      <c r="N21" s="97">
        <v>0</v>
      </c>
      <c r="O21" s="98">
        <v>0</v>
      </c>
      <c r="P21" s="33"/>
      <c r="Q21" s="99" t="s">
        <v>1198</v>
      </c>
      <c r="R21" s="100"/>
      <c r="S21" s="101">
        <v>-2.9411845855440735E-2</v>
      </c>
      <c r="T21" s="102">
        <v>2</v>
      </c>
      <c r="U21" s="103">
        <v>0</v>
      </c>
      <c r="V21" s="103">
        <v>0</v>
      </c>
      <c r="W21" s="104">
        <v>0</v>
      </c>
      <c r="X21" s="19"/>
      <c r="Y21" s="103">
        <v>500</v>
      </c>
      <c r="Z21" s="103">
        <v>0</v>
      </c>
      <c r="AA21" s="105">
        <v>0</v>
      </c>
      <c r="AB21" s="106">
        <v>500</v>
      </c>
      <c r="AC21" s="105">
        <v>500</v>
      </c>
      <c r="AD21" s="104">
        <v>0</v>
      </c>
      <c r="AE21" s="104">
        <v>0</v>
      </c>
      <c r="AF21" s="107">
        <v>46265</v>
      </c>
    </row>
    <row r="22" spans="1:33" x14ac:dyDescent="0.25">
      <c r="A22" s="90">
        <v>1001</v>
      </c>
      <c r="B22" s="91" t="s">
        <v>1185</v>
      </c>
      <c r="C22" s="29">
        <v>10010109</v>
      </c>
      <c r="D22" s="92" t="s">
        <v>293</v>
      </c>
      <c r="E22" s="93" t="s">
        <v>275</v>
      </c>
      <c r="F22" s="93" t="s">
        <v>231</v>
      </c>
      <c r="G22" s="109">
        <v>244.63</v>
      </c>
      <c r="H22" s="109">
        <v>8204.5300000000007</v>
      </c>
      <c r="I22" s="95">
        <v>0</v>
      </c>
      <c r="J22" s="95">
        <v>0</v>
      </c>
      <c r="K22" s="95">
        <v>0</v>
      </c>
      <c r="L22" s="95">
        <v>0</v>
      </c>
      <c r="M22" s="96">
        <v>0</v>
      </c>
      <c r="N22" s="97">
        <v>0</v>
      </c>
      <c r="O22" s="98">
        <v>0</v>
      </c>
      <c r="P22" s="33"/>
      <c r="Q22" s="99" t="s">
        <v>1198</v>
      </c>
      <c r="R22" s="100"/>
      <c r="S22" s="101">
        <v>0</v>
      </c>
      <c r="T22" s="102">
        <v>0</v>
      </c>
      <c r="U22" s="103">
        <v>0</v>
      </c>
      <c r="V22" s="103">
        <v>0</v>
      </c>
      <c r="W22" s="104">
        <v>0</v>
      </c>
      <c r="X22" s="19"/>
      <c r="Y22" s="103">
        <v>0</v>
      </c>
      <c r="Z22" s="103">
        <v>0</v>
      </c>
      <c r="AA22" s="105">
        <v>0</v>
      </c>
      <c r="AB22" s="106">
        <v>0</v>
      </c>
      <c r="AC22" s="105">
        <v>0</v>
      </c>
      <c r="AD22" s="104">
        <v>0</v>
      </c>
      <c r="AE22" s="104">
        <v>0</v>
      </c>
      <c r="AF22" s="107">
        <v>46265</v>
      </c>
    </row>
    <row r="23" spans="1:33" x14ac:dyDescent="0.25">
      <c r="A23" s="90">
        <v>1001</v>
      </c>
      <c r="B23" s="91" t="s">
        <v>1185</v>
      </c>
      <c r="C23" s="29">
        <v>10010113</v>
      </c>
      <c r="D23" s="92" t="s">
        <v>294</v>
      </c>
      <c r="E23" s="93" t="s">
        <v>270</v>
      </c>
      <c r="F23" s="93" t="s">
        <v>230</v>
      </c>
      <c r="G23" s="109">
        <v>696.2</v>
      </c>
      <c r="H23" s="109">
        <v>28089.649999999998</v>
      </c>
      <c r="I23" s="95">
        <v>0</v>
      </c>
      <c r="J23" s="95">
        <v>0</v>
      </c>
      <c r="K23" s="95">
        <v>0</v>
      </c>
      <c r="L23" s="95">
        <v>0</v>
      </c>
      <c r="M23" s="96">
        <v>0</v>
      </c>
      <c r="N23" s="97">
        <v>0</v>
      </c>
      <c r="O23" s="98">
        <v>0</v>
      </c>
      <c r="P23" s="33"/>
      <c r="Q23" s="99" t="s">
        <v>1198</v>
      </c>
      <c r="R23" s="100"/>
      <c r="S23" s="101">
        <v>-1.6102372226069341E-2</v>
      </c>
      <c r="T23" s="102">
        <v>28</v>
      </c>
      <c r="U23" s="103">
        <v>0</v>
      </c>
      <c r="V23" s="103">
        <v>0</v>
      </c>
      <c r="W23" s="104">
        <v>0</v>
      </c>
      <c r="X23" s="19"/>
      <c r="Y23" s="103">
        <v>0</v>
      </c>
      <c r="Z23" s="103">
        <v>0</v>
      </c>
      <c r="AA23" s="105">
        <v>0</v>
      </c>
      <c r="AB23" s="106">
        <v>0</v>
      </c>
      <c r="AC23" s="105">
        <v>0</v>
      </c>
      <c r="AD23" s="104">
        <v>0</v>
      </c>
      <c r="AE23" s="104">
        <v>0</v>
      </c>
      <c r="AF23" s="107">
        <v>46265</v>
      </c>
    </row>
    <row r="24" spans="1:33" x14ac:dyDescent="0.25">
      <c r="A24" s="90">
        <v>1001</v>
      </c>
      <c r="B24" s="91" t="s">
        <v>1185</v>
      </c>
      <c r="C24" s="29">
        <v>10010121</v>
      </c>
      <c r="D24" s="92" t="s">
        <v>295</v>
      </c>
      <c r="E24" s="93" t="s">
        <v>270</v>
      </c>
      <c r="F24" s="93" t="s">
        <v>230</v>
      </c>
      <c r="G24" s="109">
        <v>1080.5</v>
      </c>
      <c r="H24" s="109">
        <v>42181.290000000008</v>
      </c>
      <c r="I24" s="95">
        <v>0</v>
      </c>
      <c r="J24" s="95">
        <v>0</v>
      </c>
      <c r="K24" s="95">
        <v>0</v>
      </c>
      <c r="L24" s="95">
        <v>0</v>
      </c>
      <c r="M24" s="96">
        <v>0</v>
      </c>
      <c r="N24" s="97">
        <v>0</v>
      </c>
      <c r="O24" s="98">
        <v>0</v>
      </c>
      <c r="P24" s="33"/>
      <c r="Q24" s="99" t="s">
        <v>1198</v>
      </c>
      <c r="R24" s="100"/>
      <c r="S24" s="101">
        <v>-5.4033672275077035E-2</v>
      </c>
      <c r="T24" s="102">
        <v>17</v>
      </c>
      <c r="U24" s="103">
        <v>0</v>
      </c>
      <c r="V24" s="103">
        <v>0</v>
      </c>
      <c r="W24" s="104">
        <v>0</v>
      </c>
      <c r="X24" s="19"/>
      <c r="Y24" s="103">
        <v>0</v>
      </c>
      <c r="Z24" s="103">
        <v>0</v>
      </c>
      <c r="AA24" s="105">
        <v>0</v>
      </c>
      <c r="AB24" s="106">
        <v>0</v>
      </c>
      <c r="AC24" s="105">
        <v>0</v>
      </c>
      <c r="AD24" s="104">
        <v>0</v>
      </c>
      <c r="AE24" s="104">
        <v>0</v>
      </c>
      <c r="AF24" s="107">
        <v>46265</v>
      </c>
    </row>
    <row r="25" spans="1:33" x14ac:dyDescent="0.25">
      <c r="A25" s="90">
        <v>1001</v>
      </c>
      <c r="B25" s="91" t="s">
        <v>1185</v>
      </c>
      <c r="C25" s="29">
        <v>10010125</v>
      </c>
      <c r="D25" s="92" t="s">
        <v>296</v>
      </c>
      <c r="E25" s="93" t="s">
        <v>275</v>
      </c>
      <c r="F25" s="93" t="s">
        <v>231</v>
      </c>
      <c r="G25" s="109">
        <v>317.60000000000002</v>
      </c>
      <c r="H25" s="109">
        <v>14589.77</v>
      </c>
      <c r="I25" s="95">
        <v>0</v>
      </c>
      <c r="J25" s="95">
        <v>0</v>
      </c>
      <c r="K25" s="95">
        <v>0</v>
      </c>
      <c r="L25" s="95">
        <v>0</v>
      </c>
      <c r="M25" s="96">
        <v>0</v>
      </c>
      <c r="N25" s="97">
        <v>0</v>
      </c>
      <c r="O25" s="98">
        <v>0</v>
      </c>
      <c r="P25" s="33"/>
      <c r="Q25" s="99" t="s">
        <v>1198</v>
      </c>
      <c r="R25" s="100"/>
      <c r="S25" s="101">
        <v>0</v>
      </c>
      <c r="T25" s="102">
        <v>0</v>
      </c>
      <c r="U25" s="103">
        <v>0</v>
      </c>
      <c r="V25" s="103">
        <v>0</v>
      </c>
      <c r="W25" s="104">
        <v>0</v>
      </c>
      <c r="X25" s="19"/>
      <c r="Y25" s="103">
        <v>0</v>
      </c>
      <c r="Z25" s="103">
        <v>0</v>
      </c>
      <c r="AA25" s="105">
        <v>0</v>
      </c>
      <c r="AB25" s="106">
        <v>0</v>
      </c>
      <c r="AC25" s="105">
        <v>0</v>
      </c>
      <c r="AD25" s="104">
        <v>0</v>
      </c>
      <c r="AE25" s="104">
        <v>0</v>
      </c>
      <c r="AF25" s="107">
        <v>46265</v>
      </c>
      <c r="AG25" s="108"/>
    </row>
    <row r="26" spans="1:33" x14ac:dyDescent="0.25">
      <c r="A26" s="90">
        <v>1001</v>
      </c>
      <c r="B26" s="91" t="s">
        <v>1185</v>
      </c>
      <c r="C26" s="29">
        <v>10010128</v>
      </c>
      <c r="D26" s="92" t="s">
        <v>297</v>
      </c>
      <c r="E26" s="93" t="s">
        <v>270</v>
      </c>
      <c r="F26" s="93" t="s">
        <v>230</v>
      </c>
      <c r="G26" s="109">
        <v>1227.3999999999999</v>
      </c>
      <c r="H26" s="109">
        <v>54687.240000000005</v>
      </c>
      <c r="I26" s="95">
        <v>10700</v>
      </c>
      <c r="J26" s="95">
        <v>0</v>
      </c>
      <c r="K26" s="95">
        <v>0</v>
      </c>
      <c r="L26" s="95">
        <v>0</v>
      </c>
      <c r="M26" s="96">
        <v>115</v>
      </c>
      <c r="N26" s="97">
        <v>0</v>
      </c>
      <c r="O26" s="98">
        <v>-1</v>
      </c>
      <c r="P26" s="33" t="s">
        <v>298</v>
      </c>
      <c r="Q26" s="99" t="s">
        <v>1198</v>
      </c>
      <c r="R26" s="100"/>
      <c r="S26" s="101">
        <v>2.1270043981010374E-3</v>
      </c>
      <c r="T26" s="102">
        <v>4</v>
      </c>
      <c r="U26" s="103">
        <v>0</v>
      </c>
      <c r="V26" s="103">
        <v>0</v>
      </c>
      <c r="W26" s="104">
        <v>0</v>
      </c>
      <c r="X26" s="19"/>
      <c r="Y26" s="103">
        <v>0</v>
      </c>
      <c r="Z26" s="103">
        <v>0</v>
      </c>
      <c r="AA26" s="105">
        <v>0</v>
      </c>
      <c r="AB26" s="106">
        <v>0</v>
      </c>
      <c r="AC26" s="105">
        <v>0</v>
      </c>
      <c r="AD26" s="104">
        <v>0</v>
      </c>
      <c r="AE26" s="104">
        <v>0</v>
      </c>
      <c r="AF26" s="107">
        <v>46265</v>
      </c>
    </row>
    <row r="27" spans="1:33" x14ac:dyDescent="0.25">
      <c r="A27" s="90">
        <v>1001</v>
      </c>
      <c r="B27" s="91" t="s">
        <v>1185</v>
      </c>
      <c r="C27" s="29">
        <v>10010129</v>
      </c>
      <c r="D27" s="92" t="s">
        <v>299</v>
      </c>
      <c r="E27" s="93" t="s">
        <v>275</v>
      </c>
      <c r="F27" s="93" t="s">
        <v>231</v>
      </c>
      <c r="G27" s="109">
        <v>452.7</v>
      </c>
      <c r="H27" s="109">
        <v>20925.810000000001</v>
      </c>
      <c r="I27" s="95">
        <v>0</v>
      </c>
      <c r="J27" s="95">
        <v>0</v>
      </c>
      <c r="K27" s="95">
        <v>0</v>
      </c>
      <c r="L27" s="95">
        <v>0</v>
      </c>
      <c r="M27" s="96">
        <v>0</v>
      </c>
      <c r="N27" s="97">
        <v>0</v>
      </c>
      <c r="O27" s="98">
        <v>0</v>
      </c>
      <c r="P27" s="33"/>
      <c r="Q27" s="99" t="s">
        <v>1198</v>
      </c>
      <c r="R27" s="100"/>
      <c r="S27" s="101">
        <v>0</v>
      </c>
      <c r="T27" s="102">
        <v>0</v>
      </c>
      <c r="U27" s="103">
        <v>0</v>
      </c>
      <c r="V27" s="103">
        <v>0</v>
      </c>
      <c r="W27" s="104">
        <v>0</v>
      </c>
      <c r="X27" s="19"/>
      <c r="Y27" s="103">
        <v>0</v>
      </c>
      <c r="Z27" s="103">
        <v>0</v>
      </c>
      <c r="AA27" s="105">
        <v>0</v>
      </c>
      <c r="AB27" s="106">
        <v>0</v>
      </c>
      <c r="AC27" s="105">
        <v>0</v>
      </c>
      <c r="AD27" s="104">
        <v>0</v>
      </c>
      <c r="AE27" s="104">
        <v>0</v>
      </c>
      <c r="AF27" s="107">
        <v>46265</v>
      </c>
    </row>
    <row r="28" spans="1:33" x14ac:dyDescent="0.25">
      <c r="A28" s="90">
        <v>1001</v>
      </c>
      <c r="B28" s="91" t="s">
        <v>1185</v>
      </c>
      <c r="C28" s="29">
        <v>10010130</v>
      </c>
      <c r="D28" s="92" t="s">
        <v>300</v>
      </c>
      <c r="E28" s="93" t="s">
        <v>275</v>
      </c>
      <c r="F28" s="93" t="s">
        <v>231</v>
      </c>
      <c r="G28" s="109">
        <v>345.1</v>
      </c>
      <c r="H28" s="109">
        <v>12635.9</v>
      </c>
      <c r="I28" s="95">
        <v>0</v>
      </c>
      <c r="J28" s="95">
        <v>0</v>
      </c>
      <c r="K28" s="95">
        <v>0</v>
      </c>
      <c r="L28" s="95">
        <v>0</v>
      </c>
      <c r="M28" s="96">
        <v>0</v>
      </c>
      <c r="N28" s="97">
        <v>0</v>
      </c>
      <c r="O28" s="98">
        <v>0</v>
      </c>
      <c r="P28" s="33"/>
      <c r="Q28" s="99" t="s">
        <v>1198</v>
      </c>
      <c r="R28" s="100"/>
      <c r="S28" s="101">
        <v>0</v>
      </c>
      <c r="T28" s="102">
        <v>0</v>
      </c>
      <c r="U28" s="103">
        <v>0</v>
      </c>
      <c r="V28" s="103">
        <v>0</v>
      </c>
      <c r="W28" s="104">
        <v>0</v>
      </c>
      <c r="X28" s="19"/>
      <c r="Y28" s="103">
        <v>0</v>
      </c>
      <c r="Z28" s="103">
        <v>0</v>
      </c>
      <c r="AA28" s="105">
        <v>0</v>
      </c>
      <c r="AB28" s="106">
        <v>0</v>
      </c>
      <c r="AC28" s="105">
        <v>0</v>
      </c>
      <c r="AD28" s="104">
        <v>0</v>
      </c>
      <c r="AE28" s="104">
        <v>0</v>
      </c>
      <c r="AF28" s="107">
        <v>46265</v>
      </c>
    </row>
    <row r="29" spans="1:33" x14ac:dyDescent="0.25">
      <c r="A29" s="90">
        <v>1001</v>
      </c>
      <c r="B29" s="91" t="s">
        <v>1185</v>
      </c>
      <c r="C29" s="29">
        <v>10010131</v>
      </c>
      <c r="D29" s="92" t="s">
        <v>301</v>
      </c>
      <c r="E29" s="93" t="s">
        <v>275</v>
      </c>
      <c r="F29" s="93" t="s">
        <v>231</v>
      </c>
      <c r="G29" s="109">
        <v>324.59999999999997</v>
      </c>
      <c r="H29" s="109">
        <v>14476.53</v>
      </c>
      <c r="I29" s="95">
        <v>0</v>
      </c>
      <c r="J29" s="95">
        <v>0</v>
      </c>
      <c r="K29" s="95">
        <v>0</v>
      </c>
      <c r="L29" s="95">
        <v>0</v>
      </c>
      <c r="M29" s="96">
        <v>0</v>
      </c>
      <c r="N29" s="97">
        <v>0</v>
      </c>
      <c r="O29" s="98">
        <v>0</v>
      </c>
      <c r="P29" s="33"/>
      <c r="Q29" s="99" t="s">
        <v>1198</v>
      </c>
      <c r="R29" s="100"/>
      <c r="S29" s="101">
        <v>0</v>
      </c>
      <c r="T29" s="102">
        <v>0</v>
      </c>
      <c r="U29" s="103">
        <v>0</v>
      </c>
      <c r="V29" s="103">
        <v>0</v>
      </c>
      <c r="W29" s="104">
        <v>0</v>
      </c>
      <c r="X29" s="19"/>
      <c r="Y29" s="103">
        <v>0</v>
      </c>
      <c r="Z29" s="103">
        <v>0</v>
      </c>
      <c r="AA29" s="105">
        <v>0</v>
      </c>
      <c r="AB29" s="106">
        <v>0</v>
      </c>
      <c r="AC29" s="105">
        <v>0</v>
      </c>
      <c r="AD29" s="104">
        <v>0</v>
      </c>
      <c r="AE29" s="104">
        <v>0</v>
      </c>
      <c r="AF29" s="107">
        <v>46265</v>
      </c>
    </row>
    <row r="30" spans="1:33" x14ac:dyDescent="0.25">
      <c r="A30" s="90">
        <v>1001</v>
      </c>
      <c r="B30" s="91" t="s">
        <v>1185</v>
      </c>
      <c r="C30" s="29">
        <v>10010140</v>
      </c>
      <c r="D30" s="92" t="s">
        <v>302</v>
      </c>
      <c r="E30" s="93" t="s">
        <v>270</v>
      </c>
      <c r="F30" s="93" t="s">
        <v>230</v>
      </c>
      <c r="G30" s="109">
        <v>197.7</v>
      </c>
      <c r="H30" s="109">
        <v>8266.06</v>
      </c>
      <c r="I30" s="95">
        <v>0</v>
      </c>
      <c r="J30" s="95">
        <v>0</v>
      </c>
      <c r="K30" s="95">
        <v>0</v>
      </c>
      <c r="L30" s="95">
        <v>0</v>
      </c>
      <c r="M30" s="96">
        <v>0</v>
      </c>
      <c r="N30" s="97">
        <v>0</v>
      </c>
      <c r="O30" s="98">
        <v>0</v>
      </c>
      <c r="P30" s="33"/>
      <c r="Q30" s="99" t="s">
        <v>1198</v>
      </c>
      <c r="R30" s="100"/>
      <c r="S30" s="101">
        <v>-6.6509316409510535E-2</v>
      </c>
      <c r="T30" s="102">
        <v>5</v>
      </c>
      <c r="U30" s="103">
        <v>0</v>
      </c>
      <c r="V30" s="103">
        <v>0</v>
      </c>
      <c r="W30" s="104">
        <v>0</v>
      </c>
      <c r="X30" s="19"/>
      <c r="Y30" s="103">
        <v>0</v>
      </c>
      <c r="Z30" s="103">
        <v>0</v>
      </c>
      <c r="AA30" s="105">
        <v>0</v>
      </c>
      <c r="AB30" s="106">
        <v>0</v>
      </c>
      <c r="AC30" s="105">
        <v>0</v>
      </c>
      <c r="AD30" s="104">
        <v>0</v>
      </c>
      <c r="AE30" s="104">
        <v>0</v>
      </c>
      <c r="AF30" s="107">
        <v>46265</v>
      </c>
    </row>
    <row r="31" spans="1:33" x14ac:dyDescent="0.25">
      <c r="A31" s="90">
        <v>1001</v>
      </c>
      <c r="B31" s="91" t="s">
        <v>1185</v>
      </c>
      <c r="C31" s="29">
        <v>10010143</v>
      </c>
      <c r="D31" s="92" t="s">
        <v>303</v>
      </c>
      <c r="E31" s="93" t="s">
        <v>270</v>
      </c>
      <c r="F31" s="93" t="s">
        <v>230</v>
      </c>
      <c r="G31" s="109">
        <v>154.40999999999997</v>
      </c>
      <c r="H31" s="109">
        <v>5290.7999999999993</v>
      </c>
      <c r="I31" s="95">
        <v>0</v>
      </c>
      <c r="J31" s="95">
        <v>0</v>
      </c>
      <c r="K31" s="95">
        <v>0</v>
      </c>
      <c r="L31" s="95">
        <v>0</v>
      </c>
      <c r="M31" s="96">
        <v>0</v>
      </c>
      <c r="N31" s="97">
        <v>0</v>
      </c>
      <c r="O31" s="98">
        <v>0</v>
      </c>
      <c r="P31" s="33"/>
      <c r="Q31" s="99" t="s">
        <v>1198</v>
      </c>
      <c r="R31" s="100"/>
      <c r="S31" s="101">
        <v>-1.858509110153473E-2</v>
      </c>
      <c r="T31" s="102">
        <v>3</v>
      </c>
      <c r="U31" s="103">
        <v>0</v>
      </c>
      <c r="V31" s="103">
        <v>0</v>
      </c>
      <c r="W31" s="104">
        <v>0</v>
      </c>
      <c r="X31" s="19"/>
      <c r="Y31" s="103">
        <v>0</v>
      </c>
      <c r="Z31" s="103">
        <v>0</v>
      </c>
      <c r="AA31" s="105">
        <v>0</v>
      </c>
      <c r="AB31" s="106">
        <v>0</v>
      </c>
      <c r="AC31" s="105">
        <v>0</v>
      </c>
      <c r="AD31" s="104">
        <v>0</v>
      </c>
      <c r="AE31" s="104">
        <v>0</v>
      </c>
      <c r="AF31" s="107">
        <v>46265</v>
      </c>
    </row>
    <row r="32" spans="1:33" x14ac:dyDescent="0.25">
      <c r="A32" s="90">
        <v>1001</v>
      </c>
      <c r="B32" s="91" t="s">
        <v>1185</v>
      </c>
      <c r="C32" s="29">
        <v>10010144</v>
      </c>
      <c r="D32" s="92" t="s">
        <v>304</v>
      </c>
      <c r="E32" s="93" t="s">
        <v>270</v>
      </c>
      <c r="F32" s="93" t="s">
        <v>230</v>
      </c>
      <c r="G32" s="109">
        <v>131.39999999999998</v>
      </c>
      <c r="H32" s="109">
        <v>4704.28</v>
      </c>
      <c r="I32" s="95">
        <v>0</v>
      </c>
      <c r="J32" s="95">
        <v>0</v>
      </c>
      <c r="K32" s="95">
        <v>0</v>
      </c>
      <c r="L32" s="95">
        <v>0</v>
      </c>
      <c r="M32" s="96">
        <v>13</v>
      </c>
      <c r="N32" s="97">
        <v>0</v>
      </c>
      <c r="O32" s="98">
        <v>1</v>
      </c>
      <c r="P32" s="33"/>
      <c r="Q32" s="99" t="s">
        <v>1198</v>
      </c>
      <c r="R32" s="100"/>
      <c r="S32" s="101">
        <v>2.6103888373990806E-3</v>
      </c>
      <c r="T32" s="102">
        <v>4</v>
      </c>
      <c r="U32" s="103">
        <v>0</v>
      </c>
      <c r="V32" s="103">
        <v>0</v>
      </c>
      <c r="W32" s="104">
        <v>0</v>
      </c>
      <c r="X32" s="19"/>
      <c r="Y32" s="103">
        <v>0</v>
      </c>
      <c r="Z32" s="103">
        <v>0</v>
      </c>
      <c r="AA32" s="105">
        <v>0</v>
      </c>
      <c r="AB32" s="106">
        <v>0</v>
      </c>
      <c r="AC32" s="105">
        <v>0</v>
      </c>
      <c r="AD32" s="104">
        <v>0</v>
      </c>
      <c r="AE32" s="104">
        <v>0</v>
      </c>
      <c r="AF32" s="107">
        <v>46265</v>
      </c>
    </row>
    <row r="33" spans="1:33" x14ac:dyDescent="0.25">
      <c r="A33" s="90">
        <v>1001</v>
      </c>
      <c r="B33" s="91" t="s">
        <v>1185</v>
      </c>
      <c r="C33" s="29">
        <v>10010145</v>
      </c>
      <c r="D33" s="92" t="s">
        <v>305</v>
      </c>
      <c r="E33" s="93" t="s">
        <v>270</v>
      </c>
      <c r="F33" s="93" t="s">
        <v>230</v>
      </c>
      <c r="G33" s="109">
        <v>248.64999999999998</v>
      </c>
      <c r="H33" s="109">
        <v>10634.52</v>
      </c>
      <c r="I33" s="95">
        <v>0</v>
      </c>
      <c r="J33" s="95">
        <v>0</v>
      </c>
      <c r="K33" s="95">
        <v>0</v>
      </c>
      <c r="L33" s="95">
        <v>0</v>
      </c>
      <c r="M33" s="96">
        <v>0</v>
      </c>
      <c r="N33" s="97">
        <v>0</v>
      </c>
      <c r="O33" s="98">
        <v>0</v>
      </c>
      <c r="P33" s="33"/>
      <c r="Q33" s="99" t="s">
        <v>1198</v>
      </c>
      <c r="R33" s="100"/>
      <c r="S33" s="101">
        <v>-2.8523149140722674E-2</v>
      </c>
      <c r="T33" s="102">
        <v>6</v>
      </c>
      <c r="U33" s="103">
        <v>0</v>
      </c>
      <c r="V33" s="103">
        <v>0</v>
      </c>
      <c r="W33" s="104">
        <v>0</v>
      </c>
      <c r="X33" s="19"/>
      <c r="Y33" s="103">
        <v>0</v>
      </c>
      <c r="Z33" s="103">
        <v>0</v>
      </c>
      <c r="AA33" s="105">
        <v>0</v>
      </c>
      <c r="AB33" s="106">
        <v>0</v>
      </c>
      <c r="AC33" s="105">
        <v>0</v>
      </c>
      <c r="AD33" s="104">
        <v>0</v>
      </c>
      <c r="AE33" s="104">
        <v>0</v>
      </c>
      <c r="AF33" s="107">
        <v>46265</v>
      </c>
      <c r="AG33" s="108"/>
    </row>
    <row r="34" spans="1:33" x14ac:dyDescent="0.25">
      <c r="A34" s="90">
        <v>1001</v>
      </c>
      <c r="B34" s="91" t="s">
        <v>1185</v>
      </c>
      <c r="C34" s="29">
        <v>10010146</v>
      </c>
      <c r="D34" s="92" t="s">
        <v>306</v>
      </c>
      <c r="E34" s="93" t="s">
        <v>270</v>
      </c>
      <c r="F34" s="93" t="s">
        <v>230</v>
      </c>
      <c r="G34" s="109">
        <v>166.65</v>
      </c>
      <c r="H34" s="109">
        <v>6647.25</v>
      </c>
      <c r="I34" s="95">
        <v>0</v>
      </c>
      <c r="J34" s="95">
        <v>0</v>
      </c>
      <c r="K34" s="95">
        <v>0</v>
      </c>
      <c r="L34" s="95">
        <v>0</v>
      </c>
      <c r="M34" s="96">
        <v>0</v>
      </c>
      <c r="N34" s="97">
        <v>0</v>
      </c>
      <c r="O34" s="98">
        <v>0</v>
      </c>
      <c r="P34" s="33"/>
      <c r="Q34" s="99" t="s">
        <v>1198</v>
      </c>
      <c r="R34" s="100"/>
      <c r="S34" s="101">
        <v>-1.2435217571176166E-2</v>
      </c>
      <c r="T34" s="102">
        <v>3</v>
      </c>
      <c r="U34" s="103">
        <v>0</v>
      </c>
      <c r="V34" s="103">
        <v>0</v>
      </c>
      <c r="W34" s="104">
        <v>0</v>
      </c>
      <c r="X34" s="19"/>
      <c r="Y34" s="103">
        <v>0</v>
      </c>
      <c r="Z34" s="103">
        <v>0</v>
      </c>
      <c r="AA34" s="105">
        <v>0</v>
      </c>
      <c r="AB34" s="106">
        <v>0</v>
      </c>
      <c r="AC34" s="105">
        <v>0</v>
      </c>
      <c r="AD34" s="104">
        <v>0</v>
      </c>
      <c r="AE34" s="104">
        <v>0</v>
      </c>
      <c r="AF34" s="107">
        <v>46265</v>
      </c>
    </row>
    <row r="35" spans="1:33" x14ac:dyDescent="0.25">
      <c r="A35" s="90">
        <v>1001</v>
      </c>
      <c r="B35" s="91" t="s">
        <v>1185</v>
      </c>
      <c r="C35" s="29">
        <v>10010147</v>
      </c>
      <c r="D35" s="92" t="s">
        <v>307</v>
      </c>
      <c r="E35" s="93" t="s">
        <v>275</v>
      </c>
      <c r="F35" s="93" t="s">
        <v>231</v>
      </c>
      <c r="G35" s="109">
        <v>61.279999999999994</v>
      </c>
      <c r="H35" s="109">
        <v>3001.5800000000004</v>
      </c>
      <c r="I35" s="95">
        <v>0</v>
      </c>
      <c r="J35" s="95">
        <v>0</v>
      </c>
      <c r="K35" s="95">
        <v>0</v>
      </c>
      <c r="L35" s="95">
        <v>0</v>
      </c>
      <c r="M35" s="96">
        <v>0</v>
      </c>
      <c r="N35" s="97">
        <v>0</v>
      </c>
      <c r="O35" s="98">
        <v>0</v>
      </c>
      <c r="P35" s="33"/>
      <c r="Q35" s="99" t="s">
        <v>1198</v>
      </c>
      <c r="R35" s="100"/>
      <c r="S35" s="101">
        <v>0</v>
      </c>
      <c r="T35" s="102">
        <v>0</v>
      </c>
      <c r="U35" s="103">
        <v>0</v>
      </c>
      <c r="V35" s="103">
        <v>0</v>
      </c>
      <c r="W35" s="104">
        <v>0</v>
      </c>
      <c r="X35" s="19"/>
      <c r="Y35" s="103">
        <v>0</v>
      </c>
      <c r="Z35" s="103">
        <v>0</v>
      </c>
      <c r="AA35" s="105">
        <v>0</v>
      </c>
      <c r="AB35" s="106">
        <v>0</v>
      </c>
      <c r="AC35" s="105">
        <v>0</v>
      </c>
      <c r="AD35" s="104">
        <v>0</v>
      </c>
      <c r="AE35" s="104">
        <v>0</v>
      </c>
      <c r="AF35" s="107">
        <v>46265</v>
      </c>
    </row>
    <row r="36" spans="1:33" x14ac:dyDescent="0.25">
      <c r="A36" s="90">
        <v>1001</v>
      </c>
      <c r="B36" s="91" t="s">
        <v>1185</v>
      </c>
      <c r="C36" s="29">
        <v>10010148</v>
      </c>
      <c r="D36" s="92" t="s">
        <v>308</v>
      </c>
      <c r="E36" s="93" t="s">
        <v>270</v>
      </c>
      <c r="F36" s="93" t="s">
        <v>230</v>
      </c>
      <c r="G36" s="109">
        <v>225.69999999999996</v>
      </c>
      <c r="H36" s="109">
        <v>8955.64</v>
      </c>
      <c r="I36" s="95">
        <v>0</v>
      </c>
      <c r="J36" s="95">
        <v>0</v>
      </c>
      <c r="K36" s="95">
        <v>0</v>
      </c>
      <c r="L36" s="95">
        <v>0</v>
      </c>
      <c r="M36" s="96">
        <v>0</v>
      </c>
      <c r="N36" s="97">
        <v>0</v>
      </c>
      <c r="O36" s="98">
        <v>0</v>
      </c>
      <c r="P36" s="33"/>
      <c r="Q36" s="99" t="s">
        <v>1198</v>
      </c>
      <c r="R36" s="100"/>
      <c r="S36" s="101">
        <v>-2.0161596491149857E-2</v>
      </c>
      <c r="T36" s="102">
        <v>8</v>
      </c>
      <c r="U36" s="103">
        <v>0</v>
      </c>
      <c r="V36" s="103">
        <v>0</v>
      </c>
      <c r="W36" s="104">
        <v>0</v>
      </c>
      <c r="X36" s="19"/>
      <c r="Y36" s="103">
        <v>0</v>
      </c>
      <c r="Z36" s="103">
        <v>0</v>
      </c>
      <c r="AA36" s="105">
        <v>0</v>
      </c>
      <c r="AB36" s="106">
        <v>0</v>
      </c>
      <c r="AC36" s="105">
        <v>0</v>
      </c>
      <c r="AD36" s="104">
        <v>0</v>
      </c>
      <c r="AE36" s="104">
        <v>0</v>
      </c>
      <c r="AF36" s="107">
        <v>46265</v>
      </c>
    </row>
    <row r="37" spans="1:33" x14ac:dyDescent="0.25">
      <c r="A37" s="90">
        <v>1001</v>
      </c>
      <c r="B37" s="91" t="s">
        <v>1185</v>
      </c>
      <c r="C37" s="29">
        <v>10010149</v>
      </c>
      <c r="D37" s="92" t="s">
        <v>309</v>
      </c>
      <c r="E37" s="93" t="s">
        <v>270</v>
      </c>
      <c r="F37" s="93" t="s">
        <v>230</v>
      </c>
      <c r="G37" s="109">
        <v>185.01</v>
      </c>
      <c r="H37" s="109">
        <v>7307.36</v>
      </c>
      <c r="I37" s="95">
        <v>0</v>
      </c>
      <c r="J37" s="95">
        <v>0</v>
      </c>
      <c r="K37" s="95">
        <v>0</v>
      </c>
      <c r="L37" s="95">
        <v>0</v>
      </c>
      <c r="M37" s="96">
        <v>0</v>
      </c>
      <c r="N37" s="97">
        <v>0</v>
      </c>
      <c r="O37" s="98">
        <v>0</v>
      </c>
      <c r="P37" s="33"/>
      <c r="Q37" s="99" t="s">
        <v>1198</v>
      </c>
      <c r="R37" s="100"/>
      <c r="S37" s="101">
        <v>-1.8885069299993184E-2</v>
      </c>
      <c r="T37" s="102">
        <v>5</v>
      </c>
      <c r="U37" s="103">
        <v>0</v>
      </c>
      <c r="V37" s="103">
        <v>0</v>
      </c>
      <c r="W37" s="104">
        <v>0</v>
      </c>
      <c r="X37" s="19"/>
      <c r="Y37" s="103">
        <v>0</v>
      </c>
      <c r="Z37" s="103">
        <v>0</v>
      </c>
      <c r="AA37" s="105">
        <v>0</v>
      </c>
      <c r="AB37" s="106">
        <v>0</v>
      </c>
      <c r="AC37" s="105">
        <v>0</v>
      </c>
      <c r="AD37" s="104">
        <v>0</v>
      </c>
      <c r="AE37" s="104">
        <v>0</v>
      </c>
      <c r="AF37" s="107">
        <v>46265</v>
      </c>
    </row>
    <row r="38" spans="1:33" x14ac:dyDescent="0.25">
      <c r="A38" s="90">
        <v>1001</v>
      </c>
      <c r="B38" s="91" t="s">
        <v>1185</v>
      </c>
      <c r="C38" s="29">
        <v>10010151</v>
      </c>
      <c r="D38" s="92" t="s">
        <v>310</v>
      </c>
      <c r="E38" s="93" t="s">
        <v>275</v>
      </c>
      <c r="F38" s="93" t="s">
        <v>231</v>
      </c>
      <c r="G38" s="109">
        <v>290.2</v>
      </c>
      <c r="H38" s="109">
        <v>9976.1700000000019</v>
      </c>
      <c r="I38" s="95">
        <v>0</v>
      </c>
      <c r="J38" s="95">
        <v>0</v>
      </c>
      <c r="K38" s="95">
        <v>0</v>
      </c>
      <c r="L38" s="95">
        <v>0</v>
      </c>
      <c r="M38" s="96">
        <v>0</v>
      </c>
      <c r="N38" s="97">
        <v>0</v>
      </c>
      <c r="O38" s="98">
        <v>0</v>
      </c>
      <c r="P38" s="33"/>
      <c r="Q38" s="99" t="s">
        <v>1198</v>
      </c>
      <c r="R38" s="100"/>
      <c r="S38" s="101">
        <v>0</v>
      </c>
      <c r="T38" s="102">
        <v>0</v>
      </c>
      <c r="U38" s="103">
        <v>0</v>
      </c>
      <c r="V38" s="103">
        <v>0</v>
      </c>
      <c r="W38" s="104">
        <v>0</v>
      </c>
      <c r="X38" s="19"/>
      <c r="Y38" s="103">
        <v>0</v>
      </c>
      <c r="Z38" s="103">
        <v>0</v>
      </c>
      <c r="AA38" s="105">
        <v>0</v>
      </c>
      <c r="AB38" s="106">
        <v>0</v>
      </c>
      <c r="AC38" s="105">
        <v>0</v>
      </c>
      <c r="AD38" s="104">
        <v>0</v>
      </c>
      <c r="AE38" s="104">
        <v>0</v>
      </c>
      <c r="AF38" s="107">
        <v>46265</v>
      </c>
    </row>
    <row r="39" spans="1:33" x14ac:dyDescent="0.25">
      <c r="A39" s="90">
        <v>1002</v>
      </c>
      <c r="B39" s="91" t="s">
        <v>222</v>
      </c>
      <c r="C39" s="29">
        <v>10020002</v>
      </c>
      <c r="D39" s="92" t="s">
        <v>311</v>
      </c>
      <c r="E39" s="93" t="s">
        <v>270</v>
      </c>
      <c r="F39" s="93" t="s">
        <v>230</v>
      </c>
      <c r="G39" s="109">
        <v>2652.1000000000004</v>
      </c>
      <c r="H39" s="109">
        <v>121218.74000000003</v>
      </c>
      <c r="I39" s="95">
        <v>0</v>
      </c>
      <c r="J39" s="95">
        <v>0</v>
      </c>
      <c r="K39" s="95">
        <v>0</v>
      </c>
      <c r="L39" s="95">
        <v>0</v>
      </c>
      <c r="M39" s="96">
        <v>0</v>
      </c>
      <c r="N39" s="97">
        <v>0</v>
      </c>
      <c r="O39" s="98">
        <v>0</v>
      </c>
      <c r="P39" s="33"/>
      <c r="Q39" s="99" t="s">
        <v>1198</v>
      </c>
      <c r="R39" s="100"/>
      <c r="S39" s="101">
        <v>-2.2025884776561387E-2</v>
      </c>
      <c r="T39" s="102">
        <v>14</v>
      </c>
      <c r="U39" s="103">
        <v>0</v>
      </c>
      <c r="V39" s="103">
        <v>0</v>
      </c>
      <c r="W39" s="104">
        <v>0</v>
      </c>
      <c r="X39" s="19"/>
      <c r="Y39" s="103">
        <v>0</v>
      </c>
      <c r="Z39" s="103">
        <v>0</v>
      </c>
      <c r="AA39" s="105">
        <v>0</v>
      </c>
      <c r="AB39" s="106">
        <v>0</v>
      </c>
      <c r="AC39" s="105">
        <v>0</v>
      </c>
      <c r="AD39" s="104">
        <v>0</v>
      </c>
      <c r="AE39" s="104">
        <v>0</v>
      </c>
      <c r="AF39" s="107">
        <v>46265</v>
      </c>
    </row>
    <row r="40" spans="1:33" x14ac:dyDescent="0.25">
      <c r="A40" s="90">
        <v>1002</v>
      </c>
      <c r="B40" s="91" t="s">
        <v>222</v>
      </c>
      <c r="C40" s="29">
        <v>10020004</v>
      </c>
      <c r="D40" s="92" t="s">
        <v>312</v>
      </c>
      <c r="E40" s="93" t="s">
        <v>270</v>
      </c>
      <c r="F40" s="93" t="s">
        <v>230</v>
      </c>
      <c r="G40" s="109">
        <v>488.9</v>
      </c>
      <c r="H40" s="109">
        <v>19543.61</v>
      </c>
      <c r="I40" s="95">
        <v>0</v>
      </c>
      <c r="J40" s="95">
        <v>0</v>
      </c>
      <c r="K40" s="95">
        <v>0</v>
      </c>
      <c r="L40" s="95">
        <v>0</v>
      </c>
      <c r="M40" s="96">
        <v>0</v>
      </c>
      <c r="N40" s="97">
        <v>0</v>
      </c>
      <c r="O40" s="98">
        <v>0</v>
      </c>
      <c r="P40" s="33"/>
      <c r="Q40" s="99" t="s">
        <v>1198</v>
      </c>
      <c r="R40" s="100"/>
      <c r="S40" s="101">
        <v>-1.9111105880642595E-3</v>
      </c>
      <c r="T40" s="102">
        <v>1</v>
      </c>
      <c r="U40" s="103">
        <v>0</v>
      </c>
      <c r="V40" s="103">
        <v>0</v>
      </c>
      <c r="W40" s="104">
        <v>0</v>
      </c>
      <c r="X40" s="19"/>
      <c r="Y40" s="103">
        <v>0</v>
      </c>
      <c r="Z40" s="103">
        <v>0</v>
      </c>
      <c r="AA40" s="105">
        <v>0</v>
      </c>
      <c r="AB40" s="106">
        <v>0</v>
      </c>
      <c r="AC40" s="105">
        <v>0</v>
      </c>
      <c r="AD40" s="104">
        <v>0</v>
      </c>
      <c r="AE40" s="104">
        <v>0</v>
      </c>
      <c r="AF40" s="107">
        <v>46265</v>
      </c>
    </row>
    <row r="41" spans="1:33" x14ac:dyDescent="0.25">
      <c r="A41" s="90">
        <v>1002</v>
      </c>
      <c r="B41" s="91" t="s">
        <v>222</v>
      </c>
      <c r="C41" s="29">
        <v>10020006</v>
      </c>
      <c r="D41" s="92" t="s">
        <v>313</v>
      </c>
      <c r="E41" s="93" t="s">
        <v>275</v>
      </c>
      <c r="F41" s="93" t="s">
        <v>231</v>
      </c>
      <c r="G41" s="109">
        <v>134.6</v>
      </c>
      <c r="H41" s="109">
        <v>5447.3700000000008</v>
      </c>
      <c r="I41" s="95">
        <v>0</v>
      </c>
      <c r="J41" s="95">
        <v>0</v>
      </c>
      <c r="K41" s="95">
        <v>0</v>
      </c>
      <c r="L41" s="95">
        <v>0</v>
      </c>
      <c r="M41" s="96">
        <v>0</v>
      </c>
      <c r="N41" s="97">
        <v>0</v>
      </c>
      <c r="O41" s="98">
        <v>0</v>
      </c>
      <c r="P41" s="33"/>
      <c r="Q41" s="99" t="s">
        <v>1198</v>
      </c>
      <c r="R41" s="100"/>
      <c r="S41" s="101">
        <v>0</v>
      </c>
      <c r="T41" s="102">
        <v>0</v>
      </c>
      <c r="U41" s="103">
        <v>0</v>
      </c>
      <c r="V41" s="103">
        <v>0</v>
      </c>
      <c r="W41" s="104">
        <v>0</v>
      </c>
      <c r="X41" s="19"/>
      <c r="Y41" s="103">
        <v>0</v>
      </c>
      <c r="Z41" s="103">
        <v>0</v>
      </c>
      <c r="AA41" s="105">
        <v>0</v>
      </c>
      <c r="AB41" s="106">
        <v>0</v>
      </c>
      <c r="AC41" s="105">
        <v>0</v>
      </c>
      <c r="AD41" s="104">
        <v>0</v>
      </c>
      <c r="AE41" s="104">
        <v>0</v>
      </c>
      <c r="AF41" s="107">
        <v>46265</v>
      </c>
    </row>
    <row r="42" spans="1:33" x14ac:dyDescent="0.25">
      <c r="A42" s="90">
        <v>1002</v>
      </c>
      <c r="B42" s="91" t="s">
        <v>222</v>
      </c>
      <c r="C42" s="29">
        <v>10020007</v>
      </c>
      <c r="D42" s="92" t="s">
        <v>314</v>
      </c>
      <c r="E42" s="93" t="s">
        <v>275</v>
      </c>
      <c r="F42" s="93" t="s">
        <v>231</v>
      </c>
      <c r="G42" s="109">
        <v>79.7</v>
      </c>
      <c r="H42" s="109">
        <v>2663.2200000000003</v>
      </c>
      <c r="I42" s="95">
        <v>0</v>
      </c>
      <c r="J42" s="95">
        <v>0</v>
      </c>
      <c r="K42" s="95">
        <v>0</v>
      </c>
      <c r="L42" s="95">
        <v>0</v>
      </c>
      <c r="M42" s="96">
        <v>0</v>
      </c>
      <c r="N42" s="97">
        <v>0</v>
      </c>
      <c r="O42" s="98">
        <v>0</v>
      </c>
      <c r="P42" s="33"/>
      <c r="Q42" s="99" t="s">
        <v>1198</v>
      </c>
      <c r="R42" s="100"/>
      <c r="S42" s="101">
        <v>0</v>
      </c>
      <c r="T42" s="102">
        <v>0</v>
      </c>
      <c r="U42" s="103">
        <v>0</v>
      </c>
      <c r="V42" s="103">
        <v>0</v>
      </c>
      <c r="W42" s="104">
        <v>0</v>
      </c>
      <c r="X42" s="19"/>
      <c r="Y42" s="103">
        <v>0</v>
      </c>
      <c r="Z42" s="103">
        <v>0</v>
      </c>
      <c r="AA42" s="105">
        <v>0</v>
      </c>
      <c r="AB42" s="106">
        <v>0</v>
      </c>
      <c r="AC42" s="105">
        <v>0</v>
      </c>
      <c r="AD42" s="104">
        <v>0</v>
      </c>
      <c r="AE42" s="104">
        <v>0</v>
      </c>
      <c r="AF42" s="107">
        <v>46265</v>
      </c>
    </row>
    <row r="43" spans="1:33" x14ac:dyDescent="0.25">
      <c r="A43" s="90">
        <v>1002</v>
      </c>
      <c r="B43" s="91" t="s">
        <v>222</v>
      </c>
      <c r="C43" s="29">
        <v>10020008</v>
      </c>
      <c r="D43" s="92" t="s">
        <v>315</v>
      </c>
      <c r="E43" s="93" t="s">
        <v>275</v>
      </c>
      <c r="F43" s="93" t="s">
        <v>231</v>
      </c>
      <c r="G43" s="109">
        <v>1070.0999999999999</v>
      </c>
      <c r="H43" s="109">
        <v>44619.41</v>
      </c>
      <c r="I43" s="95">
        <v>0</v>
      </c>
      <c r="J43" s="95">
        <v>0</v>
      </c>
      <c r="K43" s="95">
        <v>0</v>
      </c>
      <c r="L43" s="95">
        <v>0</v>
      </c>
      <c r="M43" s="96">
        <v>0</v>
      </c>
      <c r="N43" s="97">
        <v>0</v>
      </c>
      <c r="O43" s="98">
        <v>0</v>
      </c>
      <c r="P43" s="33"/>
      <c r="Q43" s="99" t="s">
        <v>1198</v>
      </c>
      <c r="R43" s="100"/>
      <c r="S43" s="101">
        <v>0</v>
      </c>
      <c r="T43" s="102">
        <v>0</v>
      </c>
      <c r="U43" s="103">
        <v>0</v>
      </c>
      <c r="V43" s="103">
        <v>0</v>
      </c>
      <c r="W43" s="104">
        <v>0</v>
      </c>
      <c r="X43" s="19"/>
      <c r="Y43" s="103">
        <v>0</v>
      </c>
      <c r="Z43" s="103">
        <v>0</v>
      </c>
      <c r="AA43" s="105">
        <v>0</v>
      </c>
      <c r="AB43" s="106">
        <v>0</v>
      </c>
      <c r="AC43" s="105">
        <v>0</v>
      </c>
      <c r="AD43" s="104">
        <v>0</v>
      </c>
      <c r="AE43" s="104">
        <v>0</v>
      </c>
      <c r="AF43" s="107">
        <v>46265</v>
      </c>
    </row>
    <row r="44" spans="1:33" x14ac:dyDescent="0.25">
      <c r="A44" s="90">
        <v>1002</v>
      </c>
      <c r="B44" s="91" t="s">
        <v>222</v>
      </c>
      <c r="C44" s="29">
        <v>10020010</v>
      </c>
      <c r="D44" s="92" t="s">
        <v>316</v>
      </c>
      <c r="E44" s="93" t="s">
        <v>270</v>
      </c>
      <c r="F44" s="93" t="s">
        <v>230</v>
      </c>
      <c r="G44" s="109">
        <v>122.4</v>
      </c>
      <c r="H44" s="109">
        <v>4773.38</v>
      </c>
      <c r="I44" s="95">
        <v>0</v>
      </c>
      <c r="J44" s="95">
        <v>0</v>
      </c>
      <c r="K44" s="95">
        <v>0</v>
      </c>
      <c r="L44" s="95">
        <v>0</v>
      </c>
      <c r="M44" s="96">
        <v>0</v>
      </c>
      <c r="N44" s="97">
        <v>0</v>
      </c>
      <c r="O44" s="98">
        <v>0</v>
      </c>
      <c r="P44" s="33"/>
      <c r="Q44" s="99" t="s">
        <v>1198</v>
      </c>
      <c r="R44" s="100"/>
      <c r="S44" s="101">
        <v>-2.4684814533936107E-2</v>
      </c>
      <c r="T44" s="102">
        <v>4</v>
      </c>
      <c r="U44" s="103">
        <v>0</v>
      </c>
      <c r="V44" s="103">
        <v>0</v>
      </c>
      <c r="W44" s="104">
        <v>0</v>
      </c>
      <c r="X44" s="19"/>
      <c r="Y44" s="103">
        <v>0</v>
      </c>
      <c r="Z44" s="103">
        <v>0</v>
      </c>
      <c r="AA44" s="105">
        <v>0</v>
      </c>
      <c r="AB44" s="106">
        <v>0</v>
      </c>
      <c r="AC44" s="105">
        <v>0</v>
      </c>
      <c r="AD44" s="104">
        <v>0</v>
      </c>
      <c r="AE44" s="104">
        <v>0</v>
      </c>
      <c r="AF44" s="107">
        <v>46265</v>
      </c>
    </row>
    <row r="45" spans="1:33" x14ac:dyDescent="0.25">
      <c r="A45" s="90">
        <v>1002</v>
      </c>
      <c r="B45" s="91" t="s">
        <v>222</v>
      </c>
      <c r="C45" s="29">
        <v>10020013</v>
      </c>
      <c r="D45" s="92" t="s">
        <v>317</v>
      </c>
      <c r="E45" s="93" t="s">
        <v>275</v>
      </c>
      <c r="F45" s="93" t="s">
        <v>231</v>
      </c>
      <c r="G45" s="109">
        <v>1336.8</v>
      </c>
      <c r="H45" s="109">
        <v>53599.899999999994</v>
      </c>
      <c r="I45" s="95">
        <v>0</v>
      </c>
      <c r="J45" s="95">
        <v>0</v>
      </c>
      <c r="K45" s="95">
        <v>0</v>
      </c>
      <c r="L45" s="95">
        <v>0</v>
      </c>
      <c r="M45" s="96">
        <v>0</v>
      </c>
      <c r="N45" s="97">
        <v>0</v>
      </c>
      <c r="O45" s="98">
        <v>0</v>
      </c>
      <c r="P45" s="33"/>
      <c r="Q45" s="99" t="s">
        <v>1198</v>
      </c>
      <c r="R45" s="100"/>
      <c r="S45" s="101">
        <v>0</v>
      </c>
      <c r="T45" s="102">
        <v>0</v>
      </c>
      <c r="U45" s="103">
        <v>0</v>
      </c>
      <c r="V45" s="103">
        <v>0</v>
      </c>
      <c r="W45" s="104">
        <v>0</v>
      </c>
      <c r="X45" s="19"/>
      <c r="Y45" s="103">
        <v>0</v>
      </c>
      <c r="Z45" s="103">
        <v>0</v>
      </c>
      <c r="AA45" s="105">
        <v>0</v>
      </c>
      <c r="AB45" s="106">
        <v>0</v>
      </c>
      <c r="AC45" s="105">
        <v>0</v>
      </c>
      <c r="AD45" s="104">
        <v>0</v>
      </c>
      <c r="AE45" s="104">
        <v>0</v>
      </c>
      <c r="AF45" s="107">
        <v>46265</v>
      </c>
    </row>
    <row r="46" spans="1:33" x14ac:dyDescent="0.25">
      <c r="A46" s="90">
        <v>1002</v>
      </c>
      <c r="B46" s="91" t="s">
        <v>222</v>
      </c>
      <c r="C46" s="29">
        <v>10020015</v>
      </c>
      <c r="D46" s="92" t="s">
        <v>318</v>
      </c>
      <c r="E46" s="93" t="s">
        <v>275</v>
      </c>
      <c r="F46" s="93" t="s">
        <v>231</v>
      </c>
      <c r="G46" s="109">
        <v>28315.1</v>
      </c>
      <c r="H46" s="109">
        <v>1141936.6999999997</v>
      </c>
      <c r="I46" s="95">
        <v>0</v>
      </c>
      <c r="J46" s="95">
        <v>0</v>
      </c>
      <c r="K46" s="95">
        <v>0</v>
      </c>
      <c r="L46" s="95">
        <v>0</v>
      </c>
      <c r="M46" s="96">
        <v>0</v>
      </c>
      <c r="N46" s="97">
        <v>0</v>
      </c>
      <c r="O46" s="98">
        <v>0</v>
      </c>
      <c r="P46" s="33"/>
      <c r="Q46" s="99" t="s">
        <v>1198</v>
      </c>
      <c r="R46" s="100"/>
      <c r="S46" s="101">
        <v>0</v>
      </c>
      <c r="T46" s="102">
        <v>0</v>
      </c>
      <c r="U46" s="103">
        <v>0</v>
      </c>
      <c r="V46" s="103">
        <v>0</v>
      </c>
      <c r="W46" s="104">
        <v>0</v>
      </c>
      <c r="X46" s="19"/>
      <c r="Y46" s="103">
        <v>0</v>
      </c>
      <c r="Z46" s="103">
        <v>0</v>
      </c>
      <c r="AA46" s="105">
        <v>0</v>
      </c>
      <c r="AB46" s="106">
        <v>0</v>
      </c>
      <c r="AC46" s="105">
        <v>0</v>
      </c>
      <c r="AD46" s="104">
        <v>0</v>
      </c>
      <c r="AE46" s="104">
        <v>0</v>
      </c>
      <c r="AF46" s="107">
        <v>46265</v>
      </c>
    </row>
    <row r="47" spans="1:33" x14ac:dyDescent="0.25">
      <c r="A47" s="90">
        <v>1002</v>
      </c>
      <c r="B47" s="91" t="s">
        <v>222</v>
      </c>
      <c r="C47" s="29">
        <v>10020016</v>
      </c>
      <c r="D47" s="92" t="s">
        <v>319</v>
      </c>
      <c r="E47" s="93" t="s">
        <v>275</v>
      </c>
      <c r="F47" s="93" t="s">
        <v>231</v>
      </c>
      <c r="G47" s="109">
        <v>28805.599999999995</v>
      </c>
      <c r="H47" s="109">
        <v>1162683.6200000001</v>
      </c>
      <c r="I47" s="95">
        <v>0</v>
      </c>
      <c r="J47" s="95">
        <v>0</v>
      </c>
      <c r="K47" s="95">
        <v>0</v>
      </c>
      <c r="L47" s="95">
        <v>0</v>
      </c>
      <c r="M47" s="96">
        <v>0</v>
      </c>
      <c r="N47" s="97">
        <v>0</v>
      </c>
      <c r="O47" s="98">
        <v>0</v>
      </c>
      <c r="P47" s="33"/>
      <c r="Q47" s="99" t="s">
        <v>1198</v>
      </c>
      <c r="R47" s="100"/>
      <c r="S47" s="101">
        <v>0</v>
      </c>
      <c r="T47" s="102">
        <v>0</v>
      </c>
      <c r="U47" s="103">
        <v>0</v>
      </c>
      <c r="V47" s="103">
        <v>0</v>
      </c>
      <c r="W47" s="104">
        <v>0</v>
      </c>
      <c r="X47" s="19"/>
      <c r="Y47" s="103">
        <v>0</v>
      </c>
      <c r="Z47" s="103">
        <v>0</v>
      </c>
      <c r="AA47" s="105">
        <v>0</v>
      </c>
      <c r="AB47" s="106">
        <v>0</v>
      </c>
      <c r="AC47" s="105">
        <v>0</v>
      </c>
      <c r="AD47" s="104">
        <v>0</v>
      </c>
      <c r="AE47" s="104">
        <v>0</v>
      </c>
      <c r="AF47" s="107">
        <v>46265</v>
      </c>
    </row>
    <row r="48" spans="1:33" x14ac:dyDescent="0.25">
      <c r="A48" s="90">
        <v>1002</v>
      </c>
      <c r="B48" s="91" t="s">
        <v>222</v>
      </c>
      <c r="C48" s="29">
        <v>10020017</v>
      </c>
      <c r="D48" s="92" t="s">
        <v>320</v>
      </c>
      <c r="E48" s="93" t="s">
        <v>270</v>
      </c>
      <c r="F48" s="93" t="s">
        <v>230</v>
      </c>
      <c r="G48" s="109">
        <v>3396.4000000000005</v>
      </c>
      <c r="H48" s="109">
        <v>139149.46</v>
      </c>
      <c r="I48" s="95">
        <v>0</v>
      </c>
      <c r="J48" s="95">
        <v>0</v>
      </c>
      <c r="K48" s="95">
        <v>0</v>
      </c>
      <c r="L48" s="95">
        <v>0</v>
      </c>
      <c r="M48" s="96">
        <v>1</v>
      </c>
      <c r="N48" s="97">
        <v>0</v>
      </c>
      <c r="O48" s="98">
        <v>1</v>
      </c>
      <c r="P48" s="33"/>
      <c r="Q48" s="99" t="s">
        <v>1198</v>
      </c>
      <c r="R48" s="100"/>
      <c r="S48" s="101">
        <v>-2.5167686601155804E-2</v>
      </c>
      <c r="T48" s="102">
        <v>60</v>
      </c>
      <c r="U48" s="103">
        <v>0</v>
      </c>
      <c r="V48" s="103">
        <v>0</v>
      </c>
      <c r="W48" s="104">
        <v>0</v>
      </c>
      <c r="X48" s="19"/>
      <c r="Y48" s="103">
        <v>0</v>
      </c>
      <c r="Z48" s="103">
        <v>0</v>
      </c>
      <c r="AA48" s="105">
        <v>0</v>
      </c>
      <c r="AB48" s="106">
        <v>0</v>
      </c>
      <c r="AC48" s="105">
        <v>0</v>
      </c>
      <c r="AD48" s="104">
        <v>0</v>
      </c>
      <c r="AE48" s="104">
        <v>0</v>
      </c>
      <c r="AF48" s="107">
        <v>46265</v>
      </c>
      <c r="AG48" s="108"/>
    </row>
    <row r="49" spans="1:33" x14ac:dyDescent="0.25">
      <c r="A49" s="90">
        <v>1002</v>
      </c>
      <c r="B49" s="91" t="s">
        <v>222</v>
      </c>
      <c r="C49" s="29">
        <v>10020021</v>
      </c>
      <c r="D49" s="92" t="s">
        <v>321</v>
      </c>
      <c r="E49" s="93" t="s">
        <v>270</v>
      </c>
      <c r="F49" s="93" t="s">
        <v>230</v>
      </c>
      <c r="G49" s="109">
        <v>3485.8999999999996</v>
      </c>
      <c r="H49" s="109">
        <v>151054.04</v>
      </c>
      <c r="I49" s="95">
        <v>0</v>
      </c>
      <c r="J49" s="95">
        <v>0</v>
      </c>
      <c r="K49" s="95">
        <v>0</v>
      </c>
      <c r="L49" s="95">
        <v>0</v>
      </c>
      <c r="M49" s="96">
        <v>0</v>
      </c>
      <c r="N49" s="97">
        <v>0</v>
      </c>
      <c r="O49" s="98">
        <v>0</v>
      </c>
      <c r="P49" s="33"/>
      <c r="Q49" s="99" t="s">
        <v>1198</v>
      </c>
      <c r="R49" s="100"/>
      <c r="S49" s="101">
        <v>-3.1862371903459009E-2</v>
      </c>
      <c r="T49" s="102">
        <v>33</v>
      </c>
      <c r="U49" s="103">
        <v>0</v>
      </c>
      <c r="V49" s="103">
        <v>0</v>
      </c>
      <c r="W49" s="104">
        <v>0</v>
      </c>
      <c r="X49" s="19"/>
      <c r="Y49" s="103">
        <v>0</v>
      </c>
      <c r="Z49" s="103">
        <v>0</v>
      </c>
      <c r="AA49" s="105">
        <v>0</v>
      </c>
      <c r="AB49" s="106">
        <v>0</v>
      </c>
      <c r="AC49" s="105">
        <v>0</v>
      </c>
      <c r="AD49" s="104">
        <v>0</v>
      </c>
      <c r="AE49" s="104">
        <v>0</v>
      </c>
      <c r="AF49" s="107">
        <v>46265</v>
      </c>
    </row>
    <row r="50" spans="1:33" x14ac:dyDescent="0.25">
      <c r="A50" s="90">
        <v>1002</v>
      </c>
      <c r="B50" s="91" t="s">
        <v>222</v>
      </c>
      <c r="C50" s="29">
        <v>10020023</v>
      </c>
      <c r="D50" s="92" t="s">
        <v>322</v>
      </c>
      <c r="E50" s="93" t="s">
        <v>270</v>
      </c>
      <c r="F50" s="93" t="s">
        <v>230</v>
      </c>
      <c r="G50" s="109">
        <v>753.3</v>
      </c>
      <c r="H50" s="109">
        <v>30066.440000000002</v>
      </c>
      <c r="I50" s="95">
        <v>0</v>
      </c>
      <c r="J50" s="95">
        <v>0</v>
      </c>
      <c r="K50" s="95">
        <v>0</v>
      </c>
      <c r="L50" s="95">
        <v>0</v>
      </c>
      <c r="M50" s="96">
        <v>578</v>
      </c>
      <c r="N50" s="97">
        <v>0</v>
      </c>
      <c r="O50" s="98">
        <v>2</v>
      </c>
      <c r="P50" s="33"/>
      <c r="Q50" s="99" t="s">
        <v>1198</v>
      </c>
      <c r="R50" s="100"/>
      <c r="S50" s="101">
        <v>1.9167217668603173E-2</v>
      </c>
      <c r="T50" s="102">
        <v>21</v>
      </c>
      <c r="U50" s="103">
        <v>0</v>
      </c>
      <c r="V50" s="103">
        <v>0</v>
      </c>
      <c r="W50" s="104">
        <v>0</v>
      </c>
      <c r="X50" s="19"/>
      <c r="Y50" s="103">
        <v>0</v>
      </c>
      <c r="Z50" s="103">
        <v>0</v>
      </c>
      <c r="AA50" s="105">
        <v>0</v>
      </c>
      <c r="AB50" s="106">
        <v>0</v>
      </c>
      <c r="AC50" s="105">
        <v>0</v>
      </c>
      <c r="AD50" s="104">
        <v>0</v>
      </c>
      <c r="AE50" s="104">
        <v>0</v>
      </c>
      <c r="AF50" s="107">
        <v>46265</v>
      </c>
      <c r="AG50" s="108"/>
    </row>
    <row r="51" spans="1:33" x14ac:dyDescent="0.25">
      <c r="A51" s="90">
        <v>1002</v>
      </c>
      <c r="B51" s="91" t="s">
        <v>222</v>
      </c>
      <c r="C51" s="29">
        <v>10020024</v>
      </c>
      <c r="D51" s="92" t="s">
        <v>323</v>
      </c>
      <c r="E51" s="93" t="s">
        <v>270</v>
      </c>
      <c r="F51" s="93" t="s">
        <v>230</v>
      </c>
      <c r="G51" s="109">
        <v>2708.2000000000003</v>
      </c>
      <c r="H51" s="109">
        <v>111632.08999999998</v>
      </c>
      <c r="I51" s="95">
        <v>0</v>
      </c>
      <c r="J51" s="95">
        <v>0</v>
      </c>
      <c r="K51" s="95">
        <v>0</v>
      </c>
      <c r="L51" s="95">
        <v>0</v>
      </c>
      <c r="M51" s="96">
        <v>-233</v>
      </c>
      <c r="N51" s="97" t="s">
        <v>324</v>
      </c>
      <c r="O51" s="98">
        <v>-233</v>
      </c>
      <c r="P51" s="33" t="s">
        <v>286</v>
      </c>
      <c r="Q51" s="99" t="s">
        <v>1198</v>
      </c>
      <c r="R51" s="100"/>
      <c r="S51" s="101">
        <v>-3.6679506761899745E-2</v>
      </c>
      <c r="T51" s="102">
        <v>63</v>
      </c>
      <c r="U51" s="103">
        <v>0</v>
      </c>
      <c r="V51" s="103">
        <v>0</v>
      </c>
      <c r="W51" s="104">
        <v>0</v>
      </c>
      <c r="X51" s="19"/>
      <c r="Y51" s="103">
        <v>0</v>
      </c>
      <c r="Z51" s="103">
        <v>0</v>
      </c>
      <c r="AA51" s="105">
        <v>0</v>
      </c>
      <c r="AB51" s="106">
        <v>0</v>
      </c>
      <c r="AC51" s="105">
        <v>0</v>
      </c>
      <c r="AD51" s="104">
        <v>0</v>
      </c>
      <c r="AE51" s="104">
        <v>-233</v>
      </c>
      <c r="AF51" s="107">
        <v>46265</v>
      </c>
    </row>
    <row r="52" spans="1:33" x14ac:dyDescent="0.25">
      <c r="A52" s="90">
        <v>1002</v>
      </c>
      <c r="B52" s="91" t="s">
        <v>222</v>
      </c>
      <c r="C52" s="29">
        <v>10020025</v>
      </c>
      <c r="D52" s="92" t="s">
        <v>325</v>
      </c>
      <c r="E52" s="93" t="s">
        <v>270</v>
      </c>
      <c r="F52" s="93" t="s">
        <v>230</v>
      </c>
      <c r="G52" s="109">
        <v>567.19999999999993</v>
      </c>
      <c r="H52" s="109">
        <v>23687.959999999995</v>
      </c>
      <c r="I52" s="95">
        <v>0</v>
      </c>
      <c r="J52" s="95">
        <v>0</v>
      </c>
      <c r="K52" s="95">
        <v>0</v>
      </c>
      <c r="L52" s="95">
        <v>0</v>
      </c>
      <c r="M52" s="96">
        <v>0</v>
      </c>
      <c r="N52" s="97">
        <v>0</v>
      </c>
      <c r="O52" s="98">
        <v>0</v>
      </c>
      <c r="P52" s="33"/>
      <c r="Q52" s="99" t="s">
        <v>1198</v>
      </c>
      <c r="R52" s="100"/>
      <c r="S52" s="101">
        <v>-2.9605335368685384E-2</v>
      </c>
      <c r="T52" s="102">
        <v>17</v>
      </c>
      <c r="U52" s="103">
        <v>0</v>
      </c>
      <c r="V52" s="103">
        <v>0</v>
      </c>
      <c r="W52" s="104">
        <v>0</v>
      </c>
      <c r="X52" s="19"/>
      <c r="Y52" s="103">
        <v>0</v>
      </c>
      <c r="Z52" s="103">
        <v>0</v>
      </c>
      <c r="AA52" s="105">
        <v>0</v>
      </c>
      <c r="AB52" s="106">
        <v>0</v>
      </c>
      <c r="AC52" s="105">
        <v>0</v>
      </c>
      <c r="AD52" s="104">
        <v>0</v>
      </c>
      <c r="AE52" s="104">
        <v>0</v>
      </c>
      <c r="AF52" s="107">
        <v>46265</v>
      </c>
    </row>
    <row r="53" spans="1:33" x14ac:dyDescent="0.25">
      <c r="A53" s="90">
        <v>1002</v>
      </c>
      <c r="B53" s="91" t="s">
        <v>222</v>
      </c>
      <c r="C53" s="29">
        <v>10020026</v>
      </c>
      <c r="D53" s="92" t="s">
        <v>326</v>
      </c>
      <c r="E53" s="93" t="s">
        <v>270</v>
      </c>
      <c r="F53" s="93" t="s">
        <v>230</v>
      </c>
      <c r="G53" s="109">
        <v>375.40000000000009</v>
      </c>
      <c r="H53" s="109">
        <v>15118.32</v>
      </c>
      <c r="I53" s="95">
        <v>0</v>
      </c>
      <c r="J53" s="95">
        <v>0</v>
      </c>
      <c r="K53" s="95">
        <v>0</v>
      </c>
      <c r="L53" s="95">
        <v>0</v>
      </c>
      <c r="M53" s="96">
        <v>0</v>
      </c>
      <c r="N53" s="97">
        <v>0</v>
      </c>
      <c r="O53" s="98">
        <v>0</v>
      </c>
      <c r="P53" s="33"/>
      <c r="Q53" s="99" t="s">
        <v>1198</v>
      </c>
      <c r="R53" s="100"/>
      <c r="S53" s="101">
        <v>-3.1752205271485132E-2</v>
      </c>
      <c r="T53" s="102">
        <v>4</v>
      </c>
      <c r="U53" s="103">
        <v>0</v>
      </c>
      <c r="V53" s="103">
        <v>0</v>
      </c>
      <c r="W53" s="104">
        <v>0</v>
      </c>
      <c r="X53" s="19"/>
      <c r="Y53" s="103">
        <v>0</v>
      </c>
      <c r="Z53" s="103">
        <v>0</v>
      </c>
      <c r="AA53" s="105">
        <v>0</v>
      </c>
      <c r="AB53" s="106">
        <v>0</v>
      </c>
      <c r="AC53" s="105">
        <v>0</v>
      </c>
      <c r="AD53" s="104">
        <v>0</v>
      </c>
      <c r="AE53" s="104">
        <v>0</v>
      </c>
      <c r="AF53" s="107">
        <v>46265</v>
      </c>
      <c r="AG53" s="108"/>
    </row>
    <row r="54" spans="1:33" x14ac:dyDescent="0.25">
      <c r="A54" s="90">
        <v>1002</v>
      </c>
      <c r="B54" s="91" t="s">
        <v>222</v>
      </c>
      <c r="C54" s="29">
        <v>10020027</v>
      </c>
      <c r="D54" s="92" t="s">
        <v>221</v>
      </c>
      <c r="E54" s="93" t="s">
        <v>270</v>
      </c>
      <c r="F54" s="93" t="s">
        <v>230</v>
      </c>
      <c r="G54" s="109">
        <v>562.30000000000007</v>
      </c>
      <c r="H54" s="109">
        <v>24021.66</v>
      </c>
      <c r="I54" s="95">
        <v>0</v>
      </c>
      <c r="J54" s="95">
        <v>3835.3</v>
      </c>
      <c r="K54" s="95">
        <v>0</v>
      </c>
      <c r="L54" s="95">
        <v>0</v>
      </c>
      <c r="M54" s="96">
        <v>0</v>
      </c>
      <c r="N54" s="97">
        <v>0</v>
      </c>
      <c r="O54" s="98">
        <v>0</v>
      </c>
      <c r="P54" s="33"/>
      <c r="Q54" s="99" t="s">
        <v>1198</v>
      </c>
      <c r="R54" s="100"/>
      <c r="S54" s="101">
        <v>-1.6443493080815771E-4</v>
      </c>
      <c r="T54" s="102">
        <v>1</v>
      </c>
      <c r="U54" s="103">
        <v>0</v>
      </c>
      <c r="V54" s="103">
        <v>0</v>
      </c>
      <c r="W54" s="104">
        <v>0</v>
      </c>
      <c r="X54" s="19"/>
      <c r="Y54" s="103">
        <v>0</v>
      </c>
      <c r="Z54" s="103">
        <v>0</v>
      </c>
      <c r="AA54" s="105">
        <v>0</v>
      </c>
      <c r="AB54" s="106">
        <v>0</v>
      </c>
      <c r="AC54" s="105">
        <v>0</v>
      </c>
      <c r="AD54" s="104">
        <v>0</v>
      </c>
      <c r="AE54" s="104">
        <v>0</v>
      </c>
      <c r="AF54" s="107">
        <v>46265</v>
      </c>
      <c r="AG54" s="108"/>
    </row>
    <row r="55" spans="1:33" x14ac:dyDescent="0.25">
      <c r="A55" s="90">
        <v>1002</v>
      </c>
      <c r="B55" s="91" t="s">
        <v>222</v>
      </c>
      <c r="C55" s="29">
        <v>10020029</v>
      </c>
      <c r="D55" s="92" t="s">
        <v>327</v>
      </c>
      <c r="E55" s="93" t="s">
        <v>270</v>
      </c>
      <c r="F55" s="93" t="s">
        <v>230</v>
      </c>
      <c r="G55" s="109">
        <v>300.40000000000003</v>
      </c>
      <c r="H55" s="109">
        <v>12016.88</v>
      </c>
      <c r="I55" s="95">
        <v>602</v>
      </c>
      <c r="J55" s="95">
        <v>0</v>
      </c>
      <c r="K55" s="95">
        <v>0</v>
      </c>
      <c r="L55" s="95">
        <v>0</v>
      </c>
      <c r="M55" s="96">
        <v>0</v>
      </c>
      <c r="N55" s="97">
        <v>0</v>
      </c>
      <c r="O55" s="98">
        <v>0</v>
      </c>
      <c r="P55" s="33" t="s">
        <v>328</v>
      </c>
      <c r="Q55" s="99" t="s">
        <v>1198</v>
      </c>
      <c r="R55" s="100"/>
      <c r="S55" s="101">
        <v>-6.8662581302301476E-2</v>
      </c>
      <c r="T55" s="102">
        <v>5</v>
      </c>
      <c r="U55" s="103">
        <v>0</v>
      </c>
      <c r="V55" s="103">
        <v>0</v>
      </c>
      <c r="W55" s="104">
        <v>0</v>
      </c>
      <c r="X55" s="19"/>
      <c r="Y55" s="103">
        <v>0</v>
      </c>
      <c r="Z55" s="103">
        <v>0</v>
      </c>
      <c r="AA55" s="105">
        <v>0</v>
      </c>
      <c r="AB55" s="106">
        <v>0</v>
      </c>
      <c r="AC55" s="105">
        <v>0</v>
      </c>
      <c r="AD55" s="104">
        <v>0</v>
      </c>
      <c r="AE55" s="104">
        <v>0</v>
      </c>
      <c r="AF55" s="107">
        <v>46265</v>
      </c>
      <c r="AG55" s="108"/>
    </row>
    <row r="56" spans="1:33" x14ac:dyDescent="0.25">
      <c r="A56" s="90">
        <v>1002</v>
      </c>
      <c r="B56" s="91" t="s">
        <v>222</v>
      </c>
      <c r="C56" s="29">
        <v>10020032</v>
      </c>
      <c r="D56" s="92" t="s">
        <v>329</v>
      </c>
      <c r="E56" s="93" t="s">
        <v>270</v>
      </c>
      <c r="F56" s="93" t="s">
        <v>230</v>
      </c>
      <c r="G56" s="109">
        <v>1183.6000000000001</v>
      </c>
      <c r="H56" s="109">
        <v>52971.930000000008</v>
      </c>
      <c r="I56" s="95">
        <v>0</v>
      </c>
      <c r="J56" s="95">
        <v>0</v>
      </c>
      <c r="K56" s="95">
        <v>0</v>
      </c>
      <c r="L56" s="95">
        <v>0</v>
      </c>
      <c r="M56" s="96">
        <v>0</v>
      </c>
      <c r="N56" s="97">
        <v>0</v>
      </c>
      <c r="O56" s="98">
        <v>0</v>
      </c>
      <c r="P56" s="33"/>
      <c r="Q56" s="99" t="s">
        <v>1198</v>
      </c>
      <c r="R56" s="100"/>
      <c r="S56" s="101">
        <v>-2.7097370248733509E-2</v>
      </c>
      <c r="T56" s="102">
        <v>23</v>
      </c>
      <c r="U56" s="103">
        <v>0</v>
      </c>
      <c r="V56" s="103">
        <v>0</v>
      </c>
      <c r="W56" s="104">
        <v>0</v>
      </c>
      <c r="X56" s="19"/>
      <c r="Y56" s="103">
        <v>0</v>
      </c>
      <c r="Z56" s="103">
        <v>0</v>
      </c>
      <c r="AA56" s="105">
        <v>0</v>
      </c>
      <c r="AB56" s="106">
        <v>0</v>
      </c>
      <c r="AC56" s="105">
        <v>0</v>
      </c>
      <c r="AD56" s="104">
        <v>0</v>
      </c>
      <c r="AE56" s="104">
        <v>0</v>
      </c>
      <c r="AF56" s="107">
        <v>46265</v>
      </c>
    </row>
    <row r="57" spans="1:33" x14ac:dyDescent="0.25">
      <c r="A57" s="90">
        <v>1002</v>
      </c>
      <c r="B57" s="91" t="s">
        <v>222</v>
      </c>
      <c r="C57" s="29">
        <v>10020034</v>
      </c>
      <c r="D57" s="92" t="s">
        <v>330</v>
      </c>
      <c r="E57" s="93" t="s">
        <v>270</v>
      </c>
      <c r="F57" s="93" t="s">
        <v>230</v>
      </c>
      <c r="G57" s="109">
        <v>713.8</v>
      </c>
      <c r="H57" s="109">
        <v>32603.07</v>
      </c>
      <c r="I57" s="95">
        <v>0</v>
      </c>
      <c r="J57" s="95">
        <v>6136</v>
      </c>
      <c r="K57" s="95">
        <v>0</v>
      </c>
      <c r="L57" s="95">
        <v>0</v>
      </c>
      <c r="M57" s="96">
        <v>1178</v>
      </c>
      <c r="N57" s="97" t="s">
        <v>331</v>
      </c>
      <c r="O57" s="98">
        <v>-1</v>
      </c>
      <c r="P57" s="33" t="s">
        <v>332</v>
      </c>
      <c r="Q57" s="99" t="s">
        <v>1198</v>
      </c>
      <c r="R57" s="100"/>
      <c r="S57" s="101">
        <v>3.6164999185659512E-2</v>
      </c>
      <c r="T57" s="102">
        <v>25</v>
      </c>
      <c r="U57" s="103">
        <v>15212.399999999998</v>
      </c>
      <c r="V57" s="103">
        <v>6136</v>
      </c>
      <c r="W57" s="104">
        <v>9076.3999999999978</v>
      </c>
      <c r="X57" s="19"/>
      <c r="Y57" s="103">
        <v>0</v>
      </c>
      <c r="Z57" s="103">
        <v>0</v>
      </c>
      <c r="AA57" s="105">
        <v>0</v>
      </c>
      <c r="AB57" s="106">
        <v>0</v>
      </c>
      <c r="AC57" s="105">
        <v>0</v>
      </c>
      <c r="AD57" s="104">
        <v>0</v>
      </c>
      <c r="AE57" s="104">
        <v>0</v>
      </c>
      <c r="AF57" s="107">
        <v>46265</v>
      </c>
    </row>
    <row r="58" spans="1:33" x14ac:dyDescent="0.25">
      <c r="A58" s="90">
        <v>1002</v>
      </c>
      <c r="B58" s="91" t="s">
        <v>222</v>
      </c>
      <c r="C58" s="29">
        <v>10020035</v>
      </c>
      <c r="D58" s="92" t="s">
        <v>333</v>
      </c>
      <c r="E58" s="93" t="s">
        <v>270</v>
      </c>
      <c r="F58" s="93" t="s">
        <v>230</v>
      </c>
      <c r="G58" s="109">
        <v>2250.2999999999993</v>
      </c>
      <c r="H58" s="109">
        <v>97557.440000000002</v>
      </c>
      <c r="I58" s="95">
        <v>0</v>
      </c>
      <c r="J58" s="95">
        <v>0</v>
      </c>
      <c r="K58" s="95">
        <v>0</v>
      </c>
      <c r="L58" s="95">
        <v>0</v>
      </c>
      <c r="M58" s="96">
        <v>0</v>
      </c>
      <c r="N58" s="97">
        <v>0</v>
      </c>
      <c r="O58" s="98">
        <v>0</v>
      </c>
      <c r="P58" s="33"/>
      <c r="Q58" s="99" t="s">
        <v>1198</v>
      </c>
      <c r="R58" s="100"/>
      <c r="S58" s="101">
        <v>-8.0449015472320359E-3</v>
      </c>
      <c r="T58" s="102">
        <v>8</v>
      </c>
      <c r="U58" s="103">
        <v>0</v>
      </c>
      <c r="V58" s="103">
        <v>0</v>
      </c>
      <c r="W58" s="104">
        <v>0</v>
      </c>
      <c r="X58" s="19"/>
      <c r="Y58" s="103">
        <v>0</v>
      </c>
      <c r="Z58" s="103">
        <v>0</v>
      </c>
      <c r="AA58" s="105">
        <v>0</v>
      </c>
      <c r="AB58" s="106">
        <v>0</v>
      </c>
      <c r="AC58" s="105">
        <v>0</v>
      </c>
      <c r="AD58" s="104">
        <v>0</v>
      </c>
      <c r="AE58" s="104">
        <v>0</v>
      </c>
      <c r="AF58" s="107">
        <v>46265</v>
      </c>
    </row>
    <row r="59" spans="1:33" x14ac:dyDescent="0.25">
      <c r="A59" s="90">
        <v>1002</v>
      </c>
      <c r="B59" s="91" t="s">
        <v>222</v>
      </c>
      <c r="C59" s="29">
        <v>10020038</v>
      </c>
      <c r="D59" s="92" t="s">
        <v>334</v>
      </c>
      <c r="E59" s="93" t="s">
        <v>270</v>
      </c>
      <c r="F59" s="93" t="s">
        <v>230</v>
      </c>
      <c r="G59" s="109">
        <v>542.5</v>
      </c>
      <c r="H59" s="109">
        <v>21893.63</v>
      </c>
      <c r="I59" s="95">
        <v>0</v>
      </c>
      <c r="J59" s="95">
        <v>0</v>
      </c>
      <c r="K59" s="95">
        <v>0</v>
      </c>
      <c r="L59" s="95">
        <v>0</v>
      </c>
      <c r="M59" s="96">
        <v>241</v>
      </c>
      <c r="N59" s="97">
        <v>0</v>
      </c>
      <c r="O59" s="98">
        <v>0</v>
      </c>
      <c r="P59" s="33"/>
      <c r="Q59" s="99" t="s">
        <v>1198</v>
      </c>
      <c r="R59" s="100"/>
      <c r="S59" s="101">
        <v>1.1040654290768479E-2</v>
      </c>
      <c r="T59" s="102">
        <v>11</v>
      </c>
      <c r="U59" s="103">
        <v>0</v>
      </c>
      <c r="V59" s="103">
        <v>0</v>
      </c>
      <c r="W59" s="104">
        <v>0</v>
      </c>
      <c r="X59" s="19"/>
      <c r="Y59" s="103">
        <v>0</v>
      </c>
      <c r="Z59" s="103">
        <v>0</v>
      </c>
      <c r="AA59" s="105">
        <v>0</v>
      </c>
      <c r="AB59" s="106">
        <v>0</v>
      </c>
      <c r="AC59" s="105">
        <v>0</v>
      </c>
      <c r="AD59" s="104">
        <v>0</v>
      </c>
      <c r="AE59" s="104">
        <v>0</v>
      </c>
      <c r="AF59" s="107">
        <v>46265</v>
      </c>
      <c r="AG59" s="108"/>
    </row>
    <row r="60" spans="1:33" x14ac:dyDescent="0.25">
      <c r="A60" s="90">
        <v>1002</v>
      </c>
      <c r="B60" s="91" t="s">
        <v>222</v>
      </c>
      <c r="C60" s="29">
        <v>10020041</v>
      </c>
      <c r="D60" s="92" t="s">
        <v>335</v>
      </c>
      <c r="E60" s="93" t="s">
        <v>270</v>
      </c>
      <c r="F60" s="93" t="s">
        <v>230</v>
      </c>
      <c r="G60" s="109">
        <v>148</v>
      </c>
      <c r="H60" s="109">
        <v>7963.5999999999995</v>
      </c>
      <c r="I60" s="95">
        <v>0</v>
      </c>
      <c r="J60" s="95">
        <v>0</v>
      </c>
      <c r="K60" s="95">
        <v>500</v>
      </c>
      <c r="L60" s="95">
        <v>0</v>
      </c>
      <c r="M60" s="96">
        <v>0</v>
      </c>
      <c r="N60" s="97">
        <v>0</v>
      </c>
      <c r="O60" s="98">
        <v>0</v>
      </c>
      <c r="P60" s="33"/>
      <c r="Q60" s="99" t="s">
        <v>1198</v>
      </c>
      <c r="R60" s="100"/>
      <c r="S60" s="101">
        <v>-0.28194283992164326</v>
      </c>
      <c r="T60" s="102">
        <v>6</v>
      </c>
      <c r="U60" s="103">
        <v>0</v>
      </c>
      <c r="V60" s="103">
        <v>0</v>
      </c>
      <c r="W60" s="104">
        <v>0</v>
      </c>
      <c r="X60" s="19"/>
      <c r="Y60" s="103">
        <v>500</v>
      </c>
      <c r="Z60" s="103">
        <v>0</v>
      </c>
      <c r="AA60" s="105">
        <v>0</v>
      </c>
      <c r="AB60" s="106">
        <v>500</v>
      </c>
      <c r="AC60" s="105">
        <v>500</v>
      </c>
      <c r="AD60" s="104">
        <v>0</v>
      </c>
      <c r="AE60" s="104">
        <v>0</v>
      </c>
      <c r="AF60" s="107">
        <v>46265</v>
      </c>
    </row>
    <row r="61" spans="1:33" x14ac:dyDescent="0.25">
      <c r="A61" s="90">
        <v>1002</v>
      </c>
      <c r="B61" s="91" t="s">
        <v>222</v>
      </c>
      <c r="C61" s="29">
        <v>10020042</v>
      </c>
      <c r="D61" s="92" t="s">
        <v>336</v>
      </c>
      <c r="E61" s="93" t="s">
        <v>270</v>
      </c>
      <c r="F61" s="93" t="s">
        <v>230</v>
      </c>
      <c r="G61" s="109">
        <v>531.69999999999993</v>
      </c>
      <c r="H61" s="109">
        <v>20245.05</v>
      </c>
      <c r="I61" s="95">
        <v>0</v>
      </c>
      <c r="J61" s="95">
        <v>0</v>
      </c>
      <c r="K61" s="95">
        <v>0</v>
      </c>
      <c r="L61" s="95">
        <v>0</v>
      </c>
      <c r="M61" s="96">
        <v>564</v>
      </c>
      <c r="N61" s="97">
        <v>0</v>
      </c>
      <c r="O61" s="98">
        <v>0</v>
      </c>
      <c r="P61" s="33"/>
      <c r="Q61" s="99" t="s">
        <v>1198</v>
      </c>
      <c r="R61" s="100"/>
      <c r="S61" s="101">
        <v>2.7880889402594745E-2</v>
      </c>
      <c r="T61" s="102">
        <v>1</v>
      </c>
      <c r="U61" s="103">
        <v>0</v>
      </c>
      <c r="V61" s="103">
        <v>0</v>
      </c>
      <c r="W61" s="104">
        <v>0</v>
      </c>
      <c r="X61" s="19"/>
      <c r="Y61" s="103">
        <v>0</v>
      </c>
      <c r="Z61" s="103">
        <v>0</v>
      </c>
      <c r="AA61" s="105">
        <v>0</v>
      </c>
      <c r="AB61" s="106">
        <v>0</v>
      </c>
      <c r="AC61" s="105">
        <v>0</v>
      </c>
      <c r="AD61" s="104">
        <v>0</v>
      </c>
      <c r="AE61" s="104">
        <v>0</v>
      </c>
      <c r="AF61" s="107">
        <v>46265</v>
      </c>
    </row>
    <row r="62" spans="1:33" x14ac:dyDescent="0.25">
      <c r="A62" s="90">
        <v>1002</v>
      </c>
      <c r="B62" s="91" t="s">
        <v>222</v>
      </c>
      <c r="C62" s="29">
        <v>10020043</v>
      </c>
      <c r="D62" s="92" t="s">
        <v>337</v>
      </c>
      <c r="E62" s="93" t="s">
        <v>270</v>
      </c>
      <c r="F62" s="93" t="s">
        <v>230</v>
      </c>
      <c r="G62" s="109">
        <v>909.59999999999991</v>
      </c>
      <c r="H62" s="109">
        <v>40156.539999999994</v>
      </c>
      <c r="I62" s="95">
        <v>0</v>
      </c>
      <c r="J62" s="95">
        <v>0</v>
      </c>
      <c r="K62" s="95">
        <v>0</v>
      </c>
      <c r="L62" s="95">
        <v>0</v>
      </c>
      <c r="M62" s="96">
        <v>0</v>
      </c>
      <c r="N62" s="97">
        <v>0</v>
      </c>
      <c r="O62" s="98">
        <v>0</v>
      </c>
      <c r="P62" s="33"/>
      <c r="Q62" s="99" t="s">
        <v>1198</v>
      </c>
      <c r="R62" s="100"/>
      <c r="S62" s="101">
        <v>-7.3818610866376337E-3</v>
      </c>
      <c r="T62" s="102">
        <v>10</v>
      </c>
      <c r="U62" s="103">
        <v>0</v>
      </c>
      <c r="V62" s="103">
        <v>0</v>
      </c>
      <c r="W62" s="104">
        <v>0</v>
      </c>
      <c r="X62" s="19"/>
      <c r="Y62" s="103">
        <v>0</v>
      </c>
      <c r="Z62" s="103">
        <v>0</v>
      </c>
      <c r="AA62" s="105">
        <v>0</v>
      </c>
      <c r="AB62" s="106">
        <v>0</v>
      </c>
      <c r="AC62" s="105">
        <v>0</v>
      </c>
      <c r="AD62" s="104">
        <v>0</v>
      </c>
      <c r="AE62" s="104">
        <v>0</v>
      </c>
      <c r="AF62" s="107">
        <v>46265</v>
      </c>
    </row>
    <row r="63" spans="1:33" x14ac:dyDescent="0.25">
      <c r="A63" s="90">
        <v>1002</v>
      </c>
      <c r="B63" s="91" t="s">
        <v>222</v>
      </c>
      <c r="C63" s="29">
        <v>10020044</v>
      </c>
      <c r="D63" s="92" t="s">
        <v>338</v>
      </c>
      <c r="E63" s="93" t="s">
        <v>270</v>
      </c>
      <c r="F63" s="93" t="s">
        <v>230</v>
      </c>
      <c r="G63" s="109">
        <v>1241.3999999999999</v>
      </c>
      <c r="H63" s="109">
        <v>57312.320000000007</v>
      </c>
      <c r="I63" s="95">
        <v>0</v>
      </c>
      <c r="J63" s="95">
        <v>0</v>
      </c>
      <c r="K63" s="95">
        <v>0</v>
      </c>
      <c r="L63" s="95">
        <v>0</v>
      </c>
      <c r="M63" s="96">
        <v>267</v>
      </c>
      <c r="N63" s="97">
        <v>0</v>
      </c>
      <c r="O63" s="98">
        <v>1</v>
      </c>
      <c r="P63" s="33"/>
      <c r="Q63" s="99" t="s">
        <v>1198</v>
      </c>
      <c r="R63" s="100"/>
      <c r="S63" s="101">
        <v>4.6489131830645984E-3</v>
      </c>
      <c r="T63" s="102">
        <v>23</v>
      </c>
      <c r="U63" s="103">
        <v>0</v>
      </c>
      <c r="V63" s="103">
        <v>0</v>
      </c>
      <c r="W63" s="104">
        <v>0</v>
      </c>
      <c r="X63" s="19"/>
      <c r="Y63" s="103">
        <v>0</v>
      </c>
      <c r="Z63" s="103">
        <v>0</v>
      </c>
      <c r="AA63" s="105">
        <v>0</v>
      </c>
      <c r="AB63" s="106">
        <v>0</v>
      </c>
      <c r="AC63" s="105">
        <v>0</v>
      </c>
      <c r="AD63" s="104">
        <v>0</v>
      </c>
      <c r="AE63" s="104">
        <v>0</v>
      </c>
      <c r="AF63" s="107">
        <v>46265</v>
      </c>
    </row>
    <row r="64" spans="1:33" x14ac:dyDescent="0.25">
      <c r="A64" s="90">
        <v>1002</v>
      </c>
      <c r="B64" s="91" t="s">
        <v>222</v>
      </c>
      <c r="C64" s="29">
        <v>10020047</v>
      </c>
      <c r="D64" s="92" t="s">
        <v>339</v>
      </c>
      <c r="E64" s="93" t="s">
        <v>275</v>
      </c>
      <c r="F64" s="93" t="s">
        <v>231</v>
      </c>
      <c r="G64" s="109">
        <v>2826.5</v>
      </c>
      <c r="H64" s="109">
        <v>121761.59000000001</v>
      </c>
      <c r="I64" s="95">
        <v>0</v>
      </c>
      <c r="J64" s="95">
        <v>0</v>
      </c>
      <c r="K64" s="95">
        <v>0</v>
      </c>
      <c r="L64" s="95">
        <v>0</v>
      </c>
      <c r="M64" s="96">
        <v>0</v>
      </c>
      <c r="N64" s="97">
        <v>0</v>
      </c>
      <c r="O64" s="98">
        <v>0</v>
      </c>
      <c r="P64" s="33"/>
      <c r="Q64" s="99" t="s">
        <v>1198</v>
      </c>
      <c r="R64" s="100"/>
      <c r="S64" s="101">
        <v>0</v>
      </c>
      <c r="T64" s="102">
        <v>0</v>
      </c>
      <c r="U64" s="103">
        <v>0</v>
      </c>
      <c r="V64" s="103">
        <v>0</v>
      </c>
      <c r="W64" s="104">
        <v>0</v>
      </c>
      <c r="X64" s="19"/>
      <c r="Y64" s="103">
        <v>0</v>
      </c>
      <c r="Z64" s="103">
        <v>0</v>
      </c>
      <c r="AA64" s="105">
        <v>0</v>
      </c>
      <c r="AB64" s="106">
        <v>0</v>
      </c>
      <c r="AC64" s="105">
        <v>0</v>
      </c>
      <c r="AD64" s="104">
        <v>0</v>
      </c>
      <c r="AE64" s="104">
        <v>0</v>
      </c>
      <c r="AF64" s="107">
        <v>46265</v>
      </c>
    </row>
    <row r="65" spans="1:32" x14ac:dyDescent="0.25">
      <c r="A65" s="90">
        <v>1002</v>
      </c>
      <c r="B65" s="91" t="s">
        <v>222</v>
      </c>
      <c r="C65" s="29">
        <v>10020050</v>
      </c>
      <c r="D65" s="92" t="s">
        <v>340</v>
      </c>
      <c r="E65" s="93" t="s">
        <v>270</v>
      </c>
      <c r="F65" s="93" t="s">
        <v>230</v>
      </c>
      <c r="G65" s="109">
        <v>1004.0000000000001</v>
      </c>
      <c r="H65" s="109">
        <v>47844.729999999996</v>
      </c>
      <c r="I65" s="95">
        <v>0</v>
      </c>
      <c r="J65" s="95">
        <v>0</v>
      </c>
      <c r="K65" s="95">
        <v>0</v>
      </c>
      <c r="L65" s="95">
        <v>0</v>
      </c>
      <c r="M65" s="96">
        <v>0</v>
      </c>
      <c r="N65" s="97">
        <v>0</v>
      </c>
      <c r="O65" s="98">
        <v>0</v>
      </c>
      <c r="P65" s="33"/>
      <c r="Q65" s="99" t="s">
        <v>1198</v>
      </c>
      <c r="R65" s="100"/>
      <c r="S65" s="101">
        <v>-1.1165284034416801E-3</v>
      </c>
      <c r="T65" s="102">
        <v>11</v>
      </c>
      <c r="U65" s="103">
        <v>0</v>
      </c>
      <c r="V65" s="103">
        <v>0</v>
      </c>
      <c r="W65" s="104">
        <v>0</v>
      </c>
      <c r="X65" s="19"/>
      <c r="Y65" s="103">
        <v>0</v>
      </c>
      <c r="Z65" s="103">
        <v>0</v>
      </c>
      <c r="AA65" s="105">
        <v>0</v>
      </c>
      <c r="AB65" s="106">
        <v>0</v>
      </c>
      <c r="AC65" s="105">
        <v>0</v>
      </c>
      <c r="AD65" s="104">
        <v>0</v>
      </c>
      <c r="AE65" s="104">
        <v>0</v>
      </c>
      <c r="AF65" s="107">
        <v>46265</v>
      </c>
    </row>
    <row r="66" spans="1:32" x14ac:dyDescent="0.25">
      <c r="A66" s="90">
        <v>1002</v>
      </c>
      <c r="B66" s="91" t="s">
        <v>222</v>
      </c>
      <c r="C66" s="29">
        <v>10020052</v>
      </c>
      <c r="D66" s="92" t="s">
        <v>341</v>
      </c>
      <c r="E66" s="93" t="s">
        <v>275</v>
      </c>
      <c r="F66" s="93" t="s">
        <v>231</v>
      </c>
      <c r="G66" s="109">
        <v>71</v>
      </c>
      <c r="H66" s="109">
        <v>3246.83</v>
      </c>
      <c r="I66" s="95">
        <v>0</v>
      </c>
      <c r="J66" s="95">
        <v>0</v>
      </c>
      <c r="K66" s="95">
        <v>0</v>
      </c>
      <c r="L66" s="95">
        <v>0</v>
      </c>
      <c r="M66" s="96">
        <v>0</v>
      </c>
      <c r="N66" s="97">
        <v>0</v>
      </c>
      <c r="O66" s="98">
        <v>0</v>
      </c>
      <c r="P66" s="33"/>
      <c r="Q66" s="99" t="s">
        <v>1198</v>
      </c>
      <c r="R66" s="100"/>
      <c r="S66" s="101">
        <v>0</v>
      </c>
      <c r="T66" s="102">
        <v>0</v>
      </c>
      <c r="U66" s="103">
        <v>0</v>
      </c>
      <c r="V66" s="103">
        <v>0</v>
      </c>
      <c r="W66" s="104">
        <v>0</v>
      </c>
      <c r="X66" s="19"/>
      <c r="Y66" s="103">
        <v>0</v>
      </c>
      <c r="Z66" s="103">
        <v>0</v>
      </c>
      <c r="AA66" s="105">
        <v>0</v>
      </c>
      <c r="AB66" s="106">
        <v>0</v>
      </c>
      <c r="AC66" s="105">
        <v>0</v>
      </c>
      <c r="AD66" s="104">
        <v>0</v>
      </c>
      <c r="AE66" s="104">
        <v>0</v>
      </c>
      <c r="AF66" s="107">
        <v>46265</v>
      </c>
    </row>
    <row r="67" spans="1:32" x14ac:dyDescent="0.25">
      <c r="A67" s="90">
        <v>1002</v>
      </c>
      <c r="B67" s="91" t="s">
        <v>222</v>
      </c>
      <c r="C67" s="29">
        <v>10020054</v>
      </c>
      <c r="D67" s="92" t="s">
        <v>342</v>
      </c>
      <c r="E67" s="93" t="s">
        <v>275</v>
      </c>
      <c r="F67" s="93" t="s">
        <v>231</v>
      </c>
      <c r="G67" s="109">
        <v>1386.9</v>
      </c>
      <c r="H67" s="109">
        <v>60040.179999999993</v>
      </c>
      <c r="I67" s="95">
        <v>0</v>
      </c>
      <c r="J67" s="95">
        <v>0</v>
      </c>
      <c r="K67" s="95">
        <v>0</v>
      </c>
      <c r="L67" s="95">
        <v>0</v>
      </c>
      <c r="M67" s="96">
        <v>0</v>
      </c>
      <c r="N67" s="97">
        <v>0</v>
      </c>
      <c r="O67" s="98">
        <v>0</v>
      </c>
      <c r="P67" s="33"/>
      <c r="Q67" s="99" t="s">
        <v>1198</v>
      </c>
      <c r="R67" s="100"/>
      <c r="S67" s="101">
        <v>0</v>
      </c>
      <c r="T67" s="102">
        <v>0</v>
      </c>
      <c r="U67" s="103">
        <v>0</v>
      </c>
      <c r="V67" s="103">
        <v>0</v>
      </c>
      <c r="W67" s="104">
        <v>0</v>
      </c>
      <c r="X67" s="19"/>
      <c r="Y67" s="103">
        <v>0</v>
      </c>
      <c r="Z67" s="103">
        <v>0</v>
      </c>
      <c r="AA67" s="105">
        <v>0</v>
      </c>
      <c r="AB67" s="106">
        <v>0</v>
      </c>
      <c r="AC67" s="105">
        <v>0</v>
      </c>
      <c r="AD67" s="104">
        <v>0</v>
      </c>
      <c r="AE67" s="104">
        <v>0</v>
      </c>
      <c r="AF67" s="107">
        <v>46265</v>
      </c>
    </row>
    <row r="68" spans="1:32" x14ac:dyDescent="0.25">
      <c r="A68" s="90">
        <v>1002</v>
      </c>
      <c r="B68" s="91" t="s">
        <v>222</v>
      </c>
      <c r="C68" s="29">
        <v>10020056</v>
      </c>
      <c r="D68" s="92" t="s">
        <v>343</v>
      </c>
      <c r="E68" s="93" t="s">
        <v>275</v>
      </c>
      <c r="F68" s="93" t="s">
        <v>231</v>
      </c>
      <c r="G68" s="109">
        <v>57.6</v>
      </c>
      <c r="H68" s="109">
        <v>3157.06</v>
      </c>
      <c r="I68" s="95">
        <v>0</v>
      </c>
      <c r="J68" s="95">
        <v>0</v>
      </c>
      <c r="K68" s="95">
        <v>0</v>
      </c>
      <c r="L68" s="95">
        <v>0</v>
      </c>
      <c r="M68" s="96">
        <v>0</v>
      </c>
      <c r="N68" s="97">
        <v>0</v>
      </c>
      <c r="O68" s="98">
        <v>0</v>
      </c>
      <c r="P68" s="33"/>
      <c r="Q68" s="99" t="s">
        <v>1198</v>
      </c>
      <c r="R68" s="100"/>
      <c r="S68" s="101">
        <v>0</v>
      </c>
      <c r="T68" s="102">
        <v>0</v>
      </c>
      <c r="U68" s="103">
        <v>0</v>
      </c>
      <c r="V68" s="103">
        <v>0</v>
      </c>
      <c r="W68" s="104">
        <v>0</v>
      </c>
      <c r="X68" s="19"/>
      <c r="Y68" s="103">
        <v>0</v>
      </c>
      <c r="Z68" s="103">
        <v>0</v>
      </c>
      <c r="AA68" s="105">
        <v>0</v>
      </c>
      <c r="AB68" s="106">
        <v>0</v>
      </c>
      <c r="AC68" s="105">
        <v>0</v>
      </c>
      <c r="AD68" s="104">
        <v>0</v>
      </c>
      <c r="AE68" s="104">
        <v>0</v>
      </c>
      <c r="AF68" s="107">
        <v>46265</v>
      </c>
    </row>
    <row r="69" spans="1:32" x14ac:dyDescent="0.25">
      <c r="A69" s="90">
        <v>1002</v>
      </c>
      <c r="B69" s="91" t="s">
        <v>222</v>
      </c>
      <c r="C69" s="29">
        <v>10020057</v>
      </c>
      <c r="D69" s="92" t="s">
        <v>344</v>
      </c>
      <c r="E69" s="93" t="s">
        <v>270</v>
      </c>
      <c r="F69" s="93" t="s">
        <v>230</v>
      </c>
      <c r="G69" s="109">
        <v>2556.4</v>
      </c>
      <c r="H69" s="109">
        <v>118658.60999999999</v>
      </c>
      <c r="I69" s="95">
        <v>0</v>
      </c>
      <c r="J69" s="95">
        <v>0</v>
      </c>
      <c r="K69" s="95">
        <v>0</v>
      </c>
      <c r="L69" s="95">
        <v>0</v>
      </c>
      <c r="M69" s="96">
        <v>0</v>
      </c>
      <c r="N69" s="97">
        <v>0</v>
      </c>
      <c r="O69" s="98">
        <v>0</v>
      </c>
      <c r="P69" s="33"/>
      <c r="Q69" s="99" t="s">
        <v>1198</v>
      </c>
      <c r="R69" s="100"/>
      <c r="S69" s="101">
        <v>-1.9053737440545011E-2</v>
      </c>
      <c r="T69" s="102">
        <v>12</v>
      </c>
      <c r="U69" s="103">
        <v>0</v>
      </c>
      <c r="V69" s="103">
        <v>0</v>
      </c>
      <c r="W69" s="104">
        <v>0</v>
      </c>
      <c r="X69" s="19"/>
      <c r="Y69" s="103">
        <v>0</v>
      </c>
      <c r="Z69" s="103">
        <v>0</v>
      </c>
      <c r="AA69" s="105">
        <v>0</v>
      </c>
      <c r="AB69" s="106">
        <v>0</v>
      </c>
      <c r="AC69" s="105">
        <v>0</v>
      </c>
      <c r="AD69" s="104">
        <v>0</v>
      </c>
      <c r="AE69" s="104">
        <v>0</v>
      </c>
      <c r="AF69" s="107">
        <v>46265</v>
      </c>
    </row>
    <row r="70" spans="1:32" x14ac:dyDescent="0.25">
      <c r="A70" s="90">
        <v>1002</v>
      </c>
      <c r="B70" s="91" t="s">
        <v>222</v>
      </c>
      <c r="C70" s="29">
        <v>10020058</v>
      </c>
      <c r="D70" s="92" t="s">
        <v>345</v>
      </c>
      <c r="E70" s="93" t="s">
        <v>270</v>
      </c>
      <c r="F70" s="93" t="s">
        <v>230</v>
      </c>
      <c r="G70" s="109">
        <v>612.20000000000005</v>
      </c>
      <c r="H70" s="109">
        <v>26774.629999999994</v>
      </c>
      <c r="I70" s="95">
        <v>0</v>
      </c>
      <c r="J70" s="95">
        <v>0</v>
      </c>
      <c r="K70" s="95">
        <v>0</v>
      </c>
      <c r="L70" s="95">
        <v>0</v>
      </c>
      <c r="M70" s="96">
        <v>0</v>
      </c>
      <c r="N70" s="97">
        <v>0</v>
      </c>
      <c r="O70" s="98">
        <v>0</v>
      </c>
      <c r="P70" s="33"/>
      <c r="Q70" s="99" t="s">
        <v>1198</v>
      </c>
      <c r="R70" s="100"/>
      <c r="S70" s="101">
        <v>-8.0658444206327569E-3</v>
      </c>
      <c r="T70" s="102">
        <v>8</v>
      </c>
      <c r="U70" s="103">
        <v>0</v>
      </c>
      <c r="V70" s="103">
        <v>0</v>
      </c>
      <c r="W70" s="104">
        <v>0</v>
      </c>
      <c r="X70" s="19"/>
      <c r="Y70" s="103">
        <v>0</v>
      </c>
      <c r="Z70" s="103">
        <v>0</v>
      </c>
      <c r="AA70" s="105">
        <v>0</v>
      </c>
      <c r="AB70" s="106">
        <v>0</v>
      </c>
      <c r="AC70" s="105">
        <v>0</v>
      </c>
      <c r="AD70" s="104">
        <v>0</v>
      </c>
      <c r="AE70" s="104">
        <v>0</v>
      </c>
      <c r="AF70" s="107">
        <v>46265</v>
      </c>
    </row>
    <row r="71" spans="1:32" x14ac:dyDescent="0.25">
      <c r="A71" s="90">
        <v>1002</v>
      </c>
      <c r="B71" s="91" t="s">
        <v>222</v>
      </c>
      <c r="C71" s="29">
        <v>10020059</v>
      </c>
      <c r="D71" s="92" t="s">
        <v>346</v>
      </c>
      <c r="E71" s="93" t="s">
        <v>270</v>
      </c>
      <c r="F71" s="93" t="s">
        <v>230</v>
      </c>
      <c r="G71" s="109">
        <v>699.1</v>
      </c>
      <c r="H71" s="109">
        <v>30215.03</v>
      </c>
      <c r="I71" s="95">
        <v>0</v>
      </c>
      <c r="J71" s="95">
        <v>0</v>
      </c>
      <c r="K71" s="95">
        <v>0</v>
      </c>
      <c r="L71" s="95">
        <v>0</v>
      </c>
      <c r="M71" s="96">
        <v>53</v>
      </c>
      <c r="N71" s="97">
        <v>0</v>
      </c>
      <c r="O71" s="98">
        <v>2</v>
      </c>
      <c r="P71" s="33"/>
      <c r="Q71" s="99" t="s">
        <v>1198</v>
      </c>
      <c r="R71" s="100"/>
      <c r="S71" s="101">
        <v>1.7150404947470206E-3</v>
      </c>
      <c r="T71" s="102">
        <v>10</v>
      </c>
      <c r="U71" s="103">
        <v>0</v>
      </c>
      <c r="V71" s="103">
        <v>0</v>
      </c>
      <c r="W71" s="104">
        <v>0</v>
      </c>
      <c r="X71" s="19"/>
      <c r="Y71" s="103">
        <v>0</v>
      </c>
      <c r="Z71" s="103">
        <v>0</v>
      </c>
      <c r="AA71" s="105">
        <v>0</v>
      </c>
      <c r="AB71" s="106">
        <v>0</v>
      </c>
      <c r="AC71" s="105">
        <v>0</v>
      </c>
      <c r="AD71" s="104">
        <v>0</v>
      </c>
      <c r="AE71" s="104">
        <v>0</v>
      </c>
      <c r="AF71" s="107">
        <v>46265</v>
      </c>
    </row>
    <row r="72" spans="1:32" x14ac:dyDescent="0.25">
      <c r="A72" s="90">
        <v>1002</v>
      </c>
      <c r="B72" s="91" t="s">
        <v>222</v>
      </c>
      <c r="C72" s="29">
        <v>10020062</v>
      </c>
      <c r="D72" s="92" t="s">
        <v>347</v>
      </c>
      <c r="E72" s="93" t="s">
        <v>270</v>
      </c>
      <c r="F72" s="93" t="s">
        <v>230</v>
      </c>
      <c r="G72" s="109">
        <v>246.10000000000005</v>
      </c>
      <c r="H72" s="109">
        <v>9799.4900000000016</v>
      </c>
      <c r="I72" s="95">
        <v>0</v>
      </c>
      <c r="J72" s="95">
        <v>0</v>
      </c>
      <c r="K72" s="95">
        <v>0</v>
      </c>
      <c r="L72" s="95">
        <v>0</v>
      </c>
      <c r="M72" s="96">
        <v>-52</v>
      </c>
      <c r="N72" s="97" t="s">
        <v>324</v>
      </c>
      <c r="O72" s="98">
        <v>-52</v>
      </c>
      <c r="P72" s="33" t="s">
        <v>286</v>
      </c>
      <c r="Q72" s="99" t="s">
        <v>1198</v>
      </c>
      <c r="R72" s="100"/>
      <c r="S72" s="101">
        <v>-5.1478189171069007E-2</v>
      </c>
      <c r="T72" s="102">
        <v>12</v>
      </c>
      <c r="U72" s="103">
        <v>0</v>
      </c>
      <c r="V72" s="103">
        <v>0</v>
      </c>
      <c r="W72" s="104">
        <v>0</v>
      </c>
      <c r="X72" s="19"/>
      <c r="Y72" s="103">
        <v>0</v>
      </c>
      <c r="Z72" s="103">
        <v>0</v>
      </c>
      <c r="AA72" s="105">
        <v>0</v>
      </c>
      <c r="AB72" s="106">
        <v>0</v>
      </c>
      <c r="AC72" s="105">
        <v>0</v>
      </c>
      <c r="AD72" s="104">
        <v>0</v>
      </c>
      <c r="AE72" s="104">
        <v>-52</v>
      </c>
      <c r="AF72" s="107">
        <v>46265</v>
      </c>
    </row>
    <row r="73" spans="1:32" x14ac:dyDescent="0.25">
      <c r="A73" s="90">
        <v>1002</v>
      </c>
      <c r="B73" s="91" t="s">
        <v>222</v>
      </c>
      <c r="C73" s="29">
        <v>10020063</v>
      </c>
      <c r="D73" s="92" t="s">
        <v>348</v>
      </c>
      <c r="E73" s="93" t="s">
        <v>270</v>
      </c>
      <c r="F73" s="93" t="s">
        <v>230</v>
      </c>
      <c r="G73" s="109">
        <v>1022.1</v>
      </c>
      <c r="H73" s="109">
        <v>47535.37000000001</v>
      </c>
      <c r="I73" s="95">
        <v>0</v>
      </c>
      <c r="J73" s="95">
        <v>0</v>
      </c>
      <c r="K73" s="95">
        <v>0</v>
      </c>
      <c r="L73" s="95">
        <v>0</v>
      </c>
      <c r="M73" s="96">
        <v>0</v>
      </c>
      <c r="N73" s="97">
        <v>0</v>
      </c>
      <c r="O73" s="98">
        <v>0</v>
      </c>
      <c r="P73" s="33"/>
      <c r="Q73" s="99" t="s">
        <v>1198</v>
      </c>
      <c r="R73" s="100"/>
      <c r="S73" s="101">
        <v>-5.3424639379055998E-2</v>
      </c>
      <c r="T73" s="102">
        <v>11</v>
      </c>
      <c r="U73" s="103">
        <v>0</v>
      </c>
      <c r="V73" s="103">
        <v>0</v>
      </c>
      <c r="W73" s="104">
        <v>0</v>
      </c>
      <c r="X73" s="19"/>
      <c r="Y73" s="103">
        <v>0</v>
      </c>
      <c r="Z73" s="103">
        <v>0</v>
      </c>
      <c r="AA73" s="105">
        <v>0</v>
      </c>
      <c r="AB73" s="106">
        <v>0</v>
      </c>
      <c r="AC73" s="105">
        <v>0</v>
      </c>
      <c r="AD73" s="104">
        <v>0</v>
      </c>
      <c r="AE73" s="104">
        <v>0</v>
      </c>
      <c r="AF73" s="107">
        <v>46265</v>
      </c>
    </row>
    <row r="74" spans="1:32" x14ac:dyDescent="0.25">
      <c r="A74" s="90">
        <v>1002</v>
      </c>
      <c r="B74" s="91" t="s">
        <v>222</v>
      </c>
      <c r="C74" s="29">
        <v>10020064</v>
      </c>
      <c r="D74" s="92" t="s">
        <v>349</v>
      </c>
      <c r="E74" s="93" t="s">
        <v>275</v>
      </c>
      <c r="F74" s="93" t="s">
        <v>231</v>
      </c>
      <c r="G74" s="109">
        <v>94.59999999999998</v>
      </c>
      <c r="H74" s="109">
        <v>3794.4100000000003</v>
      </c>
      <c r="I74" s="95">
        <v>0</v>
      </c>
      <c r="J74" s="95">
        <v>0</v>
      </c>
      <c r="K74" s="95">
        <v>0</v>
      </c>
      <c r="L74" s="95">
        <v>0</v>
      </c>
      <c r="M74" s="96">
        <v>0</v>
      </c>
      <c r="N74" s="97">
        <v>0</v>
      </c>
      <c r="O74" s="98">
        <v>0</v>
      </c>
      <c r="P74" s="33"/>
      <c r="Q74" s="99" t="s">
        <v>1198</v>
      </c>
      <c r="R74" s="100"/>
      <c r="S74" s="101">
        <v>0</v>
      </c>
      <c r="T74" s="102">
        <v>0</v>
      </c>
      <c r="U74" s="103">
        <v>0</v>
      </c>
      <c r="V74" s="103">
        <v>0</v>
      </c>
      <c r="W74" s="104">
        <v>0</v>
      </c>
      <c r="X74" s="19"/>
      <c r="Y74" s="103">
        <v>0</v>
      </c>
      <c r="Z74" s="103">
        <v>0</v>
      </c>
      <c r="AA74" s="105">
        <v>0</v>
      </c>
      <c r="AB74" s="106">
        <v>0</v>
      </c>
      <c r="AC74" s="105">
        <v>0</v>
      </c>
      <c r="AD74" s="104">
        <v>0</v>
      </c>
      <c r="AE74" s="104">
        <v>0</v>
      </c>
      <c r="AF74" s="107">
        <v>46265</v>
      </c>
    </row>
    <row r="75" spans="1:32" x14ac:dyDescent="0.25">
      <c r="A75" s="90">
        <v>1002</v>
      </c>
      <c r="B75" s="91" t="s">
        <v>222</v>
      </c>
      <c r="C75" s="29">
        <v>10020068</v>
      </c>
      <c r="D75" s="92" t="s">
        <v>350</v>
      </c>
      <c r="E75" s="93" t="s">
        <v>270</v>
      </c>
      <c r="F75" s="93" t="s">
        <v>230</v>
      </c>
      <c r="G75" s="109">
        <v>1413.1</v>
      </c>
      <c r="H75" s="109">
        <v>61875.920000000006</v>
      </c>
      <c r="I75" s="95">
        <v>0</v>
      </c>
      <c r="J75" s="95">
        <v>0</v>
      </c>
      <c r="K75" s="95">
        <v>0</v>
      </c>
      <c r="L75" s="95">
        <v>0</v>
      </c>
      <c r="M75" s="96">
        <v>0</v>
      </c>
      <c r="N75" s="97">
        <v>0</v>
      </c>
      <c r="O75" s="98">
        <v>0</v>
      </c>
      <c r="P75" s="33"/>
      <c r="Q75" s="99" t="s">
        <v>1198</v>
      </c>
      <c r="R75" s="100"/>
      <c r="S75" s="101">
        <v>-9.034435366779156E-2</v>
      </c>
      <c r="T75" s="102">
        <v>36</v>
      </c>
      <c r="U75" s="103">
        <v>0</v>
      </c>
      <c r="V75" s="103">
        <v>0</v>
      </c>
      <c r="W75" s="104">
        <v>0</v>
      </c>
      <c r="X75" s="19"/>
      <c r="Y75" s="103">
        <v>0</v>
      </c>
      <c r="Z75" s="103">
        <v>0</v>
      </c>
      <c r="AA75" s="105">
        <v>0</v>
      </c>
      <c r="AB75" s="106">
        <v>0</v>
      </c>
      <c r="AC75" s="105">
        <v>0</v>
      </c>
      <c r="AD75" s="104">
        <v>0</v>
      </c>
      <c r="AE75" s="104">
        <v>0</v>
      </c>
      <c r="AF75" s="107">
        <v>46265</v>
      </c>
    </row>
    <row r="76" spans="1:32" x14ac:dyDescent="0.25">
      <c r="A76" s="90">
        <v>1002</v>
      </c>
      <c r="B76" s="91" t="s">
        <v>222</v>
      </c>
      <c r="C76" s="29">
        <v>10020069</v>
      </c>
      <c r="D76" s="92" t="s">
        <v>351</v>
      </c>
      <c r="E76" s="93" t="s">
        <v>270</v>
      </c>
      <c r="F76" s="93" t="s">
        <v>230</v>
      </c>
      <c r="G76" s="109">
        <v>253.09999999999997</v>
      </c>
      <c r="H76" s="109">
        <v>11559.16</v>
      </c>
      <c r="I76" s="95">
        <v>0</v>
      </c>
      <c r="J76" s="95">
        <v>0</v>
      </c>
      <c r="K76" s="95">
        <v>500</v>
      </c>
      <c r="L76" s="95">
        <v>0</v>
      </c>
      <c r="M76" s="96">
        <v>0</v>
      </c>
      <c r="N76" s="97">
        <v>0</v>
      </c>
      <c r="O76" s="98">
        <v>0</v>
      </c>
      <c r="P76" s="33"/>
      <c r="Q76" s="99" t="s">
        <v>1198</v>
      </c>
      <c r="R76" s="100"/>
      <c r="S76" s="101">
        <v>-4.5277511514677453E-2</v>
      </c>
      <c r="T76" s="102">
        <v>2</v>
      </c>
      <c r="U76" s="103">
        <v>0</v>
      </c>
      <c r="V76" s="103">
        <v>0</v>
      </c>
      <c r="W76" s="104">
        <v>0</v>
      </c>
      <c r="X76" s="19"/>
      <c r="Y76" s="103">
        <v>500</v>
      </c>
      <c r="Z76" s="103">
        <v>0</v>
      </c>
      <c r="AA76" s="105">
        <v>0</v>
      </c>
      <c r="AB76" s="106">
        <v>500</v>
      </c>
      <c r="AC76" s="105">
        <v>500</v>
      </c>
      <c r="AD76" s="104">
        <v>0</v>
      </c>
      <c r="AE76" s="104">
        <v>0</v>
      </c>
      <c r="AF76" s="107">
        <v>46265</v>
      </c>
    </row>
    <row r="77" spans="1:32" x14ac:dyDescent="0.25">
      <c r="A77" s="90">
        <v>1002</v>
      </c>
      <c r="B77" s="91" t="s">
        <v>222</v>
      </c>
      <c r="C77" s="29">
        <v>10020070</v>
      </c>
      <c r="D77" s="92" t="s">
        <v>352</v>
      </c>
      <c r="E77" s="93" t="s">
        <v>270</v>
      </c>
      <c r="F77" s="93" t="s">
        <v>230</v>
      </c>
      <c r="G77" s="109">
        <v>648.99999999999989</v>
      </c>
      <c r="H77" s="109">
        <v>26942.269999999997</v>
      </c>
      <c r="I77" s="95">
        <v>0</v>
      </c>
      <c r="J77" s="95">
        <v>0</v>
      </c>
      <c r="K77" s="95">
        <v>0</v>
      </c>
      <c r="L77" s="95">
        <v>0</v>
      </c>
      <c r="M77" s="96">
        <v>-1585</v>
      </c>
      <c r="N77" s="97" t="s">
        <v>324</v>
      </c>
      <c r="O77" s="98">
        <v>-1585</v>
      </c>
      <c r="P77" s="33" t="s">
        <v>286</v>
      </c>
      <c r="Q77" s="99" t="s">
        <v>1198</v>
      </c>
      <c r="R77" s="100"/>
      <c r="S77" s="101">
        <v>-9.8695841144788479E-2</v>
      </c>
      <c r="T77" s="102">
        <v>10</v>
      </c>
      <c r="U77" s="103">
        <v>0</v>
      </c>
      <c r="V77" s="103">
        <v>0</v>
      </c>
      <c r="W77" s="104">
        <v>0</v>
      </c>
      <c r="X77" s="19"/>
      <c r="Y77" s="103">
        <v>0</v>
      </c>
      <c r="Z77" s="103">
        <v>0</v>
      </c>
      <c r="AA77" s="105">
        <v>0</v>
      </c>
      <c r="AB77" s="106">
        <v>0</v>
      </c>
      <c r="AC77" s="105">
        <v>0</v>
      </c>
      <c r="AD77" s="104">
        <v>0</v>
      </c>
      <c r="AE77" s="104">
        <v>-1585</v>
      </c>
      <c r="AF77" s="107">
        <v>46265</v>
      </c>
    </row>
    <row r="78" spans="1:32" x14ac:dyDescent="0.25">
      <c r="A78" s="90">
        <v>1002</v>
      </c>
      <c r="B78" s="91" t="s">
        <v>222</v>
      </c>
      <c r="C78" s="29">
        <v>10020073</v>
      </c>
      <c r="D78" s="92" t="s">
        <v>353</v>
      </c>
      <c r="E78" s="93" t="s">
        <v>275</v>
      </c>
      <c r="F78" s="93" t="s">
        <v>231</v>
      </c>
      <c r="G78" s="109">
        <v>784.99999999999989</v>
      </c>
      <c r="H78" s="109">
        <v>31437.780000000002</v>
      </c>
      <c r="I78" s="95">
        <v>0</v>
      </c>
      <c r="J78" s="95">
        <v>0</v>
      </c>
      <c r="K78" s="95">
        <v>0</v>
      </c>
      <c r="L78" s="95">
        <v>0</v>
      </c>
      <c r="M78" s="96">
        <v>0</v>
      </c>
      <c r="N78" s="97">
        <v>0</v>
      </c>
      <c r="O78" s="98">
        <v>0</v>
      </c>
      <c r="P78" s="33"/>
      <c r="Q78" s="99" t="s">
        <v>1198</v>
      </c>
      <c r="R78" s="100"/>
      <c r="S78" s="101">
        <v>0</v>
      </c>
      <c r="T78" s="102">
        <v>0</v>
      </c>
      <c r="U78" s="103">
        <v>0</v>
      </c>
      <c r="V78" s="103">
        <v>0</v>
      </c>
      <c r="W78" s="104">
        <v>0</v>
      </c>
      <c r="X78" s="19"/>
      <c r="Y78" s="103">
        <v>0</v>
      </c>
      <c r="Z78" s="103">
        <v>0</v>
      </c>
      <c r="AA78" s="105">
        <v>0</v>
      </c>
      <c r="AB78" s="106">
        <v>0</v>
      </c>
      <c r="AC78" s="105">
        <v>0</v>
      </c>
      <c r="AD78" s="104">
        <v>0</v>
      </c>
      <c r="AE78" s="104">
        <v>0</v>
      </c>
      <c r="AF78" s="107">
        <v>46265</v>
      </c>
    </row>
    <row r="79" spans="1:32" x14ac:dyDescent="0.25">
      <c r="A79" s="90">
        <v>1002</v>
      </c>
      <c r="B79" s="91" t="s">
        <v>222</v>
      </c>
      <c r="C79" s="29">
        <v>10020075</v>
      </c>
      <c r="D79" s="92" t="s">
        <v>354</v>
      </c>
      <c r="E79" s="93" t="s">
        <v>270</v>
      </c>
      <c r="F79" s="93" t="s">
        <v>230</v>
      </c>
      <c r="G79" s="109">
        <v>269.10000000000002</v>
      </c>
      <c r="H79" s="109">
        <v>12609.63</v>
      </c>
      <c r="I79" s="95">
        <v>0</v>
      </c>
      <c r="J79" s="95">
        <v>0</v>
      </c>
      <c r="K79" s="95">
        <v>0</v>
      </c>
      <c r="L79" s="95">
        <v>0</v>
      </c>
      <c r="M79" s="96">
        <v>-32</v>
      </c>
      <c r="N79" s="97" t="s">
        <v>324</v>
      </c>
      <c r="O79" s="98">
        <v>-32</v>
      </c>
      <c r="P79" s="33" t="s">
        <v>286</v>
      </c>
      <c r="Q79" s="99" t="s">
        <v>1198</v>
      </c>
      <c r="R79" s="100"/>
      <c r="S79" s="101">
        <v>-3.6641836437706805E-2</v>
      </c>
      <c r="T79" s="102">
        <v>7</v>
      </c>
      <c r="U79" s="103">
        <v>0</v>
      </c>
      <c r="V79" s="103">
        <v>0</v>
      </c>
      <c r="W79" s="104">
        <v>0</v>
      </c>
      <c r="X79" s="19"/>
      <c r="Y79" s="103">
        <v>0</v>
      </c>
      <c r="Z79" s="103">
        <v>0</v>
      </c>
      <c r="AA79" s="105">
        <v>0</v>
      </c>
      <c r="AB79" s="106">
        <v>0</v>
      </c>
      <c r="AC79" s="105">
        <v>0</v>
      </c>
      <c r="AD79" s="104">
        <v>0</v>
      </c>
      <c r="AE79" s="104">
        <v>-32</v>
      </c>
      <c r="AF79" s="107">
        <v>46265</v>
      </c>
    </row>
    <row r="80" spans="1:32" x14ac:dyDescent="0.25">
      <c r="A80" s="90">
        <v>1002</v>
      </c>
      <c r="B80" s="91" t="s">
        <v>222</v>
      </c>
      <c r="C80" s="29">
        <v>10020077</v>
      </c>
      <c r="D80" s="92" t="s">
        <v>355</v>
      </c>
      <c r="E80" s="93" t="s">
        <v>270</v>
      </c>
      <c r="F80" s="93" t="s">
        <v>230</v>
      </c>
      <c r="G80" s="109">
        <v>166.29999999999998</v>
      </c>
      <c r="H80" s="109">
        <v>8286.8100000000013</v>
      </c>
      <c r="I80" s="95">
        <v>0</v>
      </c>
      <c r="J80" s="95">
        <v>0</v>
      </c>
      <c r="K80" s="95">
        <v>500</v>
      </c>
      <c r="L80" s="95">
        <v>0</v>
      </c>
      <c r="M80" s="96">
        <v>7</v>
      </c>
      <c r="N80" s="97">
        <v>0</v>
      </c>
      <c r="O80" s="98">
        <v>0</v>
      </c>
      <c r="P80" s="33"/>
      <c r="Q80" s="99" t="s">
        <v>1198</v>
      </c>
      <c r="R80" s="100"/>
      <c r="S80" s="101">
        <v>7.964464009675836E-4</v>
      </c>
      <c r="T80" s="102">
        <v>1</v>
      </c>
      <c r="U80" s="103">
        <v>0</v>
      </c>
      <c r="V80" s="103">
        <v>0</v>
      </c>
      <c r="W80" s="104">
        <v>0</v>
      </c>
      <c r="X80" s="19"/>
      <c r="Y80" s="103">
        <v>500</v>
      </c>
      <c r="Z80" s="103">
        <v>0</v>
      </c>
      <c r="AA80" s="105">
        <v>0</v>
      </c>
      <c r="AB80" s="106">
        <v>500</v>
      </c>
      <c r="AC80" s="105">
        <v>500</v>
      </c>
      <c r="AD80" s="104">
        <v>0</v>
      </c>
      <c r="AE80" s="104">
        <v>0</v>
      </c>
      <c r="AF80" s="107">
        <v>46265</v>
      </c>
    </row>
    <row r="81" spans="1:33" x14ac:dyDescent="0.25">
      <c r="A81" s="90">
        <v>1002</v>
      </c>
      <c r="B81" s="91" t="s">
        <v>222</v>
      </c>
      <c r="C81" s="29">
        <v>10020078</v>
      </c>
      <c r="D81" s="92" t="s">
        <v>356</v>
      </c>
      <c r="E81" s="93" t="s">
        <v>270</v>
      </c>
      <c r="F81" s="93" t="s">
        <v>230</v>
      </c>
      <c r="G81" s="109">
        <v>364.60000000000008</v>
      </c>
      <c r="H81" s="109">
        <v>15833.58</v>
      </c>
      <c r="I81" s="95">
        <v>0</v>
      </c>
      <c r="J81" s="95">
        <v>0</v>
      </c>
      <c r="K81" s="95">
        <v>0</v>
      </c>
      <c r="L81" s="95">
        <v>0</v>
      </c>
      <c r="M81" s="96">
        <v>0</v>
      </c>
      <c r="N81" s="97">
        <v>0</v>
      </c>
      <c r="O81" s="98">
        <v>0</v>
      </c>
      <c r="P81" s="33"/>
      <c r="Q81" s="99" t="s">
        <v>1198</v>
      </c>
      <c r="R81" s="100"/>
      <c r="S81" s="101">
        <v>-0.16875337100011514</v>
      </c>
      <c r="T81" s="102">
        <v>4</v>
      </c>
      <c r="U81" s="103">
        <v>0</v>
      </c>
      <c r="V81" s="103">
        <v>0</v>
      </c>
      <c r="W81" s="104">
        <v>0</v>
      </c>
      <c r="X81" s="19"/>
      <c r="Y81" s="103">
        <v>0</v>
      </c>
      <c r="Z81" s="103">
        <v>0</v>
      </c>
      <c r="AA81" s="105">
        <v>0</v>
      </c>
      <c r="AB81" s="106">
        <v>0</v>
      </c>
      <c r="AC81" s="105">
        <v>0</v>
      </c>
      <c r="AD81" s="104">
        <v>0</v>
      </c>
      <c r="AE81" s="104">
        <v>0</v>
      </c>
      <c r="AF81" s="107">
        <v>46265</v>
      </c>
    </row>
    <row r="82" spans="1:33" x14ac:dyDescent="0.25">
      <c r="A82" s="90">
        <v>1002</v>
      </c>
      <c r="B82" s="91" t="s">
        <v>222</v>
      </c>
      <c r="C82" s="29">
        <v>10020081</v>
      </c>
      <c r="D82" s="92" t="s">
        <v>357</v>
      </c>
      <c r="E82" s="93" t="s">
        <v>270</v>
      </c>
      <c r="F82" s="93" t="s">
        <v>231</v>
      </c>
      <c r="G82" s="109">
        <v>1713.6000000000006</v>
      </c>
      <c r="H82" s="109">
        <v>72480.930000000008</v>
      </c>
      <c r="I82" s="95">
        <v>0</v>
      </c>
      <c r="J82" s="95">
        <v>0</v>
      </c>
      <c r="K82" s="95">
        <v>0</v>
      </c>
      <c r="L82" s="95">
        <v>0</v>
      </c>
      <c r="M82" s="96">
        <v>0</v>
      </c>
      <c r="N82" s="97">
        <v>0</v>
      </c>
      <c r="O82" s="98">
        <v>0</v>
      </c>
      <c r="P82" s="33"/>
      <c r="Q82" s="99" t="s">
        <v>1198</v>
      </c>
      <c r="R82" s="100"/>
      <c r="S82" s="101">
        <v>0</v>
      </c>
      <c r="T82" s="102">
        <v>0</v>
      </c>
      <c r="U82" s="103">
        <v>0</v>
      </c>
      <c r="V82" s="103">
        <v>0</v>
      </c>
      <c r="W82" s="104">
        <v>0</v>
      </c>
      <c r="X82" s="19"/>
      <c r="Y82" s="103">
        <v>0</v>
      </c>
      <c r="Z82" s="103">
        <v>0</v>
      </c>
      <c r="AA82" s="105">
        <v>0</v>
      </c>
      <c r="AB82" s="106">
        <v>0</v>
      </c>
      <c r="AC82" s="105">
        <v>0</v>
      </c>
      <c r="AD82" s="104">
        <v>0</v>
      </c>
      <c r="AE82" s="104">
        <v>0</v>
      </c>
      <c r="AF82" s="107">
        <v>46265</v>
      </c>
      <c r="AG82" s="108"/>
    </row>
    <row r="83" spans="1:33" x14ac:dyDescent="0.25">
      <c r="A83" s="90">
        <v>1002</v>
      </c>
      <c r="B83" s="91" t="s">
        <v>222</v>
      </c>
      <c r="C83" s="29">
        <v>10020082</v>
      </c>
      <c r="D83" s="92" t="s">
        <v>358</v>
      </c>
      <c r="E83" s="93" t="s">
        <v>270</v>
      </c>
      <c r="F83" s="93" t="s">
        <v>231</v>
      </c>
      <c r="G83" s="109">
        <v>1592.1</v>
      </c>
      <c r="H83" s="109">
        <v>69583.92</v>
      </c>
      <c r="I83" s="95">
        <v>0</v>
      </c>
      <c r="J83" s="95">
        <v>0</v>
      </c>
      <c r="K83" s="95">
        <v>0</v>
      </c>
      <c r="L83" s="95">
        <v>0</v>
      </c>
      <c r="M83" s="96">
        <v>0</v>
      </c>
      <c r="N83" s="97">
        <v>0</v>
      </c>
      <c r="O83" s="98">
        <v>0</v>
      </c>
      <c r="P83" s="33"/>
      <c r="Q83" s="99" t="s">
        <v>1198</v>
      </c>
      <c r="R83" s="100"/>
      <c r="S83" s="101">
        <v>0</v>
      </c>
      <c r="T83" s="102">
        <v>0</v>
      </c>
      <c r="U83" s="103">
        <v>0</v>
      </c>
      <c r="V83" s="103">
        <v>0</v>
      </c>
      <c r="W83" s="104">
        <v>0</v>
      </c>
      <c r="X83" s="19"/>
      <c r="Y83" s="103">
        <v>0</v>
      </c>
      <c r="Z83" s="103">
        <v>0</v>
      </c>
      <c r="AA83" s="105">
        <v>0</v>
      </c>
      <c r="AB83" s="106">
        <v>0</v>
      </c>
      <c r="AC83" s="105">
        <v>0</v>
      </c>
      <c r="AD83" s="104">
        <v>0</v>
      </c>
      <c r="AE83" s="104">
        <v>0</v>
      </c>
      <c r="AF83" s="107">
        <v>46265</v>
      </c>
    </row>
    <row r="84" spans="1:33" x14ac:dyDescent="0.25">
      <c r="A84" s="90">
        <v>1002</v>
      </c>
      <c r="B84" s="91" t="s">
        <v>222</v>
      </c>
      <c r="C84" s="29">
        <v>10020083</v>
      </c>
      <c r="D84" s="92" t="s">
        <v>359</v>
      </c>
      <c r="E84" s="93" t="s">
        <v>270</v>
      </c>
      <c r="F84" s="93" t="s">
        <v>230</v>
      </c>
      <c r="G84" s="109">
        <v>298.90000000000003</v>
      </c>
      <c r="H84" s="109">
        <v>12389.389999999998</v>
      </c>
      <c r="I84" s="95">
        <v>0</v>
      </c>
      <c r="J84" s="95">
        <v>0</v>
      </c>
      <c r="K84" s="95">
        <v>0</v>
      </c>
      <c r="L84" s="95">
        <v>0</v>
      </c>
      <c r="M84" s="96">
        <v>0</v>
      </c>
      <c r="N84" s="97">
        <v>0</v>
      </c>
      <c r="O84" s="98">
        <v>0</v>
      </c>
      <c r="P84" s="33"/>
      <c r="Q84" s="99" t="s">
        <v>1198</v>
      </c>
      <c r="R84" s="100"/>
      <c r="S84" s="101">
        <v>-4.7785242049850782E-2</v>
      </c>
      <c r="T84" s="102">
        <v>2</v>
      </c>
      <c r="U84" s="103">
        <v>0</v>
      </c>
      <c r="V84" s="103">
        <v>0</v>
      </c>
      <c r="W84" s="104">
        <v>0</v>
      </c>
      <c r="X84" s="19"/>
      <c r="Y84" s="103">
        <v>0</v>
      </c>
      <c r="Z84" s="103">
        <v>0</v>
      </c>
      <c r="AA84" s="105">
        <v>0</v>
      </c>
      <c r="AB84" s="106">
        <v>0</v>
      </c>
      <c r="AC84" s="105">
        <v>0</v>
      </c>
      <c r="AD84" s="104">
        <v>0</v>
      </c>
      <c r="AE84" s="104">
        <v>0</v>
      </c>
      <c r="AF84" s="107">
        <v>46265</v>
      </c>
    </row>
    <row r="85" spans="1:33" x14ac:dyDescent="0.25">
      <c r="A85" s="90">
        <v>1002</v>
      </c>
      <c r="B85" s="91" t="s">
        <v>222</v>
      </c>
      <c r="C85" s="29">
        <v>10020084</v>
      </c>
      <c r="D85" s="92" t="s">
        <v>360</v>
      </c>
      <c r="E85" s="93" t="s">
        <v>270</v>
      </c>
      <c r="F85" s="93" t="s">
        <v>230</v>
      </c>
      <c r="G85" s="109">
        <v>545.90000000000009</v>
      </c>
      <c r="H85" s="109">
        <v>22313.66</v>
      </c>
      <c r="I85" s="95">
        <v>0</v>
      </c>
      <c r="J85" s="95">
        <v>0</v>
      </c>
      <c r="K85" s="95">
        <v>0</v>
      </c>
      <c r="L85" s="95">
        <v>0</v>
      </c>
      <c r="M85" s="96">
        <v>845</v>
      </c>
      <c r="N85" s="97">
        <v>0</v>
      </c>
      <c r="O85" s="98">
        <v>0</v>
      </c>
      <c r="P85" s="33"/>
      <c r="Q85" s="99" t="s">
        <v>1198</v>
      </c>
      <c r="R85" s="100"/>
      <c r="S85" s="101">
        <v>3.7839153236179174E-2</v>
      </c>
      <c r="T85" s="102">
        <v>25</v>
      </c>
      <c r="U85" s="103">
        <v>0</v>
      </c>
      <c r="V85" s="103">
        <v>0</v>
      </c>
      <c r="W85" s="104">
        <v>0</v>
      </c>
      <c r="X85" s="19"/>
      <c r="Y85" s="103">
        <v>0</v>
      </c>
      <c r="Z85" s="103">
        <v>0</v>
      </c>
      <c r="AA85" s="105">
        <v>0</v>
      </c>
      <c r="AB85" s="106">
        <v>0</v>
      </c>
      <c r="AC85" s="105">
        <v>0</v>
      </c>
      <c r="AD85" s="104">
        <v>0</v>
      </c>
      <c r="AE85" s="104">
        <v>0</v>
      </c>
      <c r="AF85" s="107">
        <v>46265</v>
      </c>
    </row>
    <row r="86" spans="1:33" x14ac:dyDescent="0.25">
      <c r="A86" s="90">
        <v>1002</v>
      </c>
      <c r="B86" s="91" t="s">
        <v>222</v>
      </c>
      <c r="C86" s="29">
        <v>10020087</v>
      </c>
      <c r="D86" s="92" t="s">
        <v>361</v>
      </c>
      <c r="E86" s="93" t="s">
        <v>270</v>
      </c>
      <c r="F86" s="93" t="s">
        <v>230</v>
      </c>
      <c r="G86" s="109">
        <v>723.4</v>
      </c>
      <c r="H86" s="109">
        <v>29899.539999999997</v>
      </c>
      <c r="I86" s="95">
        <v>0</v>
      </c>
      <c r="J86" s="95">
        <v>0</v>
      </c>
      <c r="K86" s="95">
        <v>0</v>
      </c>
      <c r="L86" s="95">
        <v>0</v>
      </c>
      <c r="M86" s="96">
        <v>0</v>
      </c>
      <c r="N86" s="97">
        <v>0</v>
      </c>
      <c r="O86" s="98">
        <v>0</v>
      </c>
      <c r="P86" s="33"/>
      <c r="Q86" s="99" t="s">
        <v>1198</v>
      </c>
      <c r="R86" s="100"/>
      <c r="S86" s="101">
        <v>-4.1940444568712917E-3</v>
      </c>
      <c r="T86" s="102">
        <v>3</v>
      </c>
      <c r="U86" s="103">
        <v>0</v>
      </c>
      <c r="V86" s="103">
        <v>0</v>
      </c>
      <c r="W86" s="104">
        <v>0</v>
      </c>
      <c r="X86" s="19"/>
      <c r="Y86" s="103">
        <v>0</v>
      </c>
      <c r="Z86" s="103">
        <v>0</v>
      </c>
      <c r="AA86" s="105">
        <v>0</v>
      </c>
      <c r="AB86" s="106">
        <v>0</v>
      </c>
      <c r="AC86" s="105">
        <v>0</v>
      </c>
      <c r="AD86" s="104">
        <v>0</v>
      </c>
      <c r="AE86" s="104">
        <v>0</v>
      </c>
      <c r="AF86" s="107">
        <v>46265</v>
      </c>
    </row>
    <row r="87" spans="1:33" x14ac:dyDescent="0.25">
      <c r="A87" s="90">
        <v>1002</v>
      </c>
      <c r="B87" s="91" t="s">
        <v>222</v>
      </c>
      <c r="C87" s="29">
        <v>10020088</v>
      </c>
      <c r="D87" s="92" t="s">
        <v>362</v>
      </c>
      <c r="E87" s="93" t="s">
        <v>270</v>
      </c>
      <c r="F87" s="93" t="s">
        <v>230</v>
      </c>
      <c r="G87" s="109">
        <v>301.7</v>
      </c>
      <c r="H87" s="109">
        <v>11617.55</v>
      </c>
      <c r="I87" s="95">
        <v>0</v>
      </c>
      <c r="J87" s="95">
        <v>0</v>
      </c>
      <c r="K87" s="95">
        <v>0</v>
      </c>
      <c r="L87" s="95">
        <v>0</v>
      </c>
      <c r="M87" s="96">
        <v>0</v>
      </c>
      <c r="N87" s="97">
        <v>0</v>
      </c>
      <c r="O87" s="98">
        <v>0</v>
      </c>
      <c r="P87" s="33"/>
      <c r="Q87" s="99" t="s">
        <v>1198</v>
      </c>
      <c r="R87" s="100"/>
      <c r="S87" s="101">
        <v>-6.2205026016673062E-2</v>
      </c>
      <c r="T87" s="102">
        <v>2</v>
      </c>
      <c r="U87" s="103">
        <v>0</v>
      </c>
      <c r="V87" s="103">
        <v>0</v>
      </c>
      <c r="W87" s="104">
        <v>0</v>
      </c>
      <c r="X87" s="19"/>
      <c r="Y87" s="103">
        <v>0</v>
      </c>
      <c r="Z87" s="103">
        <v>0</v>
      </c>
      <c r="AA87" s="105">
        <v>0</v>
      </c>
      <c r="AB87" s="106">
        <v>0</v>
      </c>
      <c r="AC87" s="105">
        <v>0</v>
      </c>
      <c r="AD87" s="104">
        <v>0</v>
      </c>
      <c r="AE87" s="104">
        <v>0</v>
      </c>
      <c r="AF87" s="107">
        <v>46265</v>
      </c>
    </row>
    <row r="88" spans="1:33" x14ac:dyDescent="0.25">
      <c r="A88" s="90">
        <v>1002</v>
      </c>
      <c r="B88" s="91" t="s">
        <v>222</v>
      </c>
      <c r="C88" s="29">
        <v>10020089</v>
      </c>
      <c r="D88" s="92" t="s">
        <v>363</v>
      </c>
      <c r="E88" s="93" t="s">
        <v>275</v>
      </c>
      <c r="F88" s="93" t="s">
        <v>231</v>
      </c>
      <c r="G88" s="109">
        <v>394.5</v>
      </c>
      <c r="H88" s="109">
        <v>15999.470000000001</v>
      </c>
      <c r="I88" s="95">
        <v>0</v>
      </c>
      <c r="J88" s="95">
        <v>0</v>
      </c>
      <c r="K88" s="95">
        <v>0</v>
      </c>
      <c r="L88" s="95">
        <v>0</v>
      </c>
      <c r="M88" s="96">
        <v>0</v>
      </c>
      <c r="N88" s="97">
        <v>0</v>
      </c>
      <c r="O88" s="98">
        <v>0</v>
      </c>
      <c r="P88" s="33"/>
      <c r="Q88" s="99" t="s">
        <v>1198</v>
      </c>
      <c r="R88" s="100"/>
      <c r="S88" s="101">
        <v>0</v>
      </c>
      <c r="T88" s="102">
        <v>0</v>
      </c>
      <c r="U88" s="103">
        <v>0</v>
      </c>
      <c r="V88" s="103">
        <v>0</v>
      </c>
      <c r="W88" s="104">
        <v>0</v>
      </c>
      <c r="X88" s="19"/>
      <c r="Y88" s="103">
        <v>0</v>
      </c>
      <c r="Z88" s="103">
        <v>0</v>
      </c>
      <c r="AA88" s="105">
        <v>0</v>
      </c>
      <c r="AB88" s="106">
        <v>0</v>
      </c>
      <c r="AC88" s="105">
        <v>0</v>
      </c>
      <c r="AD88" s="104">
        <v>0</v>
      </c>
      <c r="AE88" s="104">
        <v>0</v>
      </c>
      <c r="AF88" s="107">
        <v>46265</v>
      </c>
      <c r="AG88" s="108"/>
    </row>
    <row r="89" spans="1:33" x14ac:dyDescent="0.25">
      <c r="A89" s="90">
        <v>1003</v>
      </c>
      <c r="B89" s="91" t="s">
        <v>161</v>
      </c>
      <c r="C89" s="29">
        <v>10030002</v>
      </c>
      <c r="D89" s="92" t="s">
        <v>321</v>
      </c>
      <c r="E89" s="93" t="s">
        <v>275</v>
      </c>
      <c r="F89" s="93" t="s">
        <v>231</v>
      </c>
      <c r="G89" s="109">
        <v>549.09999999999991</v>
      </c>
      <c r="H89" s="109">
        <v>22589.939999999995</v>
      </c>
      <c r="I89" s="95">
        <v>0</v>
      </c>
      <c r="J89" s="95">
        <v>0</v>
      </c>
      <c r="K89" s="95">
        <v>0</v>
      </c>
      <c r="L89" s="95">
        <v>0</v>
      </c>
      <c r="M89" s="96">
        <v>0</v>
      </c>
      <c r="N89" s="97">
        <v>0</v>
      </c>
      <c r="O89" s="98">
        <v>0</v>
      </c>
      <c r="P89" s="33"/>
      <c r="Q89" s="99" t="s">
        <v>1198</v>
      </c>
      <c r="R89" s="100"/>
      <c r="S89" s="101">
        <v>0</v>
      </c>
      <c r="T89" s="102">
        <v>0</v>
      </c>
      <c r="U89" s="103">
        <v>0</v>
      </c>
      <c r="V89" s="103">
        <v>0</v>
      </c>
      <c r="W89" s="104">
        <v>0</v>
      </c>
      <c r="X89" s="19"/>
      <c r="Y89" s="103">
        <v>0</v>
      </c>
      <c r="Z89" s="103">
        <v>0</v>
      </c>
      <c r="AA89" s="105">
        <v>0</v>
      </c>
      <c r="AB89" s="106">
        <v>0</v>
      </c>
      <c r="AC89" s="105">
        <v>0</v>
      </c>
      <c r="AD89" s="104">
        <v>0</v>
      </c>
      <c r="AE89" s="104">
        <v>0</v>
      </c>
      <c r="AF89" s="107">
        <v>46265</v>
      </c>
    </row>
    <row r="90" spans="1:33" x14ac:dyDescent="0.25">
      <c r="A90" s="90">
        <v>1003</v>
      </c>
      <c r="B90" s="91" t="s">
        <v>161</v>
      </c>
      <c r="C90" s="29">
        <v>10030003</v>
      </c>
      <c r="D90" s="92" t="s">
        <v>364</v>
      </c>
      <c r="E90" s="93" t="s">
        <v>270</v>
      </c>
      <c r="F90" s="93" t="s">
        <v>230</v>
      </c>
      <c r="G90" s="109">
        <v>1671.7000000000003</v>
      </c>
      <c r="H90" s="109">
        <v>81410.490000000005</v>
      </c>
      <c r="I90" s="95">
        <v>0</v>
      </c>
      <c r="J90" s="95">
        <v>0</v>
      </c>
      <c r="K90" s="95">
        <v>0</v>
      </c>
      <c r="L90" s="95">
        <v>0</v>
      </c>
      <c r="M90" s="96">
        <v>1142</v>
      </c>
      <c r="N90" s="97">
        <v>0</v>
      </c>
      <c r="O90" s="98">
        <v>-1</v>
      </c>
      <c r="P90" s="33"/>
      <c r="Q90" s="99" t="s">
        <v>1198</v>
      </c>
      <c r="R90" s="100"/>
      <c r="S90" s="101">
        <v>1.4051383304534926E-2</v>
      </c>
      <c r="T90" s="102">
        <v>67</v>
      </c>
      <c r="U90" s="103">
        <v>0</v>
      </c>
      <c r="V90" s="103">
        <v>0</v>
      </c>
      <c r="W90" s="104">
        <v>0</v>
      </c>
      <c r="X90" s="19"/>
      <c r="Y90" s="103">
        <v>0</v>
      </c>
      <c r="Z90" s="103">
        <v>0</v>
      </c>
      <c r="AA90" s="105">
        <v>0</v>
      </c>
      <c r="AB90" s="106">
        <v>0</v>
      </c>
      <c r="AC90" s="105">
        <v>0</v>
      </c>
      <c r="AD90" s="104">
        <v>0</v>
      </c>
      <c r="AE90" s="104">
        <v>0</v>
      </c>
      <c r="AF90" s="107">
        <v>46265</v>
      </c>
      <c r="AG90" s="108"/>
    </row>
    <row r="91" spans="1:33" x14ac:dyDescent="0.25">
      <c r="A91" s="90">
        <v>1003</v>
      </c>
      <c r="B91" s="91" t="s">
        <v>161</v>
      </c>
      <c r="C91" s="29">
        <v>10030007</v>
      </c>
      <c r="D91" s="92" t="s">
        <v>365</v>
      </c>
      <c r="E91" s="93" t="s">
        <v>275</v>
      </c>
      <c r="F91" s="93" t="s">
        <v>231</v>
      </c>
      <c r="G91" s="109">
        <v>740.55000000000007</v>
      </c>
      <c r="H91" s="109">
        <v>22379.89</v>
      </c>
      <c r="I91" s="95">
        <v>0</v>
      </c>
      <c r="J91" s="95">
        <v>0</v>
      </c>
      <c r="K91" s="95">
        <v>0</v>
      </c>
      <c r="L91" s="95">
        <v>0</v>
      </c>
      <c r="M91" s="96">
        <v>0</v>
      </c>
      <c r="N91" s="97">
        <v>0</v>
      </c>
      <c r="O91" s="98">
        <v>0</v>
      </c>
      <c r="P91" s="33"/>
      <c r="Q91" s="99" t="s">
        <v>1198</v>
      </c>
      <c r="R91" s="100"/>
      <c r="S91" s="101">
        <v>0</v>
      </c>
      <c r="T91" s="102">
        <v>0</v>
      </c>
      <c r="U91" s="103">
        <v>0</v>
      </c>
      <c r="V91" s="103">
        <v>0</v>
      </c>
      <c r="W91" s="104">
        <v>0</v>
      </c>
      <c r="X91" s="19"/>
      <c r="Y91" s="103">
        <v>0</v>
      </c>
      <c r="Z91" s="103">
        <v>0</v>
      </c>
      <c r="AA91" s="105">
        <v>0</v>
      </c>
      <c r="AB91" s="106">
        <v>0</v>
      </c>
      <c r="AC91" s="105">
        <v>0</v>
      </c>
      <c r="AD91" s="104">
        <v>0</v>
      </c>
      <c r="AE91" s="104">
        <v>0</v>
      </c>
      <c r="AF91" s="107">
        <v>46265</v>
      </c>
      <c r="AG91" s="108"/>
    </row>
    <row r="92" spans="1:33" x14ac:dyDescent="0.25">
      <c r="A92" s="90">
        <v>1003</v>
      </c>
      <c r="B92" s="91" t="s">
        <v>161</v>
      </c>
      <c r="C92" s="29">
        <v>10030009</v>
      </c>
      <c r="D92" s="92" t="s">
        <v>366</v>
      </c>
      <c r="E92" s="93" t="s">
        <v>275</v>
      </c>
      <c r="F92" s="93" t="s">
        <v>231</v>
      </c>
      <c r="G92" s="109">
        <v>9313.6999999999989</v>
      </c>
      <c r="H92" s="109">
        <v>384010.44999999995</v>
      </c>
      <c r="I92" s="95">
        <v>0</v>
      </c>
      <c r="J92" s="95">
        <v>0</v>
      </c>
      <c r="K92" s="95">
        <v>0</v>
      </c>
      <c r="L92" s="95">
        <v>0</v>
      </c>
      <c r="M92" s="96">
        <v>0</v>
      </c>
      <c r="N92" s="97">
        <v>0</v>
      </c>
      <c r="O92" s="98">
        <v>0</v>
      </c>
      <c r="P92" s="33"/>
      <c r="Q92" s="99" t="s">
        <v>1198</v>
      </c>
      <c r="R92" s="100"/>
      <c r="S92" s="101">
        <v>0</v>
      </c>
      <c r="T92" s="102">
        <v>0</v>
      </c>
      <c r="U92" s="103">
        <v>0</v>
      </c>
      <c r="V92" s="103">
        <v>0</v>
      </c>
      <c r="W92" s="104">
        <v>0</v>
      </c>
      <c r="X92" s="19"/>
      <c r="Y92" s="103">
        <v>0</v>
      </c>
      <c r="Z92" s="103">
        <v>0</v>
      </c>
      <c r="AA92" s="105">
        <v>0</v>
      </c>
      <c r="AB92" s="106">
        <v>0</v>
      </c>
      <c r="AC92" s="105">
        <v>0</v>
      </c>
      <c r="AD92" s="104">
        <v>0</v>
      </c>
      <c r="AE92" s="104">
        <v>0</v>
      </c>
      <c r="AF92" s="107">
        <v>46265</v>
      </c>
    </row>
    <row r="93" spans="1:33" x14ac:dyDescent="0.25">
      <c r="A93" s="90">
        <v>1003</v>
      </c>
      <c r="B93" s="91" t="s">
        <v>161</v>
      </c>
      <c r="C93" s="29">
        <v>10030010</v>
      </c>
      <c r="D93" s="92" t="s">
        <v>367</v>
      </c>
      <c r="E93" s="93" t="s">
        <v>270</v>
      </c>
      <c r="F93" s="93" t="s">
        <v>230</v>
      </c>
      <c r="G93" s="109">
        <v>146.29999999999998</v>
      </c>
      <c r="H93" s="109">
        <v>4908.1299999999992</v>
      </c>
      <c r="I93" s="95">
        <v>0</v>
      </c>
      <c r="J93" s="95">
        <v>0</v>
      </c>
      <c r="K93" s="95">
        <v>0</v>
      </c>
      <c r="L93" s="95">
        <v>0</v>
      </c>
      <c r="M93" s="96">
        <v>0</v>
      </c>
      <c r="N93" s="97">
        <v>0</v>
      </c>
      <c r="O93" s="98">
        <v>0</v>
      </c>
      <c r="P93" s="33"/>
      <c r="Q93" s="99" t="s">
        <v>1198</v>
      </c>
      <c r="R93" s="100"/>
      <c r="S93" s="101">
        <v>-0.47871592643226663</v>
      </c>
      <c r="T93" s="102">
        <v>2</v>
      </c>
      <c r="U93" s="103">
        <v>0</v>
      </c>
      <c r="V93" s="103">
        <v>0</v>
      </c>
      <c r="W93" s="104">
        <v>0</v>
      </c>
      <c r="X93" s="19"/>
      <c r="Y93" s="103">
        <v>0</v>
      </c>
      <c r="Z93" s="103">
        <v>0</v>
      </c>
      <c r="AA93" s="105">
        <v>0</v>
      </c>
      <c r="AB93" s="106">
        <v>0</v>
      </c>
      <c r="AC93" s="105">
        <v>0</v>
      </c>
      <c r="AD93" s="104">
        <v>0</v>
      </c>
      <c r="AE93" s="104">
        <v>0</v>
      </c>
      <c r="AF93" s="107">
        <v>46265</v>
      </c>
      <c r="AG93" s="108"/>
    </row>
    <row r="94" spans="1:33" x14ac:dyDescent="0.25">
      <c r="A94" s="90">
        <v>1003</v>
      </c>
      <c r="B94" s="91" t="s">
        <v>161</v>
      </c>
      <c r="C94" s="29">
        <v>10030011</v>
      </c>
      <c r="D94" s="92" t="s">
        <v>368</v>
      </c>
      <c r="E94" s="93" t="s">
        <v>270</v>
      </c>
      <c r="F94" s="93" t="s">
        <v>230</v>
      </c>
      <c r="G94" s="109">
        <v>1359.2499999999998</v>
      </c>
      <c r="H94" s="109">
        <v>59269.65</v>
      </c>
      <c r="I94" s="95">
        <v>0</v>
      </c>
      <c r="J94" s="95">
        <v>0</v>
      </c>
      <c r="K94" s="95">
        <v>0</v>
      </c>
      <c r="L94" s="95">
        <v>0</v>
      </c>
      <c r="M94" s="96">
        <v>0</v>
      </c>
      <c r="N94" s="97">
        <v>0</v>
      </c>
      <c r="O94" s="98">
        <v>0</v>
      </c>
      <c r="P94" s="33"/>
      <c r="Q94" s="99" t="s">
        <v>1198</v>
      </c>
      <c r="R94" s="100"/>
      <c r="S94" s="101">
        <v>-4.7882854040807359E-4</v>
      </c>
      <c r="T94" s="102">
        <v>20</v>
      </c>
      <c r="U94" s="103">
        <v>0</v>
      </c>
      <c r="V94" s="103">
        <v>0</v>
      </c>
      <c r="W94" s="104">
        <v>0</v>
      </c>
      <c r="X94" s="19"/>
      <c r="Y94" s="103">
        <v>0</v>
      </c>
      <c r="Z94" s="103">
        <v>0</v>
      </c>
      <c r="AA94" s="105">
        <v>0</v>
      </c>
      <c r="AB94" s="106">
        <v>0</v>
      </c>
      <c r="AC94" s="105">
        <v>0</v>
      </c>
      <c r="AD94" s="104">
        <v>0</v>
      </c>
      <c r="AE94" s="104">
        <v>0</v>
      </c>
      <c r="AF94" s="107">
        <v>46265</v>
      </c>
    </row>
    <row r="95" spans="1:33" x14ac:dyDescent="0.25">
      <c r="A95" s="90">
        <v>1003</v>
      </c>
      <c r="B95" s="91" t="s">
        <v>161</v>
      </c>
      <c r="C95" s="29">
        <v>10030012</v>
      </c>
      <c r="D95" s="92" t="s">
        <v>369</v>
      </c>
      <c r="E95" s="93" t="s">
        <v>275</v>
      </c>
      <c r="F95" s="93" t="s">
        <v>231</v>
      </c>
      <c r="G95" s="109">
        <v>495</v>
      </c>
      <c r="H95" s="109">
        <v>18881.440000000002</v>
      </c>
      <c r="I95" s="95">
        <v>0</v>
      </c>
      <c r="J95" s="95">
        <v>0</v>
      </c>
      <c r="K95" s="95">
        <v>0</v>
      </c>
      <c r="L95" s="95">
        <v>0</v>
      </c>
      <c r="M95" s="96">
        <v>0</v>
      </c>
      <c r="N95" s="97">
        <v>0</v>
      </c>
      <c r="O95" s="98">
        <v>0</v>
      </c>
      <c r="P95" s="33"/>
      <c r="Q95" s="99" t="s">
        <v>1198</v>
      </c>
      <c r="R95" s="100"/>
      <c r="S95" s="101">
        <v>0</v>
      </c>
      <c r="T95" s="102">
        <v>0</v>
      </c>
      <c r="U95" s="103">
        <v>0</v>
      </c>
      <c r="V95" s="103">
        <v>0</v>
      </c>
      <c r="W95" s="104">
        <v>0</v>
      </c>
      <c r="X95" s="19"/>
      <c r="Y95" s="103">
        <v>0</v>
      </c>
      <c r="Z95" s="103">
        <v>0</v>
      </c>
      <c r="AA95" s="105">
        <v>0</v>
      </c>
      <c r="AB95" s="106">
        <v>0</v>
      </c>
      <c r="AC95" s="105">
        <v>0</v>
      </c>
      <c r="AD95" s="104">
        <v>0</v>
      </c>
      <c r="AE95" s="104">
        <v>0</v>
      </c>
      <c r="AF95" s="107">
        <v>46265</v>
      </c>
    </row>
    <row r="96" spans="1:33" x14ac:dyDescent="0.25">
      <c r="A96" s="90">
        <v>1003</v>
      </c>
      <c r="B96" s="91" t="s">
        <v>161</v>
      </c>
      <c r="C96" s="29">
        <v>10030013</v>
      </c>
      <c r="D96" s="92" t="s">
        <v>370</v>
      </c>
      <c r="E96" s="93" t="s">
        <v>270</v>
      </c>
      <c r="F96" s="93" t="s">
        <v>230</v>
      </c>
      <c r="G96" s="109">
        <v>627.5999999999998</v>
      </c>
      <c r="H96" s="109">
        <v>33865.159999999996</v>
      </c>
      <c r="I96" s="95">
        <v>0</v>
      </c>
      <c r="J96" s="95">
        <v>0</v>
      </c>
      <c r="K96" s="95">
        <v>0</v>
      </c>
      <c r="L96" s="95">
        <v>0</v>
      </c>
      <c r="M96" s="96">
        <v>0</v>
      </c>
      <c r="N96" s="97">
        <v>0</v>
      </c>
      <c r="O96" s="98">
        <v>0</v>
      </c>
      <c r="P96" s="33"/>
      <c r="Q96" s="99" t="s">
        <v>1198</v>
      </c>
      <c r="R96" s="100"/>
      <c r="S96" s="101">
        <v>-5.8354663022409915E-2</v>
      </c>
      <c r="T96" s="102">
        <v>12</v>
      </c>
      <c r="U96" s="103">
        <v>0</v>
      </c>
      <c r="V96" s="103">
        <v>0</v>
      </c>
      <c r="W96" s="104">
        <v>0</v>
      </c>
      <c r="X96" s="19"/>
      <c r="Y96" s="103">
        <v>0</v>
      </c>
      <c r="Z96" s="103">
        <v>0</v>
      </c>
      <c r="AA96" s="105">
        <v>0</v>
      </c>
      <c r="AB96" s="106">
        <v>0</v>
      </c>
      <c r="AC96" s="105">
        <v>0</v>
      </c>
      <c r="AD96" s="104">
        <v>0</v>
      </c>
      <c r="AE96" s="104">
        <v>0</v>
      </c>
      <c r="AF96" s="107">
        <v>46265</v>
      </c>
    </row>
    <row r="97" spans="1:33" x14ac:dyDescent="0.25">
      <c r="A97" s="90">
        <v>1003</v>
      </c>
      <c r="B97" s="91" t="s">
        <v>161</v>
      </c>
      <c r="C97" s="29">
        <v>10030016</v>
      </c>
      <c r="D97" s="92" t="s">
        <v>371</v>
      </c>
      <c r="E97" s="93" t="s">
        <v>270</v>
      </c>
      <c r="F97" s="93" t="s">
        <v>230</v>
      </c>
      <c r="G97" s="109">
        <v>1072.05</v>
      </c>
      <c r="H97" s="109">
        <v>47427.64</v>
      </c>
      <c r="I97" s="95">
        <v>0</v>
      </c>
      <c r="J97" s="95">
        <v>0</v>
      </c>
      <c r="K97" s="95">
        <v>0</v>
      </c>
      <c r="L97" s="95">
        <v>0</v>
      </c>
      <c r="M97" s="96">
        <v>0</v>
      </c>
      <c r="N97" s="97">
        <v>0</v>
      </c>
      <c r="O97" s="98">
        <v>0</v>
      </c>
      <c r="P97" s="33"/>
      <c r="Q97" s="99" t="s">
        <v>1198</v>
      </c>
      <c r="R97" s="100"/>
      <c r="S97" s="101">
        <v>-3.7444831747900711E-2</v>
      </c>
      <c r="T97" s="102">
        <v>12</v>
      </c>
      <c r="U97" s="103">
        <v>0</v>
      </c>
      <c r="V97" s="103">
        <v>0</v>
      </c>
      <c r="W97" s="104">
        <v>0</v>
      </c>
      <c r="X97" s="19"/>
      <c r="Y97" s="103">
        <v>0</v>
      </c>
      <c r="Z97" s="103">
        <v>0</v>
      </c>
      <c r="AA97" s="105">
        <v>0</v>
      </c>
      <c r="AB97" s="106">
        <v>0</v>
      </c>
      <c r="AC97" s="105">
        <v>0</v>
      </c>
      <c r="AD97" s="104">
        <v>0</v>
      </c>
      <c r="AE97" s="104">
        <v>0</v>
      </c>
      <c r="AF97" s="107">
        <v>46265</v>
      </c>
    </row>
    <row r="98" spans="1:33" x14ac:dyDescent="0.25">
      <c r="A98" s="90">
        <v>1003</v>
      </c>
      <c r="B98" s="91" t="s">
        <v>161</v>
      </c>
      <c r="C98" s="29">
        <v>10030017</v>
      </c>
      <c r="D98" s="92" t="s">
        <v>372</v>
      </c>
      <c r="E98" s="93" t="s">
        <v>270</v>
      </c>
      <c r="F98" s="93" t="s">
        <v>230</v>
      </c>
      <c r="G98" s="109">
        <v>1320.1499999999999</v>
      </c>
      <c r="H98" s="109">
        <v>67166.340000000011</v>
      </c>
      <c r="I98" s="95">
        <v>0</v>
      </c>
      <c r="J98" s="95">
        <v>0</v>
      </c>
      <c r="K98" s="95">
        <v>0</v>
      </c>
      <c r="L98" s="95">
        <v>0</v>
      </c>
      <c r="M98" s="96">
        <v>0</v>
      </c>
      <c r="N98" s="97">
        <v>0</v>
      </c>
      <c r="O98" s="98">
        <v>0</v>
      </c>
      <c r="P98" s="33"/>
      <c r="Q98" s="99" t="s">
        <v>1198</v>
      </c>
      <c r="R98" s="100"/>
      <c r="S98" s="101">
        <v>-6.9012246312659615E-3</v>
      </c>
      <c r="T98" s="102">
        <v>37</v>
      </c>
      <c r="U98" s="103">
        <v>0</v>
      </c>
      <c r="V98" s="103">
        <v>0</v>
      </c>
      <c r="W98" s="104">
        <v>0</v>
      </c>
      <c r="X98" s="19"/>
      <c r="Y98" s="103">
        <v>0</v>
      </c>
      <c r="Z98" s="103">
        <v>0</v>
      </c>
      <c r="AA98" s="105">
        <v>0</v>
      </c>
      <c r="AB98" s="106">
        <v>0</v>
      </c>
      <c r="AC98" s="105">
        <v>0</v>
      </c>
      <c r="AD98" s="104">
        <v>0</v>
      </c>
      <c r="AE98" s="104">
        <v>0</v>
      </c>
      <c r="AF98" s="107">
        <v>46265</v>
      </c>
    </row>
    <row r="99" spans="1:33" x14ac:dyDescent="0.25">
      <c r="A99" s="90">
        <v>1003</v>
      </c>
      <c r="B99" s="91" t="s">
        <v>161</v>
      </c>
      <c r="C99" s="29">
        <v>10030018</v>
      </c>
      <c r="D99" s="92" t="s">
        <v>373</v>
      </c>
      <c r="E99" s="93" t="s">
        <v>270</v>
      </c>
      <c r="F99" s="93" t="s">
        <v>230</v>
      </c>
      <c r="G99" s="109">
        <v>648.5</v>
      </c>
      <c r="H99" s="109">
        <v>27660.720000000001</v>
      </c>
      <c r="I99" s="95">
        <v>0</v>
      </c>
      <c r="J99" s="95">
        <v>0</v>
      </c>
      <c r="K99" s="95">
        <v>0</v>
      </c>
      <c r="L99" s="95">
        <v>0</v>
      </c>
      <c r="M99" s="96">
        <v>0</v>
      </c>
      <c r="N99" s="97">
        <v>0</v>
      </c>
      <c r="O99" s="98">
        <v>0</v>
      </c>
      <c r="P99" s="33"/>
      <c r="Q99" s="99" t="s">
        <v>1198</v>
      </c>
      <c r="R99" s="100"/>
      <c r="S99" s="101">
        <v>-6.940021807096837E-2</v>
      </c>
      <c r="T99" s="102">
        <v>22</v>
      </c>
      <c r="U99" s="103">
        <v>0</v>
      </c>
      <c r="V99" s="103">
        <v>0</v>
      </c>
      <c r="W99" s="104">
        <v>0</v>
      </c>
      <c r="X99" s="19"/>
      <c r="Y99" s="103">
        <v>0</v>
      </c>
      <c r="Z99" s="103">
        <v>0</v>
      </c>
      <c r="AA99" s="105">
        <v>0</v>
      </c>
      <c r="AB99" s="106">
        <v>0</v>
      </c>
      <c r="AC99" s="105">
        <v>0</v>
      </c>
      <c r="AD99" s="104">
        <v>0</v>
      </c>
      <c r="AE99" s="104">
        <v>0</v>
      </c>
      <c r="AF99" s="107">
        <v>46265</v>
      </c>
    </row>
    <row r="100" spans="1:33" x14ac:dyDescent="0.25">
      <c r="A100" s="90">
        <v>1003</v>
      </c>
      <c r="B100" s="91" t="s">
        <v>161</v>
      </c>
      <c r="C100" s="29">
        <v>10030019</v>
      </c>
      <c r="D100" s="92" t="s">
        <v>374</v>
      </c>
      <c r="E100" s="93" t="s">
        <v>270</v>
      </c>
      <c r="F100" s="93" t="s">
        <v>230</v>
      </c>
      <c r="G100" s="109">
        <v>223.25</v>
      </c>
      <c r="H100" s="109">
        <v>9724.2800000000007</v>
      </c>
      <c r="I100" s="95">
        <v>0</v>
      </c>
      <c r="J100" s="95">
        <v>0</v>
      </c>
      <c r="K100" s="95">
        <v>0</v>
      </c>
      <c r="L100" s="95">
        <v>0</v>
      </c>
      <c r="M100" s="96">
        <v>1</v>
      </c>
      <c r="N100" s="97">
        <v>0</v>
      </c>
      <c r="O100" s="98">
        <v>1</v>
      </c>
      <c r="P100" s="33"/>
      <c r="Q100" s="99" t="s">
        <v>1198</v>
      </c>
      <c r="R100" s="100"/>
      <c r="S100" s="101">
        <v>-8.5711230034511504E-2</v>
      </c>
      <c r="T100" s="102">
        <v>5</v>
      </c>
      <c r="U100" s="103">
        <v>0</v>
      </c>
      <c r="V100" s="103">
        <v>0</v>
      </c>
      <c r="W100" s="104">
        <v>0</v>
      </c>
      <c r="X100" s="19"/>
      <c r="Y100" s="103">
        <v>0</v>
      </c>
      <c r="Z100" s="103">
        <v>0</v>
      </c>
      <c r="AA100" s="105">
        <v>0</v>
      </c>
      <c r="AB100" s="106">
        <v>0</v>
      </c>
      <c r="AC100" s="105">
        <v>0</v>
      </c>
      <c r="AD100" s="104">
        <v>0</v>
      </c>
      <c r="AE100" s="104">
        <v>0</v>
      </c>
      <c r="AF100" s="107">
        <v>46265</v>
      </c>
    </row>
    <row r="101" spans="1:33" x14ac:dyDescent="0.25">
      <c r="A101" s="90">
        <v>1003</v>
      </c>
      <c r="B101" s="91" t="s">
        <v>161</v>
      </c>
      <c r="C101" s="29">
        <v>10030021</v>
      </c>
      <c r="D101" s="92" t="s">
        <v>375</v>
      </c>
      <c r="E101" s="93" t="s">
        <v>270</v>
      </c>
      <c r="F101" s="93" t="s">
        <v>230</v>
      </c>
      <c r="G101" s="109">
        <v>390.69999999999993</v>
      </c>
      <c r="H101" s="109">
        <v>16303.239999999998</v>
      </c>
      <c r="I101" s="95">
        <v>0</v>
      </c>
      <c r="J101" s="95">
        <v>0</v>
      </c>
      <c r="K101" s="95">
        <v>0</v>
      </c>
      <c r="L101" s="95">
        <v>0</v>
      </c>
      <c r="M101" s="96">
        <v>1</v>
      </c>
      <c r="N101" s="97">
        <v>0</v>
      </c>
      <c r="O101" s="98">
        <v>1</v>
      </c>
      <c r="P101" s="33"/>
      <c r="Q101" s="99" t="s">
        <v>1198</v>
      </c>
      <c r="R101" s="100"/>
      <c r="S101" s="101">
        <v>-0.18150747949487342</v>
      </c>
      <c r="T101" s="102">
        <v>10</v>
      </c>
      <c r="U101" s="103">
        <v>0</v>
      </c>
      <c r="V101" s="103">
        <v>0</v>
      </c>
      <c r="W101" s="104">
        <v>0</v>
      </c>
      <c r="X101" s="19"/>
      <c r="Y101" s="103">
        <v>0</v>
      </c>
      <c r="Z101" s="103">
        <v>0</v>
      </c>
      <c r="AA101" s="105">
        <v>0</v>
      </c>
      <c r="AB101" s="106">
        <v>0</v>
      </c>
      <c r="AC101" s="105">
        <v>0</v>
      </c>
      <c r="AD101" s="104">
        <v>0</v>
      </c>
      <c r="AE101" s="104">
        <v>0</v>
      </c>
      <c r="AF101" s="107">
        <v>46265</v>
      </c>
    </row>
    <row r="102" spans="1:33" x14ac:dyDescent="0.25">
      <c r="A102" s="90">
        <v>1003</v>
      </c>
      <c r="B102" s="91" t="s">
        <v>161</v>
      </c>
      <c r="C102" s="29">
        <v>10030022</v>
      </c>
      <c r="D102" s="92" t="s">
        <v>376</v>
      </c>
      <c r="E102" s="93" t="s">
        <v>270</v>
      </c>
      <c r="F102" s="93" t="s">
        <v>230</v>
      </c>
      <c r="G102" s="109">
        <v>1376.2000000000003</v>
      </c>
      <c r="H102" s="109">
        <v>57355.149999999994</v>
      </c>
      <c r="I102" s="95">
        <v>0</v>
      </c>
      <c r="J102" s="95">
        <v>0</v>
      </c>
      <c r="K102" s="95">
        <v>0</v>
      </c>
      <c r="L102" s="95">
        <v>0</v>
      </c>
      <c r="M102" s="96">
        <v>0</v>
      </c>
      <c r="N102" s="97">
        <v>0</v>
      </c>
      <c r="O102" s="98">
        <v>0</v>
      </c>
      <c r="P102" s="33"/>
      <c r="Q102" s="99" t="s">
        <v>1198</v>
      </c>
      <c r="R102" s="100"/>
      <c r="S102" s="101">
        <v>-1.1848979559812954E-2</v>
      </c>
      <c r="T102" s="102">
        <v>24</v>
      </c>
      <c r="U102" s="103">
        <v>0</v>
      </c>
      <c r="V102" s="103">
        <v>0</v>
      </c>
      <c r="W102" s="104">
        <v>0</v>
      </c>
      <c r="X102" s="19"/>
      <c r="Y102" s="103">
        <v>0</v>
      </c>
      <c r="Z102" s="103">
        <v>0</v>
      </c>
      <c r="AA102" s="105">
        <v>0</v>
      </c>
      <c r="AB102" s="106">
        <v>0</v>
      </c>
      <c r="AC102" s="105">
        <v>0</v>
      </c>
      <c r="AD102" s="104">
        <v>0</v>
      </c>
      <c r="AE102" s="104">
        <v>0</v>
      </c>
      <c r="AF102" s="107">
        <v>46265</v>
      </c>
    </row>
    <row r="103" spans="1:33" x14ac:dyDescent="0.25">
      <c r="A103" s="90">
        <v>1003</v>
      </c>
      <c r="B103" s="91" t="s">
        <v>161</v>
      </c>
      <c r="C103" s="29">
        <v>10030023</v>
      </c>
      <c r="D103" s="92" t="s">
        <v>377</v>
      </c>
      <c r="E103" s="93" t="s">
        <v>270</v>
      </c>
      <c r="F103" s="93" t="s">
        <v>230</v>
      </c>
      <c r="G103" s="109">
        <v>409.45</v>
      </c>
      <c r="H103" s="109">
        <v>17006.689999999999</v>
      </c>
      <c r="I103" s="95">
        <v>0</v>
      </c>
      <c r="J103" s="95">
        <v>0</v>
      </c>
      <c r="K103" s="95">
        <v>0</v>
      </c>
      <c r="L103" s="95">
        <v>0</v>
      </c>
      <c r="M103" s="96">
        <v>0</v>
      </c>
      <c r="N103" s="97">
        <v>0</v>
      </c>
      <c r="O103" s="98">
        <v>0</v>
      </c>
      <c r="P103" s="33"/>
      <c r="Q103" s="99" t="s">
        <v>1198</v>
      </c>
      <c r="R103" s="100"/>
      <c r="S103" s="101">
        <v>-9.6391478882722221E-3</v>
      </c>
      <c r="T103" s="102">
        <v>13</v>
      </c>
      <c r="U103" s="103">
        <v>0</v>
      </c>
      <c r="V103" s="103">
        <v>0</v>
      </c>
      <c r="W103" s="104">
        <v>0</v>
      </c>
      <c r="X103" s="19"/>
      <c r="Y103" s="103">
        <v>0</v>
      </c>
      <c r="Z103" s="103">
        <v>0</v>
      </c>
      <c r="AA103" s="105">
        <v>0</v>
      </c>
      <c r="AB103" s="106">
        <v>0</v>
      </c>
      <c r="AC103" s="105">
        <v>0</v>
      </c>
      <c r="AD103" s="104">
        <v>0</v>
      </c>
      <c r="AE103" s="104">
        <v>0</v>
      </c>
      <c r="AF103" s="107">
        <v>46265</v>
      </c>
    </row>
    <row r="104" spans="1:33" x14ac:dyDescent="0.25">
      <c r="A104" s="90">
        <v>1003</v>
      </c>
      <c r="B104" s="91" t="s">
        <v>161</v>
      </c>
      <c r="C104" s="29">
        <v>10030025</v>
      </c>
      <c r="D104" s="92" t="s">
        <v>378</v>
      </c>
      <c r="E104" s="93" t="s">
        <v>270</v>
      </c>
      <c r="F104" s="93" t="s">
        <v>230</v>
      </c>
      <c r="G104" s="109">
        <v>494.95000000000005</v>
      </c>
      <c r="H104" s="109">
        <v>20738.28</v>
      </c>
      <c r="I104" s="95">
        <v>0</v>
      </c>
      <c r="J104" s="95">
        <v>0</v>
      </c>
      <c r="K104" s="95">
        <v>0</v>
      </c>
      <c r="L104" s="95">
        <v>0</v>
      </c>
      <c r="M104" s="96">
        <v>0</v>
      </c>
      <c r="N104" s="97">
        <v>0</v>
      </c>
      <c r="O104" s="98">
        <v>0</v>
      </c>
      <c r="P104" s="33"/>
      <c r="Q104" s="99" t="s">
        <v>1198</v>
      </c>
      <c r="R104" s="100"/>
      <c r="S104" s="101">
        <v>-3.5332727690049415E-2</v>
      </c>
      <c r="T104" s="102">
        <v>6</v>
      </c>
      <c r="U104" s="103">
        <v>0</v>
      </c>
      <c r="V104" s="103">
        <v>0</v>
      </c>
      <c r="W104" s="104">
        <v>0</v>
      </c>
      <c r="X104" s="19"/>
      <c r="Y104" s="103">
        <v>0</v>
      </c>
      <c r="Z104" s="103">
        <v>0</v>
      </c>
      <c r="AA104" s="105">
        <v>0</v>
      </c>
      <c r="AB104" s="106">
        <v>0</v>
      </c>
      <c r="AC104" s="105">
        <v>0</v>
      </c>
      <c r="AD104" s="104">
        <v>0</v>
      </c>
      <c r="AE104" s="104">
        <v>0</v>
      </c>
      <c r="AF104" s="107">
        <v>46265</v>
      </c>
    </row>
    <row r="105" spans="1:33" x14ac:dyDescent="0.25">
      <c r="A105" s="90">
        <v>1003</v>
      </c>
      <c r="B105" s="91" t="s">
        <v>161</v>
      </c>
      <c r="C105" s="29">
        <v>10030026</v>
      </c>
      <c r="D105" s="92" t="s">
        <v>379</v>
      </c>
      <c r="E105" s="93" t="s">
        <v>270</v>
      </c>
      <c r="F105" s="93" t="s">
        <v>230</v>
      </c>
      <c r="G105" s="109">
        <v>400.4</v>
      </c>
      <c r="H105" s="109">
        <v>16050.79</v>
      </c>
      <c r="I105" s="95">
        <v>0</v>
      </c>
      <c r="J105" s="95">
        <v>0</v>
      </c>
      <c r="K105" s="95">
        <v>0</v>
      </c>
      <c r="L105" s="95">
        <v>0</v>
      </c>
      <c r="M105" s="96">
        <v>-3351</v>
      </c>
      <c r="N105" s="97" t="s">
        <v>324</v>
      </c>
      <c r="O105" s="98">
        <v>-3351</v>
      </c>
      <c r="P105" s="33" t="s">
        <v>286</v>
      </c>
      <c r="Q105" s="99" t="s">
        <v>1198</v>
      </c>
      <c r="R105" s="100"/>
      <c r="S105" s="101">
        <v>-0.20889563691257532</v>
      </c>
      <c r="T105" s="102">
        <v>31</v>
      </c>
      <c r="U105" s="103">
        <v>0</v>
      </c>
      <c r="V105" s="103">
        <v>0</v>
      </c>
      <c r="W105" s="104">
        <v>0</v>
      </c>
      <c r="X105" s="19"/>
      <c r="Y105" s="103">
        <v>0</v>
      </c>
      <c r="Z105" s="103">
        <v>0</v>
      </c>
      <c r="AA105" s="105">
        <v>0</v>
      </c>
      <c r="AB105" s="106">
        <v>0</v>
      </c>
      <c r="AC105" s="105">
        <v>0</v>
      </c>
      <c r="AD105" s="104">
        <v>0</v>
      </c>
      <c r="AE105" s="104">
        <v>-3351</v>
      </c>
      <c r="AF105" s="107">
        <v>46265</v>
      </c>
    </row>
    <row r="106" spans="1:33" x14ac:dyDescent="0.25">
      <c r="A106" s="90">
        <v>1003</v>
      </c>
      <c r="B106" s="91" t="s">
        <v>161</v>
      </c>
      <c r="C106" s="29">
        <v>10030027</v>
      </c>
      <c r="D106" s="92" t="s">
        <v>380</v>
      </c>
      <c r="E106" s="93" t="s">
        <v>270</v>
      </c>
      <c r="F106" s="93" t="s">
        <v>230</v>
      </c>
      <c r="G106" s="109">
        <v>799.25000000000023</v>
      </c>
      <c r="H106" s="109">
        <v>31058.65</v>
      </c>
      <c r="I106" s="95">
        <v>0</v>
      </c>
      <c r="J106" s="95">
        <v>0</v>
      </c>
      <c r="K106" s="95">
        <v>0</v>
      </c>
      <c r="L106" s="95">
        <v>0</v>
      </c>
      <c r="M106" s="96">
        <v>237</v>
      </c>
      <c r="N106" s="97">
        <v>0</v>
      </c>
      <c r="O106" s="98">
        <v>2</v>
      </c>
      <c r="P106" s="33"/>
      <c r="Q106" s="99" t="s">
        <v>1198</v>
      </c>
      <c r="R106" s="100"/>
      <c r="S106" s="101">
        <v>7.5846825280558982E-3</v>
      </c>
      <c r="T106" s="102">
        <v>39</v>
      </c>
      <c r="U106" s="103">
        <v>0</v>
      </c>
      <c r="V106" s="103">
        <v>0</v>
      </c>
      <c r="W106" s="104">
        <v>0</v>
      </c>
      <c r="X106" s="19"/>
      <c r="Y106" s="103">
        <v>0</v>
      </c>
      <c r="Z106" s="103">
        <v>0</v>
      </c>
      <c r="AA106" s="105">
        <v>0</v>
      </c>
      <c r="AB106" s="106">
        <v>0</v>
      </c>
      <c r="AC106" s="105">
        <v>0</v>
      </c>
      <c r="AD106" s="104">
        <v>0</v>
      </c>
      <c r="AE106" s="104">
        <v>0</v>
      </c>
      <c r="AF106" s="107">
        <v>46265</v>
      </c>
    </row>
    <row r="107" spans="1:33" x14ac:dyDescent="0.25">
      <c r="A107" s="90">
        <v>1003</v>
      </c>
      <c r="B107" s="91" t="s">
        <v>161</v>
      </c>
      <c r="C107" s="29">
        <v>10030028</v>
      </c>
      <c r="D107" s="92" t="s">
        <v>381</v>
      </c>
      <c r="E107" s="93" t="s">
        <v>270</v>
      </c>
      <c r="F107" s="93" t="s">
        <v>230</v>
      </c>
      <c r="G107" s="109">
        <v>999.64999999999986</v>
      </c>
      <c r="H107" s="109">
        <v>40958.839999999997</v>
      </c>
      <c r="I107" s="95">
        <v>0</v>
      </c>
      <c r="J107" s="95">
        <v>0</v>
      </c>
      <c r="K107" s="95">
        <v>0</v>
      </c>
      <c r="L107" s="95">
        <v>0</v>
      </c>
      <c r="M107" s="96">
        <v>0</v>
      </c>
      <c r="N107" s="97">
        <v>0</v>
      </c>
      <c r="O107" s="98">
        <v>0</v>
      </c>
      <c r="P107" s="33"/>
      <c r="Q107" s="99" t="s">
        <v>1198</v>
      </c>
      <c r="R107" s="100"/>
      <c r="S107" s="101">
        <v>-1.0597223944818466E-2</v>
      </c>
      <c r="T107" s="102">
        <v>32</v>
      </c>
      <c r="U107" s="103">
        <v>0</v>
      </c>
      <c r="V107" s="103">
        <v>0</v>
      </c>
      <c r="W107" s="104">
        <v>0</v>
      </c>
      <c r="X107" s="19"/>
      <c r="Y107" s="103">
        <v>0</v>
      </c>
      <c r="Z107" s="103">
        <v>0</v>
      </c>
      <c r="AA107" s="105">
        <v>0</v>
      </c>
      <c r="AB107" s="106">
        <v>0</v>
      </c>
      <c r="AC107" s="105">
        <v>0</v>
      </c>
      <c r="AD107" s="104">
        <v>0</v>
      </c>
      <c r="AE107" s="104">
        <v>0</v>
      </c>
      <c r="AF107" s="107">
        <v>46265</v>
      </c>
      <c r="AG107" s="108"/>
    </row>
    <row r="108" spans="1:33" x14ac:dyDescent="0.25">
      <c r="A108" s="90">
        <v>1003</v>
      </c>
      <c r="B108" s="91" t="s">
        <v>161</v>
      </c>
      <c r="C108" s="29">
        <v>10030030</v>
      </c>
      <c r="D108" s="92" t="s">
        <v>382</v>
      </c>
      <c r="E108" s="93" t="s">
        <v>270</v>
      </c>
      <c r="F108" s="93" t="s">
        <v>230</v>
      </c>
      <c r="G108" s="109">
        <v>53.05</v>
      </c>
      <c r="H108" s="109">
        <v>2526.2399999999998</v>
      </c>
      <c r="I108" s="95">
        <v>0</v>
      </c>
      <c r="J108" s="95">
        <v>0</v>
      </c>
      <c r="K108" s="95">
        <v>0</v>
      </c>
      <c r="L108" s="95">
        <v>0</v>
      </c>
      <c r="M108" s="96">
        <v>86</v>
      </c>
      <c r="N108" s="97">
        <v>0</v>
      </c>
      <c r="O108" s="98">
        <v>0</v>
      </c>
      <c r="P108" s="33"/>
      <c r="Q108" s="99" t="s">
        <v>1198</v>
      </c>
      <c r="R108" s="100"/>
      <c r="S108" s="101">
        <v>3.4074355564000229E-2</v>
      </c>
      <c r="T108" s="102">
        <v>1</v>
      </c>
      <c r="U108" s="103">
        <v>0</v>
      </c>
      <c r="V108" s="103">
        <v>0</v>
      </c>
      <c r="W108" s="104">
        <v>0</v>
      </c>
      <c r="X108" s="19"/>
      <c r="Y108" s="103">
        <v>0</v>
      </c>
      <c r="Z108" s="103">
        <v>0</v>
      </c>
      <c r="AA108" s="105">
        <v>0</v>
      </c>
      <c r="AB108" s="106">
        <v>0</v>
      </c>
      <c r="AC108" s="105">
        <v>0</v>
      </c>
      <c r="AD108" s="104">
        <v>0</v>
      </c>
      <c r="AE108" s="104">
        <v>0</v>
      </c>
      <c r="AF108" s="107">
        <v>46265</v>
      </c>
    </row>
    <row r="109" spans="1:33" x14ac:dyDescent="0.25">
      <c r="A109" s="90">
        <v>1003</v>
      </c>
      <c r="B109" s="91" t="s">
        <v>161</v>
      </c>
      <c r="C109" s="29">
        <v>10030031</v>
      </c>
      <c r="D109" s="92" t="s">
        <v>383</v>
      </c>
      <c r="E109" s="93" t="s">
        <v>270</v>
      </c>
      <c r="F109" s="93" t="s">
        <v>230</v>
      </c>
      <c r="G109" s="109">
        <v>691.05000000000007</v>
      </c>
      <c r="H109" s="109">
        <v>26145.66</v>
      </c>
      <c r="I109" s="95">
        <v>0</v>
      </c>
      <c r="J109" s="95">
        <v>0</v>
      </c>
      <c r="K109" s="95">
        <v>0</v>
      </c>
      <c r="L109" s="95">
        <v>0</v>
      </c>
      <c r="M109" s="96">
        <v>0</v>
      </c>
      <c r="N109" s="97">
        <v>0</v>
      </c>
      <c r="O109" s="98">
        <v>0</v>
      </c>
      <c r="P109" s="33"/>
      <c r="Q109" s="99" t="s">
        <v>1198</v>
      </c>
      <c r="R109" s="100"/>
      <c r="S109" s="101">
        <v>-3.6885662859534748E-3</v>
      </c>
      <c r="T109" s="102">
        <v>22</v>
      </c>
      <c r="U109" s="103">
        <v>0</v>
      </c>
      <c r="V109" s="103">
        <v>0</v>
      </c>
      <c r="W109" s="104">
        <v>0</v>
      </c>
      <c r="X109" s="19"/>
      <c r="Y109" s="103">
        <v>0</v>
      </c>
      <c r="Z109" s="103">
        <v>0</v>
      </c>
      <c r="AA109" s="105">
        <v>0</v>
      </c>
      <c r="AB109" s="106">
        <v>0</v>
      </c>
      <c r="AC109" s="105">
        <v>0</v>
      </c>
      <c r="AD109" s="104">
        <v>0</v>
      </c>
      <c r="AE109" s="104">
        <v>0</v>
      </c>
      <c r="AF109" s="107">
        <v>46265</v>
      </c>
    </row>
    <row r="110" spans="1:33" x14ac:dyDescent="0.25">
      <c r="A110" s="90">
        <v>1003</v>
      </c>
      <c r="B110" s="91" t="s">
        <v>161</v>
      </c>
      <c r="C110" s="29">
        <v>10030032</v>
      </c>
      <c r="D110" s="92" t="s">
        <v>384</v>
      </c>
      <c r="E110" s="93" t="s">
        <v>270</v>
      </c>
      <c r="F110" s="93" t="s">
        <v>230</v>
      </c>
      <c r="G110" s="109">
        <v>892.85</v>
      </c>
      <c r="H110" s="109">
        <v>31380</v>
      </c>
      <c r="I110" s="95">
        <v>0</v>
      </c>
      <c r="J110" s="95">
        <v>0</v>
      </c>
      <c r="K110" s="95">
        <v>0</v>
      </c>
      <c r="L110" s="95">
        <v>0</v>
      </c>
      <c r="M110" s="96">
        <v>0</v>
      </c>
      <c r="N110" s="97">
        <v>0</v>
      </c>
      <c r="O110" s="98">
        <v>0</v>
      </c>
      <c r="P110" s="33"/>
      <c r="Q110" s="99" t="s">
        <v>1198</v>
      </c>
      <c r="R110" s="100"/>
      <c r="S110" s="101">
        <v>-1.8569471000637321E-2</v>
      </c>
      <c r="T110" s="102">
        <v>16</v>
      </c>
      <c r="U110" s="103">
        <v>0</v>
      </c>
      <c r="V110" s="103">
        <v>0</v>
      </c>
      <c r="W110" s="104">
        <v>0</v>
      </c>
      <c r="X110" s="19"/>
      <c r="Y110" s="103">
        <v>0</v>
      </c>
      <c r="Z110" s="103">
        <v>0</v>
      </c>
      <c r="AA110" s="105">
        <v>0</v>
      </c>
      <c r="AB110" s="106">
        <v>0</v>
      </c>
      <c r="AC110" s="105">
        <v>0</v>
      </c>
      <c r="AD110" s="104">
        <v>0</v>
      </c>
      <c r="AE110" s="104">
        <v>0</v>
      </c>
      <c r="AF110" s="107">
        <v>46265</v>
      </c>
    </row>
    <row r="111" spans="1:33" x14ac:dyDescent="0.25">
      <c r="A111" s="90">
        <v>1003</v>
      </c>
      <c r="B111" s="91" t="s">
        <v>161</v>
      </c>
      <c r="C111" s="29">
        <v>10030034</v>
      </c>
      <c r="D111" s="92" t="s">
        <v>385</v>
      </c>
      <c r="E111" s="93" t="s">
        <v>270</v>
      </c>
      <c r="F111" s="93" t="s">
        <v>230</v>
      </c>
      <c r="G111" s="109">
        <v>1112.8</v>
      </c>
      <c r="H111" s="109">
        <v>48251.21</v>
      </c>
      <c r="I111" s="95">
        <v>0</v>
      </c>
      <c r="J111" s="95">
        <v>0</v>
      </c>
      <c r="K111" s="95">
        <v>0</v>
      </c>
      <c r="L111" s="95">
        <v>0</v>
      </c>
      <c r="M111" s="96">
        <v>-267</v>
      </c>
      <c r="N111" s="97" t="s">
        <v>324</v>
      </c>
      <c r="O111" s="98">
        <v>-267</v>
      </c>
      <c r="P111" s="33" t="s">
        <v>286</v>
      </c>
      <c r="Q111" s="99" t="s">
        <v>1198</v>
      </c>
      <c r="R111" s="100"/>
      <c r="S111" s="101">
        <v>-1.8231252646306699E-2</v>
      </c>
      <c r="T111" s="102">
        <v>35</v>
      </c>
      <c r="U111" s="103">
        <v>0</v>
      </c>
      <c r="V111" s="103">
        <v>0</v>
      </c>
      <c r="W111" s="104">
        <v>0</v>
      </c>
      <c r="X111" s="19"/>
      <c r="Y111" s="103">
        <v>0</v>
      </c>
      <c r="Z111" s="103">
        <v>0</v>
      </c>
      <c r="AA111" s="105">
        <v>0</v>
      </c>
      <c r="AB111" s="106">
        <v>0</v>
      </c>
      <c r="AC111" s="105">
        <v>0</v>
      </c>
      <c r="AD111" s="104">
        <v>0</v>
      </c>
      <c r="AE111" s="104">
        <v>-267</v>
      </c>
      <c r="AF111" s="107">
        <v>46265</v>
      </c>
      <c r="AG111" s="108"/>
    </row>
    <row r="112" spans="1:33" x14ac:dyDescent="0.25">
      <c r="A112" s="90">
        <v>1003</v>
      </c>
      <c r="B112" s="91" t="s">
        <v>161</v>
      </c>
      <c r="C112" s="29">
        <v>10030035</v>
      </c>
      <c r="D112" s="92" t="s">
        <v>386</v>
      </c>
      <c r="E112" s="93" t="s">
        <v>270</v>
      </c>
      <c r="F112" s="93" t="s">
        <v>230</v>
      </c>
      <c r="G112" s="109">
        <v>483.20000000000005</v>
      </c>
      <c r="H112" s="109">
        <v>20036.699999999997</v>
      </c>
      <c r="I112" s="95">
        <v>0</v>
      </c>
      <c r="J112" s="95">
        <v>0</v>
      </c>
      <c r="K112" s="95">
        <v>0</v>
      </c>
      <c r="L112" s="95">
        <v>0</v>
      </c>
      <c r="M112" s="96">
        <v>67</v>
      </c>
      <c r="N112" s="97">
        <v>0</v>
      </c>
      <c r="O112" s="98">
        <v>0</v>
      </c>
      <c r="P112" s="33"/>
      <c r="Q112" s="99" t="s">
        <v>1198</v>
      </c>
      <c r="R112" s="100"/>
      <c r="S112" s="101">
        <v>3.346359430444916E-3</v>
      </c>
      <c r="T112" s="102">
        <v>7</v>
      </c>
      <c r="U112" s="103">
        <v>0</v>
      </c>
      <c r="V112" s="103">
        <v>0</v>
      </c>
      <c r="W112" s="104">
        <v>0</v>
      </c>
      <c r="X112" s="19"/>
      <c r="Y112" s="103">
        <v>0</v>
      </c>
      <c r="Z112" s="103">
        <v>0</v>
      </c>
      <c r="AA112" s="105">
        <v>0</v>
      </c>
      <c r="AB112" s="106">
        <v>0</v>
      </c>
      <c r="AC112" s="105">
        <v>0</v>
      </c>
      <c r="AD112" s="104">
        <v>0</v>
      </c>
      <c r="AE112" s="104">
        <v>0</v>
      </c>
      <c r="AF112" s="107">
        <v>46265</v>
      </c>
    </row>
    <row r="113" spans="1:33" x14ac:dyDescent="0.25">
      <c r="A113" s="90">
        <v>1003</v>
      </c>
      <c r="B113" s="91" t="s">
        <v>161</v>
      </c>
      <c r="C113" s="29">
        <v>10030037</v>
      </c>
      <c r="D113" s="92" t="s">
        <v>387</v>
      </c>
      <c r="E113" s="93" t="s">
        <v>270</v>
      </c>
      <c r="F113" s="93" t="s">
        <v>230</v>
      </c>
      <c r="G113" s="109">
        <v>1362.2500000000002</v>
      </c>
      <c r="H113" s="109">
        <v>52367.65</v>
      </c>
      <c r="I113" s="95">
        <v>0</v>
      </c>
      <c r="J113" s="95">
        <v>16500</v>
      </c>
      <c r="K113" s="95">
        <v>0</v>
      </c>
      <c r="L113" s="95">
        <v>0</v>
      </c>
      <c r="M113" s="96">
        <v>0</v>
      </c>
      <c r="N113" s="97" t="s">
        <v>331</v>
      </c>
      <c r="O113" s="98">
        <v>0</v>
      </c>
      <c r="P113" s="33" t="s">
        <v>332</v>
      </c>
      <c r="Q113" s="99" t="s">
        <v>1198</v>
      </c>
      <c r="R113" s="100"/>
      <c r="S113" s="101">
        <v>-1.0318202172524382E-2</v>
      </c>
      <c r="T113" s="102">
        <v>16</v>
      </c>
      <c r="U113" s="103">
        <v>16500</v>
      </c>
      <c r="V113" s="103">
        <v>16500</v>
      </c>
      <c r="W113" s="104">
        <v>0</v>
      </c>
      <c r="X113" s="19"/>
      <c r="Y113" s="103">
        <v>0</v>
      </c>
      <c r="Z113" s="103">
        <v>0</v>
      </c>
      <c r="AA113" s="105">
        <v>0</v>
      </c>
      <c r="AB113" s="106">
        <v>0</v>
      </c>
      <c r="AC113" s="105">
        <v>0</v>
      </c>
      <c r="AD113" s="104">
        <v>0</v>
      </c>
      <c r="AE113" s="104">
        <v>0</v>
      </c>
      <c r="AF113" s="107">
        <v>46265</v>
      </c>
    </row>
    <row r="114" spans="1:33" x14ac:dyDescent="0.25">
      <c r="A114" s="90">
        <v>1003</v>
      </c>
      <c r="B114" s="91" t="s">
        <v>161</v>
      </c>
      <c r="C114" s="29">
        <v>10030038</v>
      </c>
      <c r="D114" s="92" t="s">
        <v>388</v>
      </c>
      <c r="E114" s="93" t="s">
        <v>270</v>
      </c>
      <c r="F114" s="93" t="s">
        <v>230</v>
      </c>
      <c r="G114" s="109">
        <v>649.34999999999991</v>
      </c>
      <c r="H114" s="109">
        <v>27977.34</v>
      </c>
      <c r="I114" s="95">
        <v>0</v>
      </c>
      <c r="J114" s="95">
        <v>0</v>
      </c>
      <c r="K114" s="95">
        <v>0</v>
      </c>
      <c r="L114" s="95">
        <v>0</v>
      </c>
      <c r="M114" s="96">
        <v>0</v>
      </c>
      <c r="N114" s="97">
        <v>0</v>
      </c>
      <c r="O114" s="98">
        <v>0</v>
      </c>
      <c r="P114" s="33"/>
      <c r="Q114" s="99" t="s">
        <v>1198</v>
      </c>
      <c r="R114" s="100"/>
      <c r="S114" s="101">
        <v>-0.10953006969211501</v>
      </c>
      <c r="T114" s="102">
        <v>21</v>
      </c>
      <c r="U114" s="103">
        <v>0</v>
      </c>
      <c r="V114" s="103">
        <v>0</v>
      </c>
      <c r="W114" s="104">
        <v>0</v>
      </c>
      <c r="X114" s="19"/>
      <c r="Y114" s="103">
        <v>0</v>
      </c>
      <c r="Z114" s="103">
        <v>0</v>
      </c>
      <c r="AA114" s="105">
        <v>0</v>
      </c>
      <c r="AB114" s="106">
        <v>0</v>
      </c>
      <c r="AC114" s="105">
        <v>0</v>
      </c>
      <c r="AD114" s="104">
        <v>0</v>
      </c>
      <c r="AE114" s="104">
        <v>0</v>
      </c>
      <c r="AF114" s="107">
        <v>46265</v>
      </c>
    </row>
    <row r="115" spans="1:33" x14ac:dyDescent="0.25">
      <c r="A115" s="90">
        <v>1003</v>
      </c>
      <c r="B115" s="91" t="s">
        <v>161</v>
      </c>
      <c r="C115" s="29">
        <v>10030040</v>
      </c>
      <c r="D115" s="92" t="s">
        <v>389</v>
      </c>
      <c r="E115" s="93" t="s">
        <v>275</v>
      </c>
      <c r="F115" s="93" t="s">
        <v>231</v>
      </c>
      <c r="G115" s="109">
        <v>387.65000000000003</v>
      </c>
      <c r="H115" s="109">
        <v>17462.920000000002</v>
      </c>
      <c r="I115" s="95">
        <v>0</v>
      </c>
      <c r="J115" s="95">
        <v>0</v>
      </c>
      <c r="K115" s="95">
        <v>0</v>
      </c>
      <c r="L115" s="95">
        <v>0</v>
      </c>
      <c r="M115" s="96">
        <v>0</v>
      </c>
      <c r="N115" s="97">
        <v>0</v>
      </c>
      <c r="O115" s="98">
        <v>0</v>
      </c>
      <c r="P115" s="33"/>
      <c r="Q115" s="99" t="s">
        <v>1198</v>
      </c>
      <c r="R115" s="100"/>
      <c r="S115" s="101">
        <v>0</v>
      </c>
      <c r="T115" s="102">
        <v>0</v>
      </c>
      <c r="U115" s="103">
        <v>0</v>
      </c>
      <c r="V115" s="103">
        <v>0</v>
      </c>
      <c r="W115" s="104">
        <v>0</v>
      </c>
      <c r="X115" s="19"/>
      <c r="Y115" s="103">
        <v>0</v>
      </c>
      <c r="Z115" s="103">
        <v>0</v>
      </c>
      <c r="AA115" s="105">
        <v>0</v>
      </c>
      <c r="AB115" s="106">
        <v>0</v>
      </c>
      <c r="AC115" s="105">
        <v>0</v>
      </c>
      <c r="AD115" s="104">
        <v>0</v>
      </c>
      <c r="AE115" s="104">
        <v>0</v>
      </c>
      <c r="AF115" s="107">
        <v>46265</v>
      </c>
    </row>
    <row r="116" spans="1:33" x14ac:dyDescent="0.25">
      <c r="A116" s="90">
        <v>1003</v>
      </c>
      <c r="B116" s="91" t="s">
        <v>161</v>
      </c>
      <c r="C116" s="29">
        <v>10030041</v>
      </c>
      <c r="D116" s="92" t="s">
        <v>390</v>
      </c>
      <c r="E116" s="93" t="s">
        <v>275</v>
      </c>
      <c r="F116" s="93" t="s">
        <v>231</v>
      </c>
      <c r="G116" s="109">
        <v>1166.5999999999999</v>
      </c>
      <c r="H116" s="109">
        <v>47040.259999999995</v>
      </c>
      <c r="I116" s="95">
        <v>0</v>
      </c>
      <c r="J116" s="95">
        <v>0</v>
      </c>
      <c r="K116" s="95">
        <v>0</v>
      </c>
      <c r="L116" s="95">
        <v>0</v>
      </c>
      <c r="M116" s="96">
        <v>0</v>
      </c>
      <c r="N116" s="97">
        <v>0</v>
      </c>
      <c r="O116" s="98">
        <v>0</v>
      </c>
      <c r="P116" s="33"/>
      <c r="Q116" s="99" t="s">
        <v>1198</v>
      </c>
      <c r="R116" s="100"/>
      <c r="S116" s="101">
        <v>0</v>
      </c>
      <c r="T116" s="102">
        <v>0</v>
      </c>
      <c r="U116" s="103">
        <v>0</v>
      </c>
      <c r="V116" s="103">
        <v>0</v>
      </c>
      <c r="W116" s="104">
        <v>0</v>
      </c>
      <c r="X116" s="19"/>
      <c r="Y116" s="103">
        <v>0</v>
      </c>
      <c r="Z116" s="103">
        <v>0</v>
      </c>
      <c r="AA116" s="105">
        <v>0</v>
      </c>
      <c r="AB116" s="106">
        <v>0</v>
      </c>
      <c r="AC116" s="105">
        <v>0</v>
      </c>
      <c r="AD116" s="104">
        <v>0</v>
      </c>
      <c r="AE116" s="104">
        <v>0</v>
      </c>
      <c r="AF116" s="107">
        <v>46265</v>
      </c>
    </row>
    <row r="117" spans="1:33" x14ac:dyDescent="0.25">
      <c r="A117" s="90">
        <v>1003</v>
      </c>
      <c r="B117" s="91" t="s">
        <v>161</v>
      </c>
      <c r="C117" s="29">
        <v>10030042</v>
      </c>
      <c r="D117" s="92" t="s">
        <v>391</v>
      </c>
      <c r="E117" s="93" t="s">
        <v>275</v>
      </c>
      <c r="F117" s="93" t="s">
        <v>231</v>
      </c>
      <c r="G117" s="109">
        <v>503.6</v>
      </c>
      <c r="H117" s="109">
        <v>20006.97</v>
      </c>
      <c r="I117" s="95">
        <v>0</v>
      </c>
      <c r="J117" s="95">
        <v>0</v>
      </c>
      <c r="K117" s="95">
        <v>0</v>
      </c>
      <c r="L117" s="95">
        <v>0</v>
      </c>
      <c r="M117" s="96">
        <v>0</v>
      </c>
      <c r="N117" s="97">
        <v>0</v>
      </c>
      <c r="O117" s="98">
        <v>0</v>
      </c>
      <c r="P117" s="33"/>
      <c r="Q117" s="99" t="s">
        <v>1198</v>
      </c>
      <c r="R117" s="100"/>
      <c r="S117" s="101">
        <v>0</v>
      </c>
      <c r="T117" s="102">
        <v>0</v>
      </c>
      <c r="U117" s="103">
        <v>0</v>
      </c>
      <c r="V117" s="103">
        <v>0</v>
      </c>
      <c r="W117" s="104">
        <v>0</v>
      </c>
      <c r="X117" s="19"/>
      <c r="Y117" s="103">
        <v>0</v>
      </c>
      <c r="Z117" s="103">
        <v>0</v>
      </c>
      <c r="AA117" s="105">
        <v>0</v>
      </c>
      <c r="AB117" s="106">
        <v>0</v>
      </c>
      <c r="AC117" s="105">
        <v>0</v>
      </c>
      <c r="AD117" s="104">
        <v>0</v>
      </c>
      <c r="AE117" s="104">
        <v>0</v>
      </c>
      <c r="AF117" s="107">
        <v>46265</v>
      </c>
    </row>
    <row r="118" spans="1:33" x14ac:dyDescent="0.25">
      <c r="A118" s="90">
        <v>1003</v>
      </c>
      <c r="B118" s="91" t="s">
        <v>161</v>
      </c>
      <c r="C118" s="29">
        <v>10030043</v>
      </c>
      <c r="D118" s="92" t="s">
        <v>392</v>
      </c>
      <c r="E118" s="93" t="s">
        <v>275</v>
      </c>
      <c r="F118" s="93" t="s">
        <v>231</v>
      </c>
      <c r="G118" s="109">
        <v>8342.5</v>
      </c>
      <c r="H118" s="109">
        <v>344542.82999999996</v>
      </c>
      <c r="I118" s="95">
        <v>0</v>
      </c>
      <c r="J118" s="95">
        <v>0</v>
      </c>
      <c r="K118" s="95">
        <v>0</v>
      </c>
      <c r="L118" s="95">
        <v>0</v>
      </c>
      <c r="M118" s="96">
        <v>0</v>
      </c>
      <c r="N118" s="97">
        <v>0</v>
      </c>
      <c r="O118" s="98">
        <v>0</v>
      </c>
      <c r="P118" s="33"/>
      <c r="Q118" s="99" t="s">
        <v>1198</v>
      </c>
      <c r="R118" s="100"/>
      <c r="S118" s="101">
        <v>0</v>
      </c>
      <c r="T118" s="102">
        <v>0</v>
      </c>
      <c r="U118" s="103">
        <v>0</v>
      </c>
      <c r="V118" s="103">
        <v>0</v>
      </c>
      <c r="W118" s="104">
        <v>0</v>
      </c>
      <c r="X118" s="19"/>
      <c r="Y118" s="103">
        <v>0</v>
      </c>
      <c r="Z118" s="103">
        <v>0</v>
      </c>
      <c r="AA118" s="105">
        <v>0</v>
      </c>
      <c r="AB118" s="106">
        <v>0</v>
      </c>
      <c r="AC118" s="105">
        <v>0</v>
      </c>
      <c r="AD118" s="104">
        <v>0</v>
      </c>
      <c r="AE118" s="104">
        <v>0</v>
      </c>
      <c r="AF118" s="107">
        <v>46265</v>
      </c>
    </row>
    <row r="119" spans="1:33" x14ac:dyDescent="0.25">
      <c r="A119" s="90">
        <v>1003</v>
      </c>
      <c r="B119" s="91" t="s">
        <v>161</v>
      </c>
      <c r="C119" s="29">
        <v>10030044</v>
      </c>
      <c r="D119" s="92" t="s">
        <v>393</v>
      </c>
      <c r="E119" s="93" t="s">
        <v>275</v>
      </c>
      <c r="F119" s="93" t="s">
        <v>231</v>
      </c>
      <c r="G119" s="109">
        <v>8823.5</v>
      </c>
      <c r="H119" s="109">
        <v>363695.48</v>
      </c>
      <c r="I119" s="95">
        <v>0</v>
      </c>
      <c r="J119" s="95">
        <v>0</v>
      </c>
      <c r="K119" s="95">
        <v>0</v>
      </c>
      <c r="L119" s="95">
        <v>0</v>
      </c>
      <c r="M119" s="96">
        <v>0</v>
      </c>
      <c r="N119" s="97">
        <v>0</v>
      </c>
      <c r="O119" s="98">
        <v>0</v>
      </c>
      <c r="P119" s="33"/>
      <c r="Q119" s="99" t="s">
        <v>1198</v>
      </c>
      <c r="R119" s="100"/>
      <c r="S119" s="101">
        <v>0</v>
      </c>
      <c r="T119" s="102">
        <v>0</v>
      </c>
      <c r="U119" s="103">
        <v>0</v>
      </c>
      <c r="V119" s="103">
        <v>0</v>
      </c>
      <c r="W119" s="104">
        <v>0</v>
      </c>
      <c r="X119" s="19"/>
      <c r="Y119" s="103">
        <v>0</v>
      </c>
      <c r="Z119" s="103">
        <v>0</v>
      </c>
      <c r="AA119" s="105">
        <v>0</v>
      </c>
      <c r="AB119" s="106">
        <v>0</v>
      </c>
      <c r="AC119" s="105">
        <v>0</v>
      </c>
      <c r="AD119" s="104">
        <v>0</v>
      </c>
      <c r="AE119" s="104">
        <v>0</v>
      </c>
      <c r="AF119" s="107">
        <v>46265</v>
      </c>
    </row>
    <row r="120" spans="1:33" x14ac:dyDescent="0.25">
      <c r="A120" s="90">
        <v>1003</v>
      </c>
      <c r="B120" s="91" t="s">
        <v>161</v>
      </c>
      <c r="C120" s="29">
        <v>10030045</v>
      </c>
      <c r="D120" s="92" t="s">
        <v>394</v>
      </c>
      <c r="E120" s="93" t="s">
        <v>275</v>
      </c>
      <c r="F120" s="93" t="s">
        <v>231</v>
      </c>
      <c r="G120" s="109">
        <v>795.99999999999989</v>
      </c>
      <c r="H120" s="109">
        <v>31624.75</v>
      </c>
      <c r="I120" s="95">
        <v>0</v>
      </c>
      <c r="J120" s="95">
        <v>0</v>
      </c>
      <c r="K120" s="95">
        <v>0</v>
      </c>
      <c r="L120" s="95">
        <v>0</v>
      </c>
      <c r="M120" s="96">
        <v>0</v>
      </c>
      <c r="N120" s="97">
        <v>0</v>
      </c>
      <c r="O120" s="98">
        <v>0</v>
      </c>
      <c r="P120" s="33"/>
      <c r="Q120" s="99" t="s">
        <v>1198</v>
      </c>
      <c r="R120" s="100"/>
      <c r="S120" s="101">
        <v>0</v>
      </c>
      <c r="T120" s="102">
        <v>0</v>
      </c>
      <c r="U120" s="103">
        <v>0</v>
      </c>
      <c r="V120" s="103">
        <v>0</v>
      </c>
      <c r="W120" s="104">
        <v>0</v>
      </c>
      <c r="X120" s="19"/>
      <c r="Y120" s="103">
        <v>0</v>
      </c>
      <c r="Z120" s="103">
        <v>0</v>
      </c>
      <c r="AA120" s="105">
        <v>0</v>
      </c>
      <c r="AB120" s="106">
        <v>0</v>
      </c>
      <c r="AC120" s="105">
        <v>0</v>
      </c>
      <c r="AD120" s="104">
        <v>0</v>
      </c>
      <c r="AE120" s="104">
        <v>0</v>
      </c>
      <c r="AF120" s="107">
        <v>46265</v>
      </c>
    </row>
    <row r="121" spans="1:33" x14ac:dyDescent="0.25">
      <c r="A121" s="90">
        <v>1003</v>
      </c>
      <c r="B121" s="91" t="s">
        <v>161</v>
      </c>
      <c r="C121" s="29">
        <v>10030046</v>
      </c>
      <c r="D121" s="92" t="s">
        <v>395</v>
      </c>
      <c r="E121" s="93" t="s">
        <v>275</v>
      </c>
      <c r="F121" s="93" t="s">
        <v>231</v>
      </c>
      <c r="G121" s="109">
        <v>503.6</v>
      </c>
      <c r="H121" s="109">
        <v>20006.97</v>
      </c>
      <c r="I121" s="95">
        <v>0</v>
      </c>
      <c r="J121" s="95">
        <v>0</v>
      </c>
      <c r="K121" s="95">
        <v>0</v>
      </c>
      <c r="L121" s="95">
        <v>0</v>
      </c>
      <c r="M121" s="96">
        <v>0</v>
      </c>
      <c r="N121" s="97">
        <v>0</v>
      </c>
      <c r="O121" s="98">
        <v>0</v>
      </c>
      <c r="P121" s="33"/>
      <c r="Q121" s="99" t="s">
        <v>1198</v>
      </c>
      <c r="R121" s="100"/>
      <c r="S121" s="101">
        <v>0</v>
      </c>
      <c r="T121" s="102">
        <v>0</v>
      </c>
      <c r="U121" s="103">
        <v>0</v>
      </c>
      <c r="V121" s="103">
        <v>0</v>
      </c>
      <c r="W121" s="104">
        <v>0</v>
      </c>
      <c r="X121" s="19"/>
      <c r="Y121" s="103">
        <v>0</v>
      </c>
      <c r="Z121" s="103">
        <v>0</v>
      </c>
      <c r="AA121" s="105">
        <v>0</v>
      </c>
      <c r="AB121" s="106">
        <v>0</v>
      </c>
      <c r="AC121" s="105">
        <v>0</v>
      </c>
      <c r="AD121" s="104">
        <v>0</v>
      </c>
      <c r="AE121" s="104">
        <v>0</v>
      </c>
      <c r="AF121" s="107">
        <v>46265</v>
      </c>
    </row>
    <row r="122" spans="1:33" x14ac:dyDescent="0.25">
      <c r="A122" s="90">
        <v>1003</v>
      </c>
      <c r="B122" s="91" t="s">
        <v>161</v>
      </c>
      <c r="C122" s="29">
        <v>10030047</v>
      </c>
      <c r="D122" s="92" t="s">
        <v>396</v>
      </c>
      <c r="E122" s="93" t="s">
        <v>275</v>
      </c>
      <c r="F122" s="93" t="s">
        <v>231</v>
      </c>
      <c r="G122" s="109">
        <v>503.6</v>
      </c>
      <c r="H122" s="109">
        <v>20006.97</v>
      </c>
      <c r="I122" s="95">
        <v>0</v>
      </c>
      <c r="J122" s="95">
        <v>0</v>
      </c>
      <c r="K122" s="95">
        <v>0</v>
      </c>
      <c r="L122" s="95">
        <v>0</v>
      </c>
      <c r="M122" s="96">
        <v>0</v>
      </c>
      <c r="N122" s="97">
        <v>0</v>
      </c>
      <c r="O122" s="98">
        <v>0</v>
      </c>
      <c r="P122" s="33"/>
      <c r="Q122" s="99" t="s">
        <v>1198</v>
      </c>
      <c r="R122" s="100"/>
      <c r="S122" s="101">
        <v>0</v>
      </c>
      <c r="T122" s="102">
        <v>0</v>
      </c>
      <c r="U122" s="103">
        <v>0</v>
      </c>
      <c r="V122" s="103">
        <v>0</v>
      </c>
      <c r="W122" s="104">
        <v>0</v>
      </c>
      <c r="X122" s="19"/>
      <c r="Y122" s="103">
        <v>0</v>
      </c>
      <c r="Z122" s="103">
        <v>0</v>
      </c>
      <c r="AA122" s="105">
        <v>0</v>
      </c>
      <c r="AB122" s="106">
        <v>0</v>
      </c>
      <c r="AC122" s="105">
        <v>0</v>
      </c>
      <c r="AD122" s="104">
        <v>0</v>
      </c>
      <c r="AE122" s="104">
        <v>0</v>
      </c>
      <c r="AF122" s="107">
        <v>46265</v>
      </c>
    </row>
    <row r="123" spans="1:33" x14ac:dyDescent="0.25">
      <c r="A123" s="90">
        <v>1003</v>
      </c>
      <c r="B123" s="91" t="s">
        <v>161</v>
      </c>
      <c r="C123" s="29">
        <v>10030048</v>
      </c>
      <c r="D123" s="92" t="s">
        <v>397</v>
      </c>
      <c r="E123" s="93" t="s">
        <v>275</v>
      </c>
      <c r="F123" s="93" t="s">
        <v>231</v>
      </c>
      <c r="G123" s="109">
        <v>503.6</v>
      </c>
      <c r="H123" s="109">
        <v>20006.97</v>
      </c>
      <c r="I123" s="95">
        <v>0</v>
      </c>
      <c r="J123" s="95">
        <v>0</v>
      </c>
      <c r="K123" s="95">
        <v>0</v>
      </c>
      <c r="L123" s="95">
        <v>0</v>
      </c>
      <c r="M123" s="96">
        <v>0</v>
      </c>
      <c r="N123" s="97">
        <v>0</v>
      </c>
      <c r="O123" s="98">
        <v>0</v>
      </c>
      <c r="P123" s="33"/>
      <c r="Q123" s="99" t="s">
        <v>1198</v>
      </c>
      <c r="R123" s="100"/>
      <c r="S123" s="101">
        <v>0</v>
      </c>
      <c r="T123" s="102">
        <v>0</v>
      </c>
      <c r="U123" s="103">
        <v>0</v>
      </c>
      <c r="V123" s="103">
        <v>0</v>
      </c>
      <c r="W123" s="104">
        <v>0</v>
      </c>
      <c r="X123" s="19"/>
      <c r="Y123" s="103">
        <v>0</v>
      </c>
      <c r="Z123" s="103">
        <v>0</v>
      </c>
      <c r="AA123" s="105">
        <v>0</v>
      </c>
      <c r="AB123" s="106">
        <v>0</v>
      </c>
      <c r="AC123" s="105">
        <v>0</v>
      </c>
      <c r="AD123" s="104">
        <v>0</v>
      </c>
      <c r="AE123" s="104">
        <v>0</v>
      </c>
      <c r="AF123" s="107">
        <v>46265</v>
      </c>
    </row>
    <row r="124" spans="1:33" x14ac:dyDescent="0.25">
      <c r="A124" s="90">
        <v>1003</v>
      </c>
      <c r="B124" s="91" t="s">
        <v>161</v>
      </c>
      <c r="C124" s="29">
        <v>10030050</v>
      </c>
      <c r="D124" s="92" t="s">
        <v>398</v>
      </c>
      <c r="E124" s="93" t="s">
        <v>270</v>
      </c>
      <c r="F124" s="93" t="s">
        <v>230</v>
      </c>
      <c r="G124" s="109">
        <v>524.55000000000007</v>
      </c>
      <c r="H124" s="109">
        <v>18859.999999999996</v>
      </c>
      <c r="I124" s="95">
        <v>0</v>
      </c>
      <c r="J124" s="95">
        <v>0</v>
      </c>
      <c r="K124" s="95">
        <v>0</v>
      </c>
      <c r="L124" s="95">
        <v>0</v>
      </c>
      <c r="M124" s="96">
        <v>0</v>
      </c>
      <c r="N124" s="97">
        <v>0</v>
      </c>
      <c r="O124" s="98">
        <v>0</v>
      </c>
      <c r="P124" s="33"/>
      <c r="Q124" s="99" t="s">
        <v>1198</v>
      </c>
      <c r="R124" s="100"/>
      <c r="S124" s="101">
        <v>-0.12571474019088055</v>
      </c>
      <c r="T124" s="102">
        <v>11</v>
      </c>
      <c r="U124" s="103">
        <v>0</v>
      </c>
      <c r="V124" s="103">
        <v>0</v>
      </c>
      <c r="W124" s="104">
        <v>0</v>
      </c>
      <c r="X124" s="19"/>
      <c r="Y124" s="103">
        <v>0</v>
      </c>
      <c r="Z124" s="103">
        <v>0</v>
      </c>
      <c r="AA124" s="105">
        <v>0</v>
      </c>
      <c r="AB124" s="106">
        <v>0</v>
      </c>
      <c r="AC124" s="105">
        <v>0</v>
      </c>
      <c r="AD124" s="104">
        <v>0</v>
      </c>
      <c r="AE124" s="104">
        <v>0</v>
      </c>
      <c r="AF124" s="107">
        <v>46265</v>
      </c>
    </row>
    <row r="125" spans="1:33" x14ac:dyDescent="0.25">
      <c r="A125" s="90">
        <v>1003</v>
      </c>
      <c r="B125" s="91" t="s">
        <v>161</v>
      </c>
      <c r="C125" s="29">
        <v>10030051</v>
      </c>
      <c r="D125" s="92" t="s">
        <v>399</v>
      </c>
      <c r="E125" s="93" t="s">
        <v>270</v>
      </c>
      <c r="F125" s="93" t="s">
        <v>230</v>
      </c>
      <c r="G125" s="109">
        <v>3907</v>
      </c>
      <c r="H125" s="109">
        <v>146363.76999999996</v>
      </c>
      <c r="I125" s="95">
        <v>0</v>
      </c>
      <c r="J125" s="95">
        <v>0</v>
      </c>
      <c r="K125" s="95">
        <v>0</v>
      </c>
      <c r="L125" s="95">
        <v>0</v>
      </c>
      <c r="M125" s="96">
        <v>0</v>
      </c>
      <c r="N125" s="97">
        <v>0</v>
      </c>
      <c r="O125" s="98">
        <v>0</v>
      </c>
      <c r="P125" s="33"/>
      <c r="Q125" s="99" t="s">
        <v>1198</v>
      </c>
      <c r="R125" s="100"/>
      <c r="S125" s="101">
        <v>-5.0662127656322855E-3</v>
      </c>
      <c r="T125" s="102">
        <v>8</v>
      </c>
      <c r="U125" s="103">
        <v>0</v>
      </c>
      <c r="V125" s="103">
        <v>0</v>
      </c>
      <c r="W125" s="104">
        <v>0</v>
      </c>
      <c r="X125" s="19"/>
      <c r="Y125" s="103">
        <v>0</v>
      </c>
      <c r="Z125" s="103">
        <v>0</v>
      </c>
      <c r="AA125" s="105">
        <v>0</v>
      </c>
      <c r="AB125" s="106">
        <v>0</v>
      </c>
      <c r="AC125" s="105">
        <v>0</v>
      </c>
      <c r="AD125" s="104">
        <v>0</v>
      </c>
      <c r="AE125" s="104">
        <v>0</v>
      </c>
      <c r="AF125" s="107">
        <v>46265</v>
      </c>
    </row>
    <row r="126" spans="1:33" x14ac:dyDescent="0.25">
      <c r="A126" s="90">
        <v>1003</v>
      </c>
      <c r="B126" s="91" t="s">
        <v>161</v>
      </c>
      <c r="C126" s="29">
        <v>10030053</v>
      </c>
      <c r="D126" s="92" t="s">
        <v>400</v>
      </c>
      <c r="E126" s="93" t="s">
        <v>270</v>
      </c>
      <c r="F126" s="93" t="s">
        <v>230</v>
      </c>
      <c r="G126" s="109">
        <v>226.34999999999997</v>
      </c>
      <c r="H126" s="109">
        <v>8964.6299999999992</v>
      </c>
      <c r="I126" s="95">
        <v>0</v>
      </c>
      <c r="J126" s="95">
        <v>0</v>
      </c>
      <c r="K126" s="95">
        <v>0</v>
      </c>
      <c r="L126" s="95">
        <v>0</v>
      </c>
      <c r="M126" s="96">
        <v>69</v>
      </c>
      <c r="N126" s="97">
        <v>0</v>
      </c>
      <c r="O126" s="98">
        <v>0</v>
      </c>
      <c r="P126" s="33"/>
      <c r="Q126" s="99" t="s">
        <v>1198</v>
      </c>
      <c r="R126" s="100"/>
      <c r="S126" s="101">
        <v>7.6812986146666141E-3</v>
      </c>
      <c r="T126" s="102">
        <v>7</v>
      </c>
      <c r="U126" s="103">
        <v>0</v>
      </c>
      <c r="V126" s="103">
        <v>0</v>
      </c>
      <c r="W126" s="104">
        <v>0</v>
      </c>
      <c r="X126" s="19"/>
      <c r="Y126" s="103">
        <v>0</v>
      </c>
      <c r="Z126" s="103">
        <v>0</v>
      </c>
      <c r="AA126" s="105">
        <v>0</v>
      </c>
      <c r="AB126" s="106">
        <v>0</v>
      </c>
      <c r="AC126" s="105">
        <v>0</v>
      </c>
      <c r="AD126" s="104">
        <v>0</v>
      </c>
      <c r="AE126" s="104">
        <v>0</v>
      </c>
      <c r="AF126" s="107">
        <v>46265</v>
      </c>
    </row>
    <row r="127" spans="1:33" x14ac:dyDescent="0.25">
      <c r="A127" s="90">
        <v>1003</v>
      </c>
      <c r="B127" s="91" t="s">
        <v>161</v>
      </c>
      <c r="C127" s="29">
        <v>10030055</v>
      </c>
      <c r="D127" s="92" t="s">
        <v>401</v>
      </c>
      <c r="E127" s="93" t="s">
        <v>270</v>
      </c>
      <c r="F127" s="93" t="s">
        <v>230</v>
      </c>
      <c r="G127" s="109">
        <v>181.45</v>
      </c>
      <c r="H127" s="109">
        <v>7721.48</v>
      </c>
      <c r="I127" s="95">
        <v>0</v>
      </c>
      <c r="J127" s="95">
        <v>0</v>
      </c>
      <c r="K127" s="95">
        <v>0</v>
      </c>
      <c r="L127" s="95">
        <v>0</v>
      </c>
      <c r="M127" s="96">
        <v>1</v>
      </c>
      <c r="N127" s="97">
        <v>0</v>
      </c>
      <c r="O127" s="98">
        <v>1</v>
      </c>
      <c r="P127" s="33"/>
      <c r="Q127" s="99" t="s">
        <v>1198</v>
      </c>
      <c r="R127" s="100"/>
      <c r="S127" s="101">
        <v>-1.1987339214761989E-2</v>
      </c>
      <c r="T127" s="102">
        <v>4</v>
      </c>
      <c r="U127" s="103">
        <v>0</v>
      </c>
      <c r="V127" s="103">
        <v>0</v>
      </c>
      <c r="W127" s="104">
        <v>0</v>
      </c>
      <c r="X127" s="19"/>
      <c r="Y127" s="103">
        <v>0</v>
      </c>
      <c r="Z127" s="103">
        <v>0</v>
      </c>
      <c r="AA127" s="105">
        <v>0</v>
      </c>
      <c r="AB127" s="106">
        <v>0</v>
      </c>
      <c r="AC127" s="105">
        <v>0</v>
      </c>
      <c r="AD127" s="104">
        <v>0</v>
      </c>
      <c r="AE127" s="104">
        <v>0</v>
      </c>
      <c r="AF127" s="107">
        <v>46265</v>
      </c>
    </row>
    <row r="128" spans="1:33" x14ac:dyDescent="0.25">
      <c r="A128" s="90">
        <v>1003</v>
      </c>
      <c r="B128" s="91" t="s">
        <v>161</v>
      </c>
      <c r="C128" s="29">
        <v>10030056</v>
      </c>
      <c r="D128" s="92" t="s">
        <v>402</v>
      </c>
      <c r="E128" s="93" t="s">
        <v>270</v>
      </c>
      <c r="F128" s="93" t="s">
        <v>230</v>
      </c>
      <c r="G128" s="109">
        <v>150.79999999999998</v>
      </c>
      <c r="H128" s="109">
        <v>5014.9199999999992</v>
      </c>
      <c r="I128" s="95">
        <v>0</v>
      </c>
      <c r="J128" s="95">
        <v>0</v>
      </c>
      <c r="K128" s="95">
        <v>500</v>
      </c>
      <c r="L128" s="95">
        <v>0</v>
      </c>
      <c r="M128" s="96">
        <v>0</v>
      </c>
      <c r="N128" s="97">
        <v>0</v>
      </c>
      <c r="O128" s="98">
        <v>0</v>
      </c>
      <c r="P128" s="33"/>
      <c r="Q128" s="99" t="s">
        <v>1198</v>
      </c>
      <c r="R128" s="100"/>
      <c r="S128" s="101">
        <v>-5.0327821779809302E-2</v>
      </c>
      <c r="T128" s="102">
        <v>2</v>
      </c>
      <c r="U128" s="103">
        <v>0</v>
      </c>
      <c r="V128" s="103">
        <v>0</v>
      </c>
      <c r="W128" s="104">
        <v>0</v>
      </c>
      <c r="X128" s="19"/>
      <c r="Y128" s="103">
        <v>500</v>
      </c>
      <c r="Z128" s="103">
        <v>0</v>
      </c>
      <c r="AA128" s="105">
        <v>0</v>
      </c>
      <c r="AB128" s="106">
        <v>500</v>
      </c>
      <c r="AC128" s="105">
        <v>500</v>
      </c>
      <c r="AD128" s="104">
        <v>0</v>
      </c>
      <c r="AE128" s="104">
        <v>0</v>
      </c>
      <c r="AF128" s="107">
        <v>46265</v>
      </c>
      <c r="AG128" s="108"/>
    </row>
    <row r="129" spans="1:33" x14ac:dyDescent="0.25">
      <c r="A129" s="90">
        <v>1003</v>
      </c>
      <c r="B129" s="91" t="s">
        <v>161</v>
      </c>
      <c r="C129" s="29">
        <v>10030059</v>
      </c>
      <c r="D129" s="92" t="s">
        <v>403</v>
      </c>
      <c r="E129" s="93" t="s">
        <v>270</v>
      </c>
      <c r="F129" s="93" t="s">
        <v>230</v>
      </c>
      <c r="G129" s="109">
        <v>683.1</v>
      </c>
      <c r="H129" s="109">
        <v>29671.869999999995</v>
      </c>
      <c r="I129" s="95">
        <v>0</v>
      </c>
      <c r="J129" s="95">
        <v>0</v>
      </c>
      <c r="K129" s="95">
        <v>0</v>
      </c>
      <c r="L129" s="95">
        <v>0</v>
      </c>
      <c r="M129" s="96">
        <v>0</v>
      </c>
      <c r="N129" s="97">
        <v>0</v>
      </c>
      <c r="O129" s="98">
        <v>0</v>
      </c>
      <c r="P129" s="33"/>
      <c r="Q129" s="99" t="s">
        <v>1198</v>
      </c>
      <c r="R129" s="100"/>
      <c r="S129" s="101">
        <v>-4.9716111589866163E-2</v>
      </c>
      <c r="T129" s="102">
        <v>10</v>
      </c>
      <c r="U129" s="103">
        <v>0</v>
      </c>
      <c r="V129" s="103">
        <v>0</v>
      </c>
      <c r="W129" s="104">
        <v>0</v>
      </c>
      <c r="X129" s="19"/>
      <c r="Y129" s="103">
        <v>0</v>
      </c>
      <c r="Z129" s="103">
        <v>0</v>
      </c>
      <c r="AA129" s="105">
        <v>0</v>
      </c>
      <c r="AB129" s="106">
        <v>0</v>
      </c>
      <c r="AC129" s="105">
        <v>0</v>
      </c>
      <c r="AD129" s="104">
        <v>0</v>
      </c>
      <c r="AE129" s="104">
        <v>0</v>
      </c>
      <c r="AF129" s="107">
        <v>46265</v>
      </c>
      <c r="AG129" s="108"/>
    </row>
    <row r="130" spans="1:33" x14ac:dyDescent="0.25">
      <c r="A130" s="90">
        <v>1003</v>
      </c>
      <c r="B130" s="91" t="s">
        <v>161</v>
      </c>
      <c r="C130" s="29">
        <v>10030061</v>
      </c>
      <c r="D130" s="92" t="s">
        <v>404</v>
      </c>
      <c r="E130" s="93" t="s">
        <v>270</v>
      </c>
      <c r="F130" s="93" t="s">
        <v>230</v>
      </c>
      <c r="G130" s="109">
        <v>432.04999999999995</v>
      </c>
      <c r="H130" s="109">
        <v>16321.970000000001</v>
      </c>
      <c r="I130" s="95">
        <v>0</v>
      </c>
      <c r="J130" s="95">
        <v>0</v>
      </c>
      <c r="K130" s="95">
        <v>0</v>
      </c>
      <c r="L130" s="95">
        <v>0</v>
      </c>
      <c r="M130" s="96">
        <v>811</v>
      </c>
      <c r="N130" s="97">
        <v>0</v>
      </c>
      <c r="O130" s="98">
        <v>0</v>
      </c>
      <c r="P130" s="33"/>
      <c r="Q130" s="99" t="s">
        <v>1198</v>
      </c>
      <c r="R130" s="100"/>
      <c r="S130" s="101">
        <v>4.9633714557740322E-2</v>
      </c>
      <c r="T130" s="102">
        <v>9</v>
      </c>
      <c r="U130" s="103">
        <v>0</v>
      </c>
      <c r="V130" s="103">
        <v>0</v>
      </c>
      <c r="W130" s="104">
        <v>0</v>
      </c>
      <c r="X130" s="19"/>
      <c r="Y130" s="103">
        <v>0</v>
      </c>
      <c r="Z130" s="103">
        <v>0</v>
      </c>
      <c r="AA130" s="105">
        <v>0</v>
      </c>
      <c r="AB130" s="106">
        <v>0</v>
      </c>
      <c r="AC130" s="105">
        <v>0</v>
      </c>
      <c r="AD130" s="104">
        <v>0</v>
      </c>
      <c r="AE130" s="104">
        <v>0</v>
      </c>
      <c r="AF130" s="107">
        <v>46265</v>
      </c>
    </row>
    <row r="131" spans="1:33" x14ac:dyDescent="0.25">
      <c r="A131" s="90">
        <v>1003</v>
      </c>
      <c r="B131" s="91" t="s">
        <v>161</v>
      </c>
      <c r="C131" s="29">
        <v>10030063</v>
      </c>
      <c r="D131" s="92" t="s">
        <v>405</v>
      </c>
      <c r="E131" s="93" t="s">
        <v>270</v>
      </c>
      <c r="F131" s="93" t="s">
        <v>230</v>
      </c>
      <c r="G131" s="109">
        <v>1250.0000000000002</v>
      </c>
      <c r="H131" s="109">
        <v>52647.160000000011</v>
      </c>
      <c r="I131" s="95">
        <v>0</v>
      </c>
      <c r="J131" s="95">
        <v>30000</v>
      </c>
      <c r="K131" s="95">
        <v>0</v>
      </c>
      <c r="L131" s="95">
        <v>0</v>
      </c>
      <c r="M131" s="96">
        <v>0</v>
      </c>
      <c r="N131" s="97" t="s">
        <v>331</v>
      </c>
      <c r="O131" s="98">
        <v>0</v>
      </c>
      <c r="P131" s="33" t="s">
        <v>332</v>
      </c>
      <c r="Q131" s="99" t="s">
        <v>1198</v>
      </c>
      <c r="R131" s="100"/>
      <c r="S131" s="101">
        <v>-4.0356592834256855E-2</v>
      </c>
      <c r="T131" s="102">
        <v>8</v>
      </c>
      <c r="U131" s="103">
        <v>30000</v>
      </c>
      <c r="V131" s="103">
        <v>30000</v>
      </c>
      <c r="W131" s="104">
        <v>0</v>
      </c>
      <c r="X131" s="19"/>
      <c r="Y131" s="103">
        <v>0</v>
      </c>
      <c r="Z131" s="103">
        <v>0</v>
      </c>
      <c r="AA131" s="105">
        <v>0</v>
      </c>
      <c r="AB131" s="106">
        <v>0</v>
      </c>
      <c r="AC131" s="105">
        <v>0</v>
      </c>
      <c r="AD131" s="104">
        <v>0</v>
      </c>
      <c r="AE131" s="104">
        <v>0</v>
      </c>
      <c r="AF131" s="107">
        <v>46265</v>
      </c>
    </row>
    <row r="132" spans="1:33" x14ac:dyDescent="0.25">
      <c r="A132" s="90">
        <v>1003</v>
      </c>
      <c r="B132" s="91" t="s">
        <v>161</v>
      </c>
      <c r="C132" s="29">
        <v>10030064</v>
      </c>
      <c r="D132" s="92" t="s">
        <v>406</v>
      </c>
      <c r="E132" s="93" t="s">
        <v>270</v>
      </c>
      <c r="F132" s="93" t="s">
        <v>230</v>
      </c>
      <c r="G132" s="109">
        <v>1023.9499999999998</v>
      </c>
      <c r="H132" s="109">
        <v>42504.39</v>
      </c>
      <c r="I132" s="95">
        <v>0</v>
      </c>
      <c r="J132" s="95">
        <v>0</v>
      </c>
      <c r="K132" s="95">
        <v>0</v>
      </c>
      <c r="L132" s="95">
        <v>0</v>
      </c>
      <c r="M132" s="96">
        <v>0</v>
      </c>
      <c r="N132" s="97">
        <v>0</v>
      </c>
      <c r="O132" s="98">
        <v>0</v>
      </c>
      <c r="P132" s="33"/>
      <c r="Q132" s="99" t="s">
        <v>1198</v>
      </c>
      <c r="R132" s="100"/>
      <c r="S132" s="101">
        <v>-0.13766860317251911</v>
      </c>
      <c r="T132" s="102">
        <v>5</v>
      </c>
      <c r="U132" s="103">
        <v>0</v>
      </c>
      <c r="V132" s="103">
        <v>0</v>
      </c>
      <c r="W132" s="104">
        <v>0</v>
      </c>
      <c r="X132" s="19"/>
      <c r="Y132" s="103">
        <v>0</v>
      </c>
      <c r="Z132" s="103">
        <v>0</v>
      </c>
      <c r="AA132" s="105">
        <v>0</v>
      </c>
      <c r="AB132" s="106">
        <v>0</v>
      </c>
      <c r="AC132" s="105">
        <v>0</v>
      </c>
      <c r="AD132" s="104">
        <v>0</v>
      </c>
      <c r="AE132" s="104">
        <v>0</v>
      </c>
      <c r="AF132" s="107">
        <v>46265</v>
      </c>
    </row>
    <row r="133" spans="1:33" x14ac:dyDescent="0.25">
      <c r="A133" s="90">
        <v>1003</v>
      </c>
      <c r="B133" s="91" t="s">
        <v>161</v>
      </c>
      <c r="C133" s="29">
        <v>10030065</v>
      </c>
      <c r="D133" s="92" t="s">
        <v>407</v>
      </c>
      <c r="E133" s="93" t="s">
        <v>270</v>
      </c>
      <c r="F133" s="93" t="s">
        <v>230</v>
      </c>
      <c r="G133" s="109">
        <v>259.20000000000005</v>
      </c>
      <c r="H133" s="109">
        <v>10279.649999999998</v>
      </c>
      <c r="I133" s="95">
        <v>0</v>
      </c>
      <c r="J133" s="95">
        <v>0</v>
      </c>
      <c r="K133" s="95">
        <v>500</v>
      </c>
      <c r="L133" s="95">
        <v>0</v>
      </c>
      <c r="M133" s="96">
        <v>0</v>
      </c>
      <c r="N133" s="97">
        <v>0</v>
      </c>
      <c r="O133" s="98">
        <v>0</v>
      </c>
      <c r="P133" s="33"/>
      <c r="Q133" s="99" t="s">
        <v>1198</v>
      </c>
      <c r="R133" s="100"/>
      <c r="S133" s="101">
        <v>-2.6761611533466824E-2</v>
      </c>
      <c r="T133" s="102">
        <v>4</v>
      </c>
      <c r="U133" s="103">
        <v>0</v>
      </c>
      <c r="V133" s="103">
        <v>0</v>
      </c>
      <c r="W133" s="104">
        <v>0</v>
      </c>
      <c r="X133" s="19"/>
      <c r="Y133" s="103">
        <v>500</v>
      </c>
      <c r="Z133" s="103">
        <v>0</v>
      </c>
      <c r="AA133" s="105">
        <v>0</v>
      </c>
      <c r="AB133" s="106">
        <v>500</v>
      </c>
      <c r="AC133" s="105">
        <v>500</v>
      </c>
      <c r="AD133" s="104">
        <v>0</v>
      </c>
      <c r="AE133" s="104">
        <v>0</v>
      </c>
      <c r="AF133" s="107">
        <v>46265</v>
      </c>
    </row>
    <row r="134" spans="1:33" x14ac:dyDescent="0.25">
      <c r="A134" s="90">
        <v>1003</v>
      </c>
      <c r="B134" s="91" t="s">
        <v>161</v>
      </c>
      <c r="C134" s="29">
        <v>10030066</v>
      </c>
      <c r="D134" s="92" t="s">
        <v>408</v>
      </c>
      <c r="E134" s="93" t="s">
        <v>270</v>
      </c>
      <c r="F134" s="93" t="s">
        <v>230</v>
      </c>
      <c r="G134" s="109">
        <v>3579.9999999999995</v>
      </c>
      <c r="H134" s="109">
        <v>158365.77999999997</v>
      </c>
      <c r="I134" s="95">
        <v>0</v>
      </c>
      <c r="J134" s="95">
        <v>0</v>
      </c>
      <c r="K134" s="95">
        <v>0</v>
      </c>
      <c r="L134" s="95">
        <v>0</v>
      </c>
      <c r="M134" s="96">
        <v>0</v>
      </c>
      <c r="N134" s="97">
        <v>0</v>
      </c>
      <c r="O134" s="98">
        <v>0</v>
      </c>
      <c r="P134" s="33"/>
      <c r="Q134" s="99" t="s">
        <v>1198</v>
      </c>
      <c r="R134" s="100"/>
      <c r="S134" s="101">
        <v>-3.3960619522729984E-3</v>
      </c>
      <c r="T134" s="102">
        <v>20</v>
      </c>
      <c r="U134" s="103">
        <v>0</v>
      </c>
      <c r="V134" s="103">
        <v>0</v>
      </c>
      <c r="W134" s="104">
        <v>0</v>
      </c>
      <c r="X134" s="19"/>
      <c r="Y134" s="103">
        <v>0</v>
      </c>
      <c r="Z134" s="103">
        <v>0</v>
      </c>
      <c r="AA134" s="105">
        <v>0</v>
      </c>
      <c r="AB134" s="106">
        <v>0</v>
      </c>
      <c r="AC134" s="105">
        <v>0</v>
      </c>
      <c r="AD134" s="104">
        <v>0</v>
      </c>
      <c r="AE134" s="104">
        <v>0</v>
      </c>
      <c r="AF134" s="107">
        <v>46265</v>
      </c>
    </row>
    <row r="135" spans="1:33" x14ac:dyDescent="0.25">
      <c r="A135" s="90">
        <v>1003</v>
      </c>
      <c r="B135" s="91" t="s">
        <v>161</v>
      </c>
      <c r="C135" s="29">
        <v>10030068</v>
      </c>
      <c r="D135" s="92" t="s">
        <v>409</v>
      </c>
      <c r="E135" s="93" t="s">
        <v>270</v>
      </c>
      <c r="F135" s="93" t="s">
        <v>230</v>
      </c>
      <c r="G135" s="109">
        <v>600.6</v>
      </c>
      <c r="H135" s="109">
        <v>22578.85</v>
      </c>
      <c r="I135" s="95">
        <v>0</v>
      </c>
      <c r="J135" s="95">
        <v>0</v>
      </c>
      <c r="K135" s="95">
        <v>0</v>
      </c>
      <c r="L135" s="95">
        <v>0</v>
      </c>
      <c r="M135" s="96">
        <v>0</v>
      </c>
      <c r="N135" s="97">
        <v>0</v>
      </c>
      <c r="O135" s="98">
        <v>0</v>
      </c>
      <c r="P135" s="33"/>
      <c r="Q135" s="99" t="s">
        <v>1198</v>
      </c>
      <c r="R135" s="100"/>
      <c r="S135" s="101">
        <v>-0.16427364546910053</v>
      </c>
      <c r="T135" s="102">
        <v>9</v>
      </c>
      <c r="U135" s="103">
        <v>0</v>
      </c>
      <c r="V135" s="103">
        <v>0</v>
      </c>
      <c r="W135" s="104">
        <v>0</v>
      </c>
      <c r="X135" s="19"/>
      <c r="Y135" s="103">
        <v>0</v>
      </c>
      <c r="Z135" s="103">
        <v>0</v>
      </c>
      <c r="AA135" s="105">
        <v>0</v>
      </c>
      <c r="AB135" s="106">
        <v>0</v>
      </c>
      <c r="AC135" s="105">
        <v>0</v>
      </c>
      <c r="AD135" s="104">
        <v>0</v>
      </c>
      <c r="AE135" s="104">
        <v>0</v>
      </c>
      <c r="AF135" s="107">
        <v>46265</v>
      </c>
    </row>
    <row r="136" spans="1:33" x14ac:dyDescent="0.25">
      <c r="A136" s="90">
        <v>1003</v>
      </c>
      <c r="B136" s="91" t="s">
        <v>161</v>
      </c>
      <c r="C136" s="29">
        <v>10030069</v>
      </c>
      <c r="D136" s="92" t="s">
        <v>170</v>
      </c>
      <c r="E136" s="93" t="s">
        <v>270</v>
      </c>
      <c r="F136" s="93" t="s">
        <v>231</v>
      </c>
      <c r="G136" s="109">
        <v>886.5</v>
      </c>
      <c r="H136" s="109">
        <v>31963.589999999997</v>
      </c>
      <c r="I136" s="95">
        <v>0</v>
      </c>
      <c r="J136" s="95">
        <v>0.5</v>
      </c>
      <c r="K136" s="95">
        <v>0</v>
      </c>
      <c r="L136" s="95">
        <v>0</v>
      </c>
      <c r="M136" s="96">
        <v>0</v>
      </c>
      <c r="N136" s="97">
        <v>0</v>
      </c>
      <c r="O136" s="98">
        <v>0</v>
      </c>
      <c r="P136" s="33"/>
      <c r="Q136" s="99" t="s">
        <v>1198</v>
      </c>
      <c r="R136" s="100"/>
      <c r="S136" s="101">
        <v>0</v>
      </c>
      <c r="T136" s="102">
        <v>0</v>
      </c>
      <c r="U136" s="103">
        <v>0</v>
      </c>
      <c r="V136" s="103">
        <v>0</v>
      </c>
      <c r="W136" s="104">
        <v>0</v>
      </c>
      <c r="X136" s="19"/>
      <c r="Y136" s="103">
        <v>0</v>
      </c>
      <c r="Z136" s="103">
        <v>0</v>
      </c>
      <c r="AA136" s="105">
        <v>0</v>
      </c>
      <c r="AB136" s="106">
        <v>0</v>
      </c>
      <c r="AC136" s="105">
        <v>0</v>
      </c>
      <c r="AD136" s="104">
        <v>0</v>
      </c>
      <c r="AE136" s="104">
        <v>0</v>
      </c>
      <c r="AF136" s="107">
        <v>46265</v>
      </c>
    </row>
    <row r="137" spans="1:33" x14ac:dyDescent="0.25">
      <c r="A137" s="90">
        <v>1003</v>
      </c>
      <c r="B137" s="91" t="s">
        <v>161</v>
      </c>
      <c r="C137" s="29">
        <v>10030070</v>
      </c>
      <c r="D137" s="92" t="s">
        <v>410</v>
      </c>
      <c r="E137" s="93" t="s">
        <v>270</v>
      </c>
      <c r="F137" s="93" t="s">
        <v>230</v>
      </c>
      <c r="G137" s="109">
        <v>580.1</v>
      </c>
      <c r="H137" s="109">
        <v>25393.579999999998</v>
      </c>
      <c r="I137" s="95">
        <v>0</v>
      </c>
      <c r="J137" s="95">
        <v>0</v>
      </c>
      <c r="K137" s="95">
        <v>0</v>
      </c>
      <c r="L137" s="95">
        <v>0</v>
      </c>
      <c r="M137" s="96">
        <v>0</v>
      </c>
      <c r="N137" s="97">
        <v>0</v>
      </c>
      <c r="O137" s="98">
        <v>0</v>
      </c>
      <c r="P137" s="33"/>
      <c r="Q137" s="99" t="s">
        <v>1198</v>
      </c>
      <c r="R137" s="100"/>
      <c r="S137" s="101">
        <v>-0.11982280560677161</v>
      </c>
      <c r="T137" s="102">
        <v>5</v>
      </c>
      <c r="U137" s="103">
        <v>0</v>
      </c>
      <c r="V137" s="103">
        <v>0</v>
      </c>
      <c r="W137" s="104">
        <v>0</v>
      </c>
      <c r="X137" s="19"/>
      <c r="Y137" s="103">
        <v>0</v>
      </c>
      <c r="Z137" s="103">
        <v>0</v>
      </c>
      <c r="AA137" s="105">
        <v>0</v>
      </c>
      <c r="AB137" s="106">
        <v>0</v>
      </c>
      <c r="AC137" s="105">
        <v>0</v>
      </c>
      <c r="AD137" s="104">
        <v>0</v>
      </c>
      <c r="AE137" s="104">
        <v>0</v>
      </c>
      <c r="AF137" s="107">
        <v>46265</v>
      </c>
      <c r="AG137" s="108"/>
    </row>
    <row r="138" spans="1:33" x14ac:dyDescent="0.25">
      <c r="A138" s="90">
        <v>1003</v>
      </c>
      <c r="B138" s="91" t="s">
        <v>161</v>
      </c>
      <c r="C138" s="29">
        <v>10030071</v>
      </c>
      <c r="D138" s="92" t="s">
        <v>411</v>
      </c>
      <c r="E138" s="93" t="s">
        <v>270</v>
      </c>
      <c r="F138" s="93" t="s">
        <v>230</v>
      </c>
      <c r="G138" s="109">
        <v>167</v>
      </c>
      <c r="H138" s="109">
        <v>7051.3099999999986</v>
      </c>
      <c r="I138" s="95">
        <v>0</v>
      </c>
      <c r="J138" s="95">
        <v>0</v>
      </c>
      <c r="K138" s="95">
        <v>0</v>
      </c>
      <c r="L138" s="95">
        <v>0</v>
      </c>
      <c r="M138" s="96">
        <v>-148</v>
      </c>
      <c r="N138" s="97" t="s">
        <v>324</v>
      </c>
      <c r="O138" s="98">
        <v>-148</v>
      </c>
      <c r="P138" s="33" t="s">
        <v>286</v>
      </c>
      <c r="Q138" s="99" t="s">
        <v>1198</v>
      </c>
      <c r="R138" s="100"/>
      <c r="S138" s="101">
        <v>-5.3764477806251695E-2</v>
      </c>
      <c r="T138" s="102">
        <v>4</v>
      </c>
      <c r="U138" s="103">
        <v>0</v>
      </c>
      <c r="V138" s="103">
        <v>0</v>
      </c>
      <c r="W138" s="104">
        <v>0</v>
      </c>
      <c r="X138" s="19"/>
      <c r="Y138" s="103">
        <v>500</v>
      </c>
      <c r="Z138" s="103">
        <v>0</v>
      </c>
      <c r="AA138" s="105">
        <v>0</v>
      </c>
      <c r="AB138" s="106">
        <v>500</v>
      </c>
      <c r="AC138" s="105">
        <v>0</v>
      </c>
      <c r="AD138" s="104">
        <v>-500</v>
      </c>
      <c r="AE138" s="104">
        <v>-648</v>
      </c>
      <c r="AF138" s="107">
        <v>46265</v>
      </c>
    </row>
    <row r="139" spans="1:33" x14ac:dyDescent="0.25">
      <c r="A139" s="90">
        <v>1003</v>
      </c>
      <c r="B139" s="91" t="s">
        <v>161</v>
      </c>
      <c r="C139" s="29">
        <v>10030072</v>
      </c>
      <c r="D139" s="92" t="s">
        <v>412</v>
      </c>
      <c r="E139" s="93" t="s">
        <v>270</v>
      </c>
      <c r="F139" s="93" t="s">
        <v>230</v>
      </c>
      <c r="G139" s="109">
        <v>1215.75</v>
      </c>
      <c r="H139" s="109">
        <v>49746.959999999992</v>
      </c>
      <c r="I139" s="95">
        <v>0</v>
      </c>
      <c r="J139" s="95">
        <v>0</v>
      </c>
      <c r="K139" s="95">
        <v>0</v>
      </c>
      <c r="L139" s="95">
        <v>0</v>
      </c>
      <c r="M139" s="96">
        <v>0</v>
      </c>
      <c r="N139" s="97">
        <v>0</v>
      </c>
      <c r="O139" s="98">
        <v>0</v>
      </c>
      <c r="P139" s="33"/>
      <c r="Q139" s="99" t="s">
        <v>1198</v>
      </c>
      <c r="R139" s="100"/>
      <c r="S139" s="101">
        <v>-2.3760245852209741E-3</v>
      </c>
      <c r="T139" s="102">
        <v>24</v>
      </c>
      <c r="U139" s="103">
        <v>0</v>
      </c>
      <c r="V139" s="103">
        <v>0</v>
      </c>
      <c r="W139" s="104">
        <v>0</v>
      </c>
      <c r="X139" s="19"/>
      <c r="Y139" s="103">
        <v>0</v>
      </c>
      <c r="Z139" s="103">
        <v>0</v>
      </c>
      <c r="AA139" s="105">
        <v>0</v>
      </c>
      <c r="AB139" s="106">
        <v>0</v>
      </c>
      <c r="AC139" s="105">
        <v>0</v>
      </c>
      <c r="AD139" s="104">
        <v>0</v>
      </c>
      <c r="AE139" s="104">
        <v>0</v>
      </c>
      <c r="AF139" s="107">
        <v>46265</v>
      </c>
      <c r="AG139" s="108"/>
    </row>
    <row r="140" spans="1:33" x14ac:dyDescent="0.25">
      <c r="A140" s="90">
        <v>1003</v>
      </c>
      <c r="B140" s="91" t="s">
        <v>161</v>
      </c>
      <c r="C140" s="29">
        <v>10030074</v>
      </c>
      <c r="D140" s="92" t="s">
        <v>413</v>
      </c>
      <c r="E140" s="93" t="s">
        <v>270</v>
      </c>
      <c r="F140" s="93" t="s">
        <v>230</v>
      </c>
      <c r="G140" s="109">
        <v>1293.8499999999997</v>
      </c>
      <c r="H140" s="109">
        <v>56108.49</v>
      </c>
      <c r="I140" s="95">
        <v>0</v>
      </c>
      <c r="J140" s="95">
        <v>0</v>
      </c>
      <c r="K140" s="95">
        <v>0</v>
      </c>
      <c r="L140" s="95">
        <v>0</v>
      </c>
      <c r="M140" s="96">
        <v>0</v>
      </c>
      <c r="N140" s="97">
        <v>0</v>
      </c>
      <c r="O140" s="98">
        <v>0</v>
      </c>
      <c r="P140" s="33"/>
      <c r="Q140" s="99" t="s">
        <v>1198</v>
      </c>
      <c r="R140" s="100"/>
      <c r="S140" s="101">
        <v>-0.11429535886636781</v>
      </c>
      <c r="T140" s="102">
        <v>3</v>
      </c>
      <c r="U140" s="103">
        <v>0</v>
      </c>
      <c r="V140" s="103">
        <v>0</v>
      </c>
      <c r="W140" s="104">
        <v>0</v>
      </c>
      <c r="X140" s="19"/>
      <c r="Y140" s="103">
        <v>0</v>
      </c>
      <c r="Z140" s="103">
        <v>0</v>
      </c>
      <c r="AA140" s="105">
        <v>0</v>
      </c>
      <c r="AB140" s="106">
        <v>0</v>
      </c>
      <c r="AC140" s="105">
        <v>0</v>
      </c>
      <c r="AD140" s="104">
        <v>0</v>
      </c>
      <c r="AE140" s="104">
        <v>0</v>
      </c>
      <c r="AF140" s="107">
        <v>46265</v>
      </c>
    </row>
    <row r="141" spans="1:33" x14ac:dyDescent="0.25">
      <c r="A141" s="90">
        <v>1003</v>
      </c>
      <c r="B141" s="91" t="s">
        <v>161</v>
      </c>
      <c r="C141" s="29">
        <v>10030075</v>
      </c>
      <c r="D141" s="92" t="s">
        <v>414</v>
      </c>
      <c r="E141" s="93" t="s">
        <v>270</v>
      </c>
      <c r="F141" s="93" t="s">
        <v>230</v>
      </c>
      <c r="G141" s="109">
        <v>243.9</v>
      </c>
      <c r="H141" s="109">
        <v>12017.219999999998</v>
      </c>
      <c r="I141" s="95">
        <v>0</v>
      </c>
      <c r="J141" s="95">
        <v>0</v>
      </c>
      <c r="K141" s="95">
        <v>0</v>
      </c>
      <c r="L141" s="95">
        <v>0</v>
      </c>
      <c r="M141" s="96">
        <v>-1114</v>
      </c>
      <c r="N141" s="97" t="s">
        <v>324</v>
      </c>
      <c r="O141" s="98">
        <v>-1114</v>
      </c>
      <c r="P141" s="33" t="s">
        <v>286</v>
      </c>
      <c r="Q141" s="99" t="s">
        <v>1198</v>
      </c>
      <c r="R141" s="100"/>
      <c r="S141" s="101">
        <v>-0.2937459745265546</v>
      </c>
      <c r="T141" s="102">
        <v>9</v>
      </c>
      <c r="U141" s="103">
        <v>0</v>
      </c>
      <c r="V141" s="103">
        <v>0</v>
      </c>
      <c r="W141" s="104">
        <v>0</v>
      </c>
      <c r="X141" s="19"/>
      <c r="Y141" s="103">
        <v>0</v>
      </c>
      <c r="Z141" s="103">
        <v>0</v>
      </c>
      <c r="AA141" s="105">
        <v>0</v>
      </c>
      <c r="AB141" s="106">
        <v>0</v>
      </c>
      <c r="AC141" s="105">
        <v>0</v>
      </c>
      <c r="AD141" s="104">
        <v>0</v>
      </c>
      <c r="AE141" s="104">
        <v>-1114</v>
      </c>
      <c r="AF141" s="107">
        <v>46265</v>
      </c>
    </row>
    <row r="142" spans="1:33" x14ac:dyDescent="0.25">
      <c r="A142" s="90">
        <v>1003</v>
      </c>
      <c r="B142" s="91" t="s">
        <v>161</v>
      </c>
      <c r="C142" s="29">
        <v>10030077</v>
      </c>
      <c r="D142" s="92" t="s">
        <v>415</v>
      </c>
      <c r="E142" s="93" t="s">
        <v>275</v>
      </c>
      <c r="F142" s="93" t="s">
        <v>231</v>
      </c>
      <c r="G142" s="109">
        <v>184.55</v>
      </c>
      <c r="H142" s="109">
        <v>6621.7400000000007</v>
      </c>
      <c r="I142" s="95">
        <v>0</v>
      </c>
      <c r="J142" s="95">
        <v>0</v>
      </c>
      <c r="K142" s="95">
        <v>0</v>
      </c>
      <c r="L142" s="95">
        <v>0</v>
      </c>
      <c r="M142" s="96">
        <v>0</v>
      </c>
      <c r="N142" s="97">
        <v>0</v>
      </c>
      <c r="O142" s="98">
        <v>0</v>
      </c>
      <c r="P142" s="33"/>
      <c r="Q142" s="99" t="s">
        <v>1198</v>
      </c>
      <c r="R142" s="100"/>
      <c r="S142" s="101">
        <v>0</v>
      </c>
      <c r="T142" s="102">
        <v>0</v>
      </c>
      <c r="U142" s="103">
        <v>0</v>
      </c>
      <c r="V142" s="103">
        <v>0</v>
      </c>
      <c r="W142" s="104">
        <v>0</v>
      </c>
      <c r="X142" s="19"/>
      <c r="Y142" s="103">
        <v>0</v>
      </c>
      <c r="Z142" s="103">
        <v>0</v>
      </c>
      <c r="AA142" s="105">
        <v>0</v>
      </c>
      <c r="AB142" s="106">
        <v>0</v>
      </c>
      <c r="AC142" s="105">
        <v>0</v>
      </c>
      <c r="AD142" s="104">
        <v>0</v>
      </c>
      <c r="AE142" s="104">
        <v>0</v>
      </c>
      <c r="AF142" s="107">
        <v>46265</v>
      </c>
    </row>
    <row r="143" spans="1:33" x14ac:dyDescent="0.25">
      <c r="A143" s="90">
        <v>1003</v>
      </c>
      <c r="B143" s="91" t="s">
        <v>161</v>
      </c>
      <c r="C143" s="29">
        <v>10030078</v>
      </c>
      <c r="D143" s="92" t="s">
        <v>416</v>
      </c>
      <c r="E143" s="93" t="s">
        <v>270</v>
      </c>
      <c r="F143" s="93" t="s">
        <v>230</v>
      </c>
      <c r="G143" s="109">
        <v>982.15</v>
      </c>
      <c r="H143" s="109">
        <v>43698.25</v>
      </c>
      <c r="I143" s="95">
        <v>0</v>
      </c>
      <c r="J143" s="95">
        <v>0</v>
      </c>
      <c r="K143" s="95">
        <v>0</v>
      </c>
      <c r="L143" s="95">
        <v>0</v>
      </c>
      <c r="M143" s="96">
        <v>-957</v>
      </c>
      <c r="N143" s="97" t="s">
        <v>324</v>
      </c>
      <c r="O143" s="98">
        <v>-957</v>
      </c>
      <c r="P143" s="33" t="s">
        <v>286</v>
      </c>
      <c r="Q143" s="99" t="s">
        <v>1198</v>
      </c>
      <c r="R143" s="100"/>
      <c r="S143" s="101">
        <v>-0.23399495403134005</v>
      </c>
      <c r="T143" s="102">
        <v>4</v>
      </c>
      <c r="U143" s="103">
        <v>0</v>
      </c>
      <c r="V143" s="103">
        <v>0</v>
      </c>
      <c r="W143" s="104">
        <v>0</v>
      </c>
      <c r="X143" s="19"/>
      <c r="Y143" s="103">
        <v>0</v>
      </c>
      <c r="Z143" s="103">
        <v>0</v>
      </c>
      <c r="AA143" s="105">
        <v>0</v>
      </c>
      <c r="AB143" s="106">
        <v>0</v>
      </c>
      <c r="AC143" s="105">
        <v>0</v>
      </c>
      <c r="AD143" s="104">
        <v>0</v>
      </c>
      <c r="AE143" s="104">
        <v>-957</v>
      </c>
      <c r="AF143" s="107">
        <v>46265</v>
      </c>
    </row>
    <row r="144" spans="1:33" x14ac:dyDescent="0.25">
      <c r="A144" s="90">
        <v>1003</v>
      </c>
      <c r="B144" s="91" t="s">
        <v>161</v>
      </c>
      <c r="C144" s="29">
        <v>10030080</v>
      </c>
      <c r="D144" s="92" t="s">
        <v>417</v>
      </c>
      <c r="E144" s="93" t="s">
        <v>270</v>
      </c>
      <c r="F144" s="93" t="s">
        <v>230</v>
      </c>
      <c r="G144" s="109">
        <v>779.35000000000014</v>
      </c>
      <c r="H144" s="109">
        <v>32103.969999999998</v>
      </c>
      <c r="I144" s="95">
        <v>0</v>
      </c>
      <c r="J144" s="95">
        <v>0</v>
      </c>
      <c r="K144" s="95">
        <v>0</v>
      </c>
      <c r="L144" s="95">
        <v>0</v>
      </c>
      <c r="M144" s="96">
        <v>1604</v>
      </c>
      <c r="N144" s="97">
        <v>0</v>
      </c>
      <c r="O144" s="98">
        <v>2</v>
      </c>
      <c r="P144" s="33"/>
      <c r="Q144" s="99" t="s">
        <v>1198</v>
      </c>
      <c r="R144" s="100"/>
      <c r="S144" s="101">
        <v>4.9887599571018452E-2</v>
      </c>
      <c r="T144" s="102">
        <v>30</v>
      </c>
      <c r="U144" s="103">
        <v>0</v>
      </c>
      <c r="V144" s="103">
        <v>0</v>
      </c>
      <c r="W144" s="104">
        <v>0</v>
      </c>
      <c r="X144" s="19"/>
      <c r="Y144" s="103">
        <v>0</v>
      </c>
      <c r="Z144" s="103">
        <v>0</v>
      </c>
      <c r="AA144" s="105">
        <v>0</v>
      </c>
      <c r="AB144" s="106">
        <v>0</v>
      </c>
      <c r="AC144" s="105">
        <v>0</v>
      </c>
      <c r="AD144" s="104">
        <v>0</v>
      </c>
      <c r="AE144" s="104">
        <v>0</v>
      </c>
      <c r="AF144" s="107">
        <v>46265</v>
      </c>
    </row>
    <row r="145" spans="1:33" x14ac:dyDescent="0.25">
      <c r="A145" s="90">
        <v>1003</v>
      </c>
      <c r="B145" s="91" t="s">
        <v>161</v>
      </c>
      <c r="C145" s="29">
        <v>10030082</v>
      </c>
      <c r="D145" s="92" t="s">
        <v>418</v>
      </c>
      <c r="E145" s="93" t="s">
        <v>270</v>
      </c>
      <c r="F145" s="93" t="s">
        <v>230</v>
      </c>
      <c r="G145" s="109">
        <v>473.54999999999995</v>
      </c>
      <c r="H145" s="109">
        <v>19410.390000000003</v>
      </c>
      <c r="I145" s="95">
        <v>0</v>
      </c>
      <c r="J145" s="95">
        <v>0</v>
      </c>
      <c r="K145" s="95">
        <v>500</v>
      </c>
      <c r="L145" s="95">
        <v>0</v>
      </c>
      <c r="M145" s="96">
        <v>0</v>
      </c>
      <c r="N145" s="97">
        <v>0</v>
      </c>
      <c r="O145" s="98">
        <v>0</v>
      </c>
      <c r="P145" s="33"/>
      <c r="Q145" s="99" t="s">
        <v>1198</v>
      </c>
      <c r="R145" s="100"/>
      <c r="S145" s="101">
        <v>-4.0148600826670809E-3</v>
      </c>
      <c r="T145" s="102">
        <v>2</v>
      </c>
      <c r="U145" s="103">
        <v>0</v>
      </c>
      <c r="V145" s="103">
        <v>0</v>
      </c>
      <c r="W145" s="104">
        <v>0</v>
      </c>
      <c r="X145" s="19"/>
      <c r="Y145" s="103">
        <v>500</v>
      </c>
      <c r="Z145" s="103">
        <v>0</v>
      </c>
      <c r="AA145" s="105">
        <v>0</v>
      </c>
      <c r="AB145" s="106">
        <v>500</v>
      </c>
      <c r="AC145" s="105">
        <v>500</v>
      </c>
      <c r="AD145" s="104">
        <v>0</v>
      </c>
      <c r="AE145" s="104">
        <v>0</v>
      </c>
      <c r="AF145" s="107">
        <v>46265</v>
      </c>
    </row>
    <row r="146" spans="1:33" x14ac:dyDescent="0.25">
      <c r="A146" s="90">
        <v>1003</v>
      </c>
      <c r="B146" s="91" t="s">
        <v>161</v>
      </c>
      <c r="C146" s="29">
        <v>10030084</v>
      </c>
      <c r="D146" s="92" t="s">
        <v>419</v>
      </c>
      <c r="E146" s="93" t="s">
        <v>270</v>
      </c>
      <c r="F146" s="93" t="s">
        <v>230</v>
      </c>
      <c r="G146" s="109">
        <v>298.8</v>
      </c>
      <c r="H146" s="109">
        <v>16660.439999999999</v>
      </c>
      <c r="I146" s="95">
        <v>0</v>
      </c>
      <c r="J146" s="95">
        <v>0</v>
      </c>
      <c r="K146" s="95">
        <v>0</v>
      </c>
      <c r="L146" s="95">
        <v>0</v>
      </c>
      <c r="M146" s="96">
        <v>291</v>
      </c>
      <c r="N146" s="97">
        <v>0</v>
      </c>
      <c r="O146" s="98">
        <v>0</v>
      </c>
      <c r="P146" s="33"/>
      <c r="Q146" s="99" t="s">
        <v>1198</v>
      </c>
      <c r="R146" s="100"/>
      <c r="S146" s="101">
        <v>1.7515143657670366E-2</v>
      </c>
      <c r="T146" s="102">
        <v>1</v>
      </c>
      <c r="U146" s="103">
        <v>0</v>
      </c>
      <c r="V146" s="103">
        <v>0</v>
      </c>
      <c r="W146" s="104">
        <v>0</v>
      </c>
      <c r="X146" s="19"/>
      <c r="Y146" s="103">
        <v>0</v>
      </c>
      <c r="Z146" s="103">
        <v>0</v>
      </c>
      <c r="AA146" s="105">
        <v>0</v>
      </c>
      <c r="AB146" s="106">
        <v>0</v>
      </c>
      <c r="AC146" s="105">
        <v>0</v>
      </c>
      <c r="AD146" s="104">
        <v>0</v>
      </c>
      <c r="AE146" s="104">
        <v>0</v>
      </c>
      <c r="AF146" s="107">
        <v>46265</v>
      </c>
    </row>
    <row r="147" spans="1:33" x14ac:dyDescent="0.25">
      <c r="A147" s="90">
        <v>1003</v>
      </c>
      <c r="B147" s="91" t="s">
        <v>161</v>
      </c>
      <c r="C147" s="29">
        <v>10030085</v>
      </c>
      <c r="D147" s="92" t="s">
        <v>420</v>
      </c>
      <c r="E147" s="93" t="s">
        <v>270</v>
      </c>
      <c r="F147" s="93" t="s">
        <v>230</v>
      </c>
      <c r="G147" s="109">
        <v>872.59999999999991</v>
      </c>
      <c r="H147" s="109">
        <v>43368.229999999989</v>
      </c>
      <c r="I147" s="95">
        <v>0</v>
      </c>
      <c r="J147" s="95">
        <v>0</v>
      </c>
      <c r="K147" s="95">
        <v>0</v>
      </c>
      <c r="L147" s="95">
        <v>0</v>
      </c>
      <c r="M147" s="96">
        <v>0</v>
      </c>
      <c r="N147" s="97">
        <v>0</v>
      </c>
      <c r="O147" s="98">
        <v>0</v>
      </c>
      <c r="P147" s="33"/>
      <c r="Q147" s="99" t="s">
        <v>1198</v>
      </c>
      <c r="R147" s="100"/>
      <c r="S147" s="101">
        <v>-5.3685382133419501E-2</v>
      </c>
      <c r="T147" s="102">
        <v>1</v>
      </c>
      <c r="U147" s="103">
        <v>0</v>
      </c>
      <c r="V147" s="103">
        <v>0</v>
      </c>
      <c r="W147" s="104">
        <v>0</v>
      </c>
      <c r="X147" s="19"/>
      <c r="Y147" s="103">
        <v>0</v>
      </c>
      <c r="Z147" s="103">
        <v>0</v>
      </c>
      <c r="AA147" s="105">
        <v>0</v>
      </c>
      <c r="AB147" s="106">
        <v>0</v>
      </c>
      <c r="AC147" s="105">
        <v>0</v>
      </c>
      <c r="AD147" s="104">
        <v>0</v>
      </c>
      <c r="AE147" s="104">
        <v>0</v>
      </c>
      <c r="AF147" s="107">
        <v>46265</v>
      </c>
    </row>
    <row r="148" spans="1:33" x14ac:dyDescent="0.25">
      <c r="A148" s="90">
        <v>1003</v>
      </c>
      <c r="B148" s="91" t="s">
        <v>161</v>
      </c>
      <c r="C148" s="29">
        <v>10030087</v>
      </c>
      <c r="D148" s="92" t="s">
        <v>421</v>
      </c>
      <c r="E148" s="93" t="s">
        <v>270</v>
      </c>
      <c r="F148" s="93" t="s">
        <v>230</v>
      </c>
      <c r="G148" s="109">
        <v>382.94999999999993</v>
      </c>
      <c r="H148" s="109">
        <v>20452.3</v>
      </c>
      <c r="I148" s="95">
        <v>0</v>
      </c>
      <c r="J148" s="95">
        <v>0</v>
      </c>
      <c r="K148" s="95">
        <v>0</v>
      </c>
      <c r="L148" s="95">
        <v>0</v>
      </c>
      <c r="M148" s="96">
        <v>0</v>
      </c>
      <c r="N148" s="97">
        <v>0</v>
      </c>
      <c r="O148" s="98">
        <v>0</v>
      </c>
      <c r="P148" s="33"/>
      <c r="Q148" s="99" t="s">
        <v>1198</v>
      </c>
      <c r="R148" s="100"/>
      <c r="S148" s="101">
        <v>-2.9581025116979333E-2</v>
      </c>
      <c r="T148" s="102">
        <v>1</v>
      </c>
      <c r="U148" s="103">
        <v>0</v>
      </c>
      <c r="V148" s="103">
        <v>0</v>
      </c>
      <c r="W148" s="104">
        <v>0</v>
      </c>
      <c r="X148" s="19"/>
      <c r="Y148" s="103">
        <v>0</v>
      </c>
      <c r="Z148" s="103">
        <v>0</v>
      </c>
      <c r="AA148" s="105">
        <v>0</v>
      </c>
      <c r="AB148" s="106">
        <v>0</v>
      </c>
      <c r="AC148" s="105">
        <v>0</v>
      </c>
      <c r="AD148" s="104">
        <v>0</v>
      </c>
      <c r="AE148" s="104">
        <v>0</v>
      </c>
      <c r="AF148" s="107">
        <v>46265</v>
      </c>
    </row>
    <row r="149" spans="1:33" x14ac:dyDescent="0.25">
      <c r="A149" s="90">
        <v>1003</v>
      </c>
      <c r="B149" s="91" t="s">
        <v>161</v>
      </c>
      <c r="C149" s="29">
        <v>10030088</v>
      </c>
      <c r="D149" s="92" t="s">
        <v>422</v>
      </c>
      <c r="E149" s="93" t="s">
        <v>270</v>
      </c>
      <c r="F149" s="93" t="s">
        <v>230</v>
      </c>
      <c r="G149" s="109">
        <v>357.15000000000003</v>
      </c>
      <c r="H149" s="109">
        <v>13096.449999999999</v>
      </c>
      <c r="I149" s="95">
        <v>0</v>
      </c>
      <c r="J149" s="95">
        <v>0</v>
      </c>
      <c r="K149" s="95">
        <v>0</v>
      </c>
      <c r="L149" s="95">
        <v>0</v>
      </c>
      <c r="M149" s="96">
        <v>38</v>
      </c>
      <c r="N149" s="97">
        <v>0</v>
      </c>
      <c r="O149" s="98">
        <v>0</v>
      </c>
      <c r="P149" s="33"/>
      <c r="Q149" s="99" t="s">
        <v>1198</v>
      </c>
      <c r="R149" s="100"/>
      <c r="S149" s="101">
        <v>2.9404915072405286E-3</v>
      </c>
      <c r="T149" s="102">
        <v>1</v>
      </c>
      <c r="U149" s="103">
        <v>0</v>
      </c>
      <c r="V149" s="103">
        <v>0</v>
      </c>
      <c r="W149" s="104">
        <v>0</v>
      </c>
      <c r="X149" s="19"/>
      <c r="Y149" s="103">
        <v>0</v>
      </c>
      <c r="Z149" s="103">
        <v>0</v>
      </c>
      <c r="AA149" s="105">
        <v>0</v>
      </c>
      <c r="AB149" s="106">
        <v>0</v>
      </c>
      <c r="AC149" s="105">
        <v>0</v>
      </c>
      <c r="AD149" s="104">
        <v>0</v>
      </c>
      <c r="AE149" s="104">
        <v>0</v>
      </c>
      <c r="AF149" s="107">
        <v>46265</v>
      </c>
    </row>
    <row r="150" spans="1:33" x14ac:dyDescent="0.25">
      <c r="A150" s="90">
        <v>1003</v>
      </c>
      <c r="B150" s="91" t="s">
        <v>161</v>
      </c>
      <c r="C150" s="29">
        <v>10030089</v>
      </c>
      <c r="D150" s="92" t="s">
        <v>423</v>
      </c>
      <c r="E150" s="93" t="s">
        <v>270</v>
      </c>
      <c r="F150" s="93" t="s">
        <v>230</v>
      </c>
      <c r="G150" s="109">
        <v>619.79999999999995</v>
      </c>
      <c r="H150" s="109">
        <v>31858.62</v>
      </c>
      <c r="I150" s="95">
        <v>0</v>
      </c>
      <c r="J150" s="95">
        <v>0</v>
      </c>
      <c r="K150" s="95">
        <v>0</v>
      </c>
      <c r="L150" s="95">
        <v>0</v>
      </c>
      <c r="M150" s="96">
        <v>413</v>
      </c>
      <c r="N150" s="97">
        <v>0</v>
      </c>
      <c r="O150" s="98">
        <v>0</v>
      </c>
      <c r="P150" s="33"/>
      <c r="Q150" s="99" t="s">
        <v>1198</v>
      </c>
      <c r="R150" s="100"/>
      <c r="S150" s="101">
        <v>1.2952852320659208E-2</v>
      </c>
      <c r="T150" s="102">
        <v>2</v>
      </c>
      <c r="U150" s="103">
        <v>0</v>
      </c>
      <c r="V150" s="103">
        <v>0</v>
      </c>
      <c r="W150" s="104">
        <v>0</v>
      </c>
      <c r="X150" s="19"/>
      <c r="Y150" s="103">
        <v>0</v>
      </c>
      <c r="Z150" s="103">
        <v>0</v>
      </c>
      <c r="AA150" s="105">
        <v>0</v>
      </c>
      <c r="AB150" s="106">
        <v>0</v>
      </c>
      <c r="AC150" s="105">
        <v>0</v>
      </c>
      <c r="AD150" s="104">
        <v>0</v>
      </c>
      <c r="AE150" s="104">
        <v>0</v>
      </c>
      <c r="AF150" s="107">
        <v>46265</v>
      </c>
    </row>
    <row r="151" spans="1:33" x14ac:dyDescent="0.25">
      <c r="A151" s="90">
        <v>1003</v>
      </c>
      <c r="B151" s="91" t="s">
        <v>161</v>
      </c>
      <c r="C151" s="29">
        <v>10030090</v>
      </c>
      <c r="D151" s="92" t="s">
        <v>424</v>
      </c>
      <c r="E151" s="93" t="s">
        <v>270</v>
      </c>
      <c r="F151" s="93" t="s">
        <v>230</v>
      </c>
      <c r="G151" s="109">
        <v>197.29999999999998</v>
      </c>
      <c r="H151" s="109">
        <v>8892.6200000000008</v>
      </c>
      <c r="I151" s="95">
        <v>0</v>
      </c>
      <c r="J151" s="95">
        <v>0</v>
      </c>
      <c r="K151" s="95">
        <v>0</v>
      </c>
      <c r="L151" s="95">
        <v>0</v>
      </c>
      <c r="M151" s="96">
        <v>0</v>
      </c>
      <c r="N151" s="97">
        <v>0</v>
      </c>
      <c r="O151" s="98">
        <v>0</v>
      </c>
      <c r="P151" s="33"/>
      <c r="Q151" s="99" t="s">
        <v>1198</v>
      </c>
      <c r="R151" s="100"/>
      <c r="S151" s="101">
        <v>-0.11806644161113351</v>
      </c>
      <c r="T151" s="102">
        <v>1</v>
      </c>
      <c r="U151" s="103">
        <v>0</v>
      </c>
      <c r="V151" s="103">
        <v>0</v>
      </c>
      <c r="W151" s="104">
        <v>0</v>
      </c>
      <c r="X151" s="19"/>
      <c r="Y151" s="103">
        <v>0</v>
      </c>
      <c r="Z151" s="103">
        <v>0</v>
      </c>
      <c r="AA151" s="105">
        <v>0</v>
      </c>
      <c r="AB151" s="106">
        <v>0</v>
      </c>
      <c r="AC151" s="105">
        <v>0</v>
      </c>
      <c r="AD151" s="104">
        <v>0</v>
      </c>
      <c r="AE151" s="104">
        <v>0</v>
      </c>
      <c r="AF151" s="107">
        <v>46265</v>
      </c>
    </row>
    <row r="152" spans="1:33" x14ac:dyDescent="0.25">
      <c r="A152" s="90">
        <v>1006</v>
      </c>
      <c r="B152" s="91" t="s">
        <v>1187</v>
      </c>
      <c r="C152" s="29">
        <v>10060002</v>
      </c>
      <c r="D152" s="92" t="s">
        <v>425</v>
      </c>
      <c r="E152" s="93" t="s">
        <v>275</v>
      </c>
      <c r="F152" s="93" t="s">
        <v>231</v>
      </c>
      <c r="G152" s="109">
        <v>702</v>
      </c>
      <c r="H152" s="109">
        <v>29791.990000000005</v>
      </c>
      <c r="I152" s="95">
        <v>0</v>
      </c>
      <c r="J152" s="95">
        <v>0</v>
      </c>
      <c r="K152" s="95">
        <v>0</v>
      </c>
      <c r="L152" s="95">
        <v>0</v>
      </c>
      <c r="M152" s="96">
        <v>0</v>
      </c>
      <c r="N152" s="97">
        <v>0</v>
      </c>
      <c r="O152" s="98">
        <v>0</v>
      </c>
      <c r="P152" s="33"/>
      <c r="Q152" s="99" t="s">
        <v>1198</v>
      </c>
      <c r="R152" s="100"/>
      <c r="S152" s="101">
        <v>0</v>
      </c>
      <c r="T152" s="102">
        <v>0</v>
      </c>
      <c r="U152" s="103">
        <v>0</v>
      </c>
      <c r="V152" s="103">
        <v>0</v>
      </c>
      <c r="W152" s="104">
        <v>0</v>
      </c>
      <c r="X152" s="19"/>
      <c r="Y152" s="103">
        <v>0</v>
      </c>
      <c r="Z152" s="103">
        <v>0</v>
      </c>
      <c r="AA152" s="105">
        <v>0</v>
      </c>
      <c r="AB152" s="106">
        <v>0</v>
      </c>
      <c r="AC152" s="105">
        <v>0</v>
      </c>
      <c r="AD152" s="104">
        <v>0</v>
      </c>
      <c r="AE152" s="104">
        <v>0</v>
      </c>
      <c r="AF152" s="107">
        <v>46265</v>
      </c>
    </row>
    <row r="153" spans="1:33" x14ac:dyDescent="0.25">
      <c r="A153" s="90">
        <v>1006</v>
      </c>
      <c r="B153" s="91" t="s">
        <v>1187</v>
      </c>
      <c r="C153" s="29">
        <v>10060003</v>
      </c>
      <c r="D153" s="92" t="s">
        <v>426</v>
      </c>
      <c r="E153" s="93" t="s">
        <v>275</v>
      </c>
      <c r="F153" s="93" t="s">
        <v>231</v>
      </c>
      <c r="G153" s="109">
        <v>1222.8999999999999</v>
      </c>
      <c r="H153" s="109">
        <v>49226.110000000015</v>
      </c>
      <c r="I153" s="95">
        <v>0</v>
      </c>
      <c r="J153" s="95">
        <v>0</v>
      </c>
      <c r="K153" s="95">
        <v>0</v>
      </c>
      <c r="L153" s="95">
        <v>0</v>
      </c>
      <c r="M153" s="96">
        <v>0</v>
      </c>
      <c r="N153" s="97">
        <v>0</v>
      </c>
      <c r="O153" s="98">
        <v>0</v>
      </c>
      <c r="P153" s="33"/>
      <c r="Q153" s="99" t="s">
        <v>1198</v>
      </c>
      <c r="R153" s="100"/>
      <c r="S153" s="101">
        <v>0</v>
      </c>
      <c r="T153" s="102">
        <v>0</v>
      </c>
      <c r="U153" s="103">
        <v>0</v>
      </c>
      <c r="V153" s="103">
        <v>0</v>
      </c>
      <c r="W153" s="104">
        <v>0</v>
      </c>
      <c r="X153" s="19"/>
      <c r="Y153" s="103">
        <v>0</v>
      </c>
      <c r="Z153" s="103">
        <v>0</v>
      </c>
      <c r="AA153" s="105">
        <v>0</v>
      </c>
      <c r="AB153" s="106">
        <v>0</v>
      </c>
      <c r="AC153" s="105">
        <v>0</v>
      </c>
      <c r="AD153" s="104">
        <v>0</v>
      </c>
      <c r="AE153" s="104">
        <v>0</v>
      </c>
      <c r="AF153" s="107">
        <v>46265</v>
      </c>
    </row>
    <row r="154" spans="1:33" x14ac:dyDescent="0.25">
      <c r="A154" s="90">
        <v>1006</v>
      </c>
      <c r="B154" s="91" t="s">
        <v>1187</v>
      </c>
      <c r="C154" s="29">
        <v>10060004</v>
      </c>
      <c r="D154" s="92" t="s">
        <v>427</v>
      </c>
      <c r="E154" s="93" t="s">
        <v>270</v>
      </c>
      <c r="F154" s="93" t="s">
        <v>231</v>
      </c>
      <c r="G154" s="109">
        <v>2461.8000000000006</v>
      </c>
      <c r="H154" s="109">
        <v>99426.409999999989</v>
      </c>
      <c r="I154" s="95">
        <v>0</v>
      </c>
      <c r="J154" s="95">
        <v>0</v>
      </c>
      <c r="K154" s="95">
        <v>0</v>
      </c>
      <c r="L154" s="95">
        <v>0</v>
      </c>
      <c r="M154" s="96">
        <v>0</v>
      </c>
      <c r="N154" s="97">
        <v>0</v>
      </c>
      <c r="O154" s="98">
        <v>0</v>
      </c>
      <c r="P154" s="33"/>
      <c r="Q154" s="99" t="s">
        <v>1198</v>
      </c>
      <c r="R154" s="100"/>
      <c r="S154" s="101">
        <v>0</v>
      </c>
      <c r="T154" s="102">
        <v>0</v>
      </c>
      <c r="U154" s="103">
        <v>0</v>
      </c>
      <c r="V154" s="103">
        <v>0</v>
      </c>
      <c r="W154" s="104">
        <v>0</v>
      </c>
      <c r="X154" s="19"/>
      <c r="Y154" s="103">
        <v>0</v>
      </c>
      <c r="Z154" s="103">
        <v>0</v>
      </c>
      <c r="AA154" s="105">
        <v>0</v>
      </c>
      <c r="AB154" s="106">
        <v>0</v>
      </c>
      <c r="AC154" s="105">
        <v>0</v>
      </c>
      <c r="AD154" s="104">
        <v>0</v>
      </c>
      <c r="AE154" s="104">
        <v>0</v>
      </c>
      <c r="AF154" s="107">
        <v>46265</v>
      </c>
    </row>
    <row r="155" spans="1:33" x14ac:dyDescent="0.25">
      <c r="A155" s="90">
        <v>1006</v>
      </c>
      <c r="B155" s="91" t="s">
        <v>1187</v>
      </c>
      <c r="C155" s="29">
        <v>10060005</v>
      </c>
      <c r="D155" s="92" t="s">
        <v>428</v>
      </c>
      <c r="E155" s="93" t="s">
        <v>275</v>
      </c>
      <c r="F155" s="93" t="s">
        <v>231</v>
      </c>
      <c r="G155" s="109">
        <v>837.60000000000014</v>
      </c>
      <c r="H155" s="109">
        <v>35391.06</v>
      </c>
      <c r="I155" s="95">
        <v>0</v>
      </c>
      <c r="J155" s="95">
        <v>0</v>
      </c>
      <c r="K155" s="95">
        <v>0</v>
      </c>
      <c r="L155" s="95">
        <v>0</v>
      </c>
      <c r="M155" s="96">
        <v>0</v>
      </c>
      <c r="N155" s="97">
        <v>0</v>
      </c>
      <c r="O155" s="98">
        <v>0</v>
      </c>
      <c r="P155" s="33"/>
      <c r="Q155" s="99" t="s">
        <v>1198</v>
      </c>
      <c r="R155" s="100"/>
      <c r="S155" s="101">
        <v>0</v>
      </c>
      <c r="T155" s="102">
        <v>0</v>
      </c>
      <c r="U155" s="103">
        <v>0</v>
      </c>
      <c r="V155" s="103">
        <v>0</v>
      </c>
      <c r="W155" s="104">
        <v>0</v>
      </c>
      <c r="X155" s="19"/>
      <c r="Y155" s="103">
        <v>0</v>
      </c>
      <c r="Z155" s="103">
        <v>0</v>
      </c>
      <c r="AA155" s="105">
        <v>0</v>
      </c>
      <c r="AB155" s="106">
        <v>0</v>
      </c>
      <c r="AC155" s="105">
        <v>0</v>
      </c>
      <c r="AD155" s="104">
        <v>0</v>
      </c>
      <c r="AE155" s="104">
        <v>0</v>
      </c>
      <c r="AF155" s="107">
        <v>46265</v>
      </c>
      <c r="AG155" s="108"/>
    </row>
    <row r="156" spans="1:33" x14ac:dyDescent="0.25">
      <c r="A156" s="90">
        <v>1006</v>
      </c>
      <c r="B156" s="91" t="s">
        <v>1187</v>
      </c>
      <c r="C156" s="29">
        <v>10060007</v>
      </c>
      <c r="D156" s="92" t="s">
        <v>429</v>
      </c>
      <c r="E156" s="93" t="s">
        <v>275</v>
      </c>
      <c r="F156" s="93" t="s">
        <v>231</v>
      </c>
      <c r="G156" s="109">
        <v>668.4</v>
      </c>
      <c r="H156" s="109">
        <v>25172.43</v>
      </c>
      <c r="I156" s="95">
        <v>0</v>
      </c>
      <c r="J156" s="95">
        <v>0</v>
      </c>
      <c r="K156" s="95">
        <v>0</v>
      </c>
      <c r="L156" s="95">
        <v>0</v>
      </c>
      <c r="M156" s="96">
        <v>0</v>
      </c>
      <c r="N156" s="97">
        <v>0</v>
      </c>
      <c r="O156" s="98">
        <v>0</v>
      </c>
      <c r="P156" s="33"/>
      <c r="Q156" s="99" t="s">
        <v>1198</v>
      </c>
      <c r="R156" s="100"/>
      <c r="S156" s="101">
        <v>0</v>
      </c>
      <c r="T156" s="102">
        <v>0</v>
      </c>
      <c r="U156" s="103">
        <v>0</v>
      </c>
      <c r="V156" s="103">
        <v>0</v>
      </c>
      <c r="W156" s="104">
        <v>0</v>
      </c>
      <c r="X156" s="19"/>
      <c r="Y156" s="103">
        <v>0</v>
      </c>
      <c r="Z156" s="103">
        <v>0</v>
      </c>
      <c r="AA156" s="105">
        <v>0</v>
      </c>
      <c r="AB156" s="106">
        <v>0</v>
      </c>
      <c r="AC156" s="105">
        <v>0</v>
      </c>
      <c r="AD156" s="104">
        <v>0</v>
      </c>
      <c r="AE156" s="104">
        <v>0</v>
      </c>
      <c r="AF156" s="107">
        <v>46265</v>
      </c>
    </row>
    <row r="157" spans="1:33" x14ac:dyDescent="0.25">
      <c r="A157" s="90">
        <v>1006</v>
      </c>
      <c r="B157" s="91" t="s">
        <v>1187</v>
      </c>
      <c r="C157" s="29">
        <v>10060008</v>
      </c>
      <c r="D157" s="92" t="s">
        <v>430</v>
      </c>
      <c r="E157" s="93" t="s">
        <v>275</v>
      </c>
      <c r="F157" s="93" t="s">
        <v>231</v>
      </c>
      <c r="G157" s="109">
        <v>456.6</v>
      </c>
      <c r="H157" s="109">
        <v>18638.489999999998</v>
      </c>
      <c r="I157" s="95">
        <v>0</v>
      </c>
      <c r="J157" s="95">
        <v>0</v>
      </c>
      <c r="K157" s="95">
        <v>0</v>
      </c>
      <c r="L157" s="95">
        <v>0</v>
      </c>
      <c r="M157" s="96">
        <v>0</v>
      </c>
      <c r="N157" s="97">
        <v>0</v>
      </c>
      <c r="O157" s="98">
        <v>0</v>
      </c>
      <c r="P157" s="33"/>
      <c r="Q157" s="99" t="s">
        <v>1198</v>
      </c>
      <c r="R157" s="100"/>
      <c r="S157" s="101">
        <v>0</v>
      </c>
      <c r="T157" s="102">
        <v>0</v>
      </c>
      <c r="U157" s="103">
        <v>0</v>
      </c>
      <c r="V157" s="103">
        <v>0</v>
      </c>
      <c r="W157" s="104">
        <v>0</v>
      </c>
      <c r="X157" s="19"/>
      <c r="Y157" s="103">
        <v>0</v>
      </c>
      <c r="Z157" s="103">
        <v>0</v>
      </c>
      <c r="AA157" s="105">
        <v>0</v>
      </c>
      <c r="AB157" s="106">
        <v>0</v>
      </c>
      <c r="AC157" s="105">
        <v>0</v>
      </c>
      <c r="AD157" s="104">
        <v>0</v>
      </c>
      <c r="AE157" s="104">
        <v>0</v>
      </c>
      <c r="AF157" s="107">
        <v>46265</v>
      </c>
    </row>
    <row r="158" spans="1:33" x14ac:dyDescent="0.25">
      <c r="A158" s="90">
        <v>1006</v>
      </c>
      <c r="B158" s="91" t="s">
        <v>1187</v>
      </c>
      <c r="C158" s="29">
        <v>10060009</v>
      </c>
      <c r="D158" s="92" t="s">
        <v>431</v>
      </c>
      <c r="E158" s="93" t="s">
        <v>275</v>
      </c>
      <c r="F158" s="93" t="s">
        <v>231</v>
      </c>
      <c r="G158" s="109">
        <v>994.30000000000007</v>
      </c>
      <c r="H158" s="109">
        <v>43315.549999999996</v>
      </c>
      <c r="I158" s="95">
        <v>0</v>
      </c>
      <c r="J158" s="95">
        <v>0</v>
      </c>
      <c r="K158" s="95">
        <v>0</v>
      </c>
      <c r="L158" s="95">
        <v>0</v>
      </c>
      <c r="M158" s="96">
        <v>0</v>
      </c>
      <c r="N158" s="97">
        <v>0</v>
      </c>
      <c r="O158" s="98">
        <v>0</v>
      </c>
      <c r="P158" s="33"/>
      <c r="Q158" s="99" t="s">
        <v>1198</v>
      </c>
      <c r="R158" s="100"/>
      <c r="S158" s="101">
        <v>0</v>
      </c>
      <c r="T158" s="102">
        <v>0</v>
      </c>
      <c r="U158" s="103">
        <v>0</v>
      </c>
      <c r="V158" s="103">
        <v>0</v>
      </c>
      <c r="W158" s="104">
        <v>0</v>
      </c>
      <c r="X158" s="19"/>
      <c r="Y158" s="103">
        <v>0</v>
      </c>
      <c r="Z158" s="103">
        <v>0</v>
      </c>
      <c r="AA158" s="105">
        <v>0</v>
      </c>
      <c r="AB158" s="106">
        <v>0</v>
      </c>
      <c r="AC158" s="105">
        <v>0</v>
      </c>
      <c r="AD158" s="104">
        <v>0</v>
      </c>
      <c r="AE158" s="104">
        <v>0</v>
      </c>
      <c r="AF158" s="107">
        <v>46265</v>
      </c>
    </row>
    <row r="159" spans="1:33" x14ac:dyDescent="0.25">
      <c r="A159" s="90">
        <v>1006</v>
      </c>
      <c r="B159" s="91" t="s">
        <v>1187</v>
      </c>
      <c r="C159" s="29">
        <v>10060010</v>
      </c>
      <c r="D159" s="92" t="s">
        <v>432</v>
      </c>
      <c r="E159" s="93" t="s">
        <v>275</v>
      </c>
      <c r="F159" s="93" t="s">
        <v>231</v>
      </c>
      <c r="G159" s="109">
        <v>1727.7999999999993</v>
      </c>
      <c r="H159" s="109">
        <v>76312.639999999999</v>
      </c>
      <c r="I159" s="95">
        <v>0</v>
      </c>
      <c r="J159" s="95">
        <v>0</v>
      </c>
      <c r="K159" s="95">
        <v>0</v>
      </c>
      <c r="L159" s="95">
        <v>0</v>
      </c>
      <c r="M159" s="96">
        <v>0</v>
      </c>
      <c r="N159" s="97">
        <v>0</v>
      </c>
      <c r="O159" s="98">
        <v>0</v>
      </c>
      <c r="P159" s="33"/>
      <c r="Q159" s="99" t="s">
        <v>1198</v>
      </c>
      <c r="R159" s="100"/>
      <c r="S159" s="101">
        <v>0</v>
      </c>
      <c r="T159" s="102">
        <v>0</v>
      </c>
      <c r="U159" s="103">
        <v>0</v>
      </c>
      <c r="V159" s="103">
        <v>0</v>
      </c>
      <c r="W159" s="104">
        <v>0</v>
      </c>
      <c r="X159" s="19"/>
      <c r="Y159" s="103">
        <v>0</v>
      </c>
      <c r="Z159" s="103">
        <v>0</v>
      </c>
      <c r="AA159" s="105">
        <v>0</v>
      </c>
      <c r="AB159" s="106">
        <v>0</v>
      </c>
      <c r="AC159" s="105">
        <v>0</v>
      </c>
      <c r="AD159" s="104">
        <v>0</v>
      </c>
      <c r="AE159" s="104">
        <v>0</v>
      </c>
      <c r="AF159" s="107">
        <v>46265</v>
      </c>
    </row>
    <row r="160" spans="1:33" x14ac:dyDescent="0.25">
      <c r="A160" s="90">
        <v>1059</v>
      </c>
      <c r="B160" s="91" t="s">
        <v>159</v>
      </c>
      <c r="C160" s="29">
        <v>10060011</v>
      </c>
      <c r="D160" s="92" t="s">
        <v>433</v>
      </c>
      <c r="E160" s="93" t="s">
        <v>270</v>
      </c>
      <c r="F160" s="93" t="s">
        <v>230</v>
      </c>
      <c r="G160" s="109">
        <v>348.40000000000009</v>
      </c>
      <c r="H160" s="109">
        <v>15942.980000000001</v>
      </c>
      <c r="I160" s="95">
        <v>0</v>
      </c>
      <c r="J160" s="95">
        <v>0</v>
      </c>
      <c r="K160" s="95">
        <v>0</v>
      </c>
      <c r="L160" s="95">
        <v>0</v>
      </c>
      <c r="M160" s="96">
        <v>0</v>
      </c>
      <c r="N160" s="97">
        <v>0</v>
      </c>
      <c r="O160" s="98">
        <v>0</v>
      </c>
      <c r="P160" s="33"/>
      <c r="Q160" s="99" t="s">
        <v>1198</v>
      </c>
      <c r="R160" s="100"/>
      <c r="S160" s="101">
        <v>-3.7018800751176806E-2</v>
      </c>
      <c r="T160" s="102">
        <v>22</v>
      </c>
      <c r="U160" s="103">
        <v>0</v>
      </c>
      <c r="V160" s="103">
        <v>0</v>
      </c>
      <c r="W160" s="104">
        <v>0</v>
      </c>
      <c r="X160" s="19"/>
      <c r="Y160" s="103">
        <v>0</v>
      </c>
      <c r="Z160" s="103">
        <v>0</v>
      </c>
      <c r="AA160" s="105">
        <v>0</v>
      </c>
      <c r="AB160" s="106">
        <v>0</v>
      </c>
      <c r="AC160" s="105">
        <v>0</v>
      </c>
      <c r="AD160" s="104">
        <v>0</v>
      </c>
      <c r="AE160" s="104">
        <v>0</v>
      </c>
      <c r="AF160" s="107">
        <v>46265</v>
      </c>
      <c r="AG160" s="108"/>
    </row>
    <row r="161" spans="1:33" x14ac:dyDescent="0.25">
      <c r="A161" s="90">
        <v>1006</v>
      </c>
      <c r="B161" s="91" t="s">
        <v>1187</v>
      </c>
      <c r="C161" s="29">
        <v>10060014</v>
      </c>
      <c r="D161" s="92" t="s">
        <v>434</v>
      </c>
      <c r="E161" s="93" t="s">
        <v>275</v>
      </c>
      <c r="F161" s="93" t="s">
        <v>231</v>
      </c>
      <c r="G161" s="109">
        <v>229.9</v>
      </c>
      <c r="H161" s="109">
        <v>9302.4699999999993</v>
      </c>
      <c r="I161" s="95">
        <v>0</v>
      </c>
      <c r="J161" s="95">
        <v>0</v>
      </c>
      <c r="K161" s="95">
        <v>0</v>
      </c>
      <c r="L161" s="95">
        <v>0</v>
      </c>
      <c r="M161" s="96">
        <v>0</v>
      </c>
      <c r="N161" s="97">
        <v>0</v>
      </c>
      <c r="O161" s="98">
        <v>0</v>
      </c>
      <c r="P161" s="33"/>
      <c r="Q161" s="99" t="s">
        <v>1198</v>
      </c>
      <c r="R161" s="100"/>
      <c r="S161" s="101">
        <v>0</v>
      </c>
      <c r="T161" s="102">
        <v>0</v>
      </c>
      <c r="U161" s="103">
        <v>0</v>
      </c>
      <c r="V161" s="103">
        <v>0</v>
      </c>
      <c r="W161" s="104">
        <v>0</v>
      </c>
      <c r="X161" s="19"/>
      <c r="Y161" s="103">
        <v>0</v>
      </c>
      <c r="Z161" s="103">
        <v>0</v>
      </c>
      <c r="AA161" s="105">
        <v>0</v>
      </c>
      <c r="AB161" s="106">
        <v>0</v>
      </c>
      <c r="AC161" s="105">
        <v>0</v>
      </c>
      <c r="AD161" s="104">
        <v>0</v>
      </c>
      <c r="AE161" s="104">
        <v>0</v>
      </c>
      <c r="AF161" s="107">
        <v>46265</v>
      </c>
    </row>
    <row r="162" spans="1:33" x14ac:dyDescent="0.25">
      <c r="A162" s="90">
        <v>1006</v>
      </c>
      <c r="B162" s="91" t="s">
        <v>1187</v>
      </c>
      <c r="C162" s="29">
        <v>10060015</v>
      </c>
      <c r="D162" s="92" t="s">
        <v>435</v>
      </c>
      <c r="E162" s="93" t="s">
        <v>275</v>
      </c>
      <c r="F162" s="93" t="s">
        <v>231</v>
      </c>
      <c r="G162" s="109">
        <v>214.7</v>
      </c>
      <c r="H162" s="109">
        <v>9591.32</v>
      </c>
      <c r="I162" s="95">
        <v>0</v>
      </c>
      <c r="J162" s="95">
        <v>0</v>
      </c>
      <c r="K162" s="95">
        <v>0</v>
      </c>
      <c r="L162" s="95">
        <v>0</v>
      </c>
      <c r="M162" s="96">
        <v>0</v>
      </c>
      <c r="N162" s="97">
        <v>0</v>
      </c>
      <c r="O162" s="98">
        <v>0</v>
      </c>
      <c r="P162" s="33"/>
      <c r="Q162" s="99" t="s">
        <v>1198</v>
      </c>
      <c r="R162" s="100"/>
      <c r="S162" s="101">
        <v>0</v>
      </c>
      <c r="T162" s="102">
        <v>0</v>
      </c>
      <c r="U162" s="103">
        <v>0</v>
      </c>
      <c r="V162" s="103">
        <v>0</v>
      </c>
      <c r="W162" s="104">
        <v>0</v>
      </c>
      <c r="X162" s="19"/>
      <c r="Y162" s="103">
        <v>0</v>
      </c>
      <c r="Z162" s="103">
        <v>0</v>
      </c>
      <c r="AA162" s="105">
        <v>0</v>
      </c>
      <c r="AB162" s="106">
        <v>0</v>
      </c>
      <c r="AC162" s="105">
        <v>0</v>
      </c>
      <c r="AD162" s="104">
        <v>0</v>
      </c>
      <c r="AE162" s="104">
        <v>0</v>
      </c>
      <c r="AF162" s="107">
        <v>46265</v>
      </c>
    </row>
    <row r="163" spans="1:33" x14ac:dyDescent="0.25">
      <c r="A163" s="90">
        <v>1006</v>
      </c>
      <c r="B163" s="91" t="s">
        <v>1187</v>
      </c>
      <c r="C163" s="29">
        <v>10060020</v>
      </c>
      <c r="D163" s="92" t="s">
        <v>436</v>
      </c>
      <c r="E163" s="93" t="s">
        <v>275</v>
      </c>
      <c r="F163" s="93" t="s">
        <v>231</v>
      </c>
      <c r="G163" s="109">
        <v>779.30000000000007</v>
      </c>
      <c r="H163" s="109">
        <v>29523.669999999995</v>
      </c>
      <c r="I163" s="95">
        <v>0</v>
      </c>
      <c r="J163" s="95">
        <v>0</v>
      </c>
      <c r="K163" s="95">
        <v>0</v>
      </c>
      <c r="L163" s="95">
        <v>0</v>
      </c>
      <c r="M163" s="96">
        <v>0</v>
      </c>
      <c r="N163" s="97">
        <v>0</v>
      </c>
      <c r="O163" s="98">
        <v>0</v>
      </c>
      <c r="P163" s="33"/>
      <c r="Q163" s="99" t="s">
        <v>1198</v>
      </c>
      <c r="R163" s="100"/>
      <c r="S163" s="101">
        <v>0</v>
      </c>
      <c r="T163" s="102">
        <v>0</v>
      </c>
      <c r="U163" s="103">
        <v>0</v>
      </c>
      <c r="V163" s="103">
        <v>0</v>
      </c>
      <c r="W163" s="104">
        <v>0</v>
      </c>
      <c r="X163" s="19"/>
      <c r="Y163" s="103">
        <v>0</v>
      </c>
      <c r="Z163" s="103">
        <v>0</v>
      </c>
      <c r="AA163" s="105">
        <v>0</v>
      </c>
      <c r="AB163" s="106">
        <v>0</v>
      </c>
      <c r="AC163" s="105">
        <v>0</v>
      </c>
      <c r="AD163" s="104">
        <v>0</v>
      </c>
      <c r="AE163" s="104">
        <v>0</v>
      </c>
      <c r="AF163" s="107">
        <v>46265</v>
      </c>
      <c r="AG163" s="108"/>
    </row>
    <row r="164" spans="1:33" x14ac:dyDescent="0.25">
      <c r="A164" s="90">
        <v>1006</v>
      </c>
      <c r="B164" s="91" t="s">
        <v>1187</v>
      </c>
      <c r="C164" s="29">
        <v>10060021</v>
      </c>
      <c r="D164" s="92" t="s">
        <v>437</v>
      </c>
      <c r="E164" s="93" t="s">
        <v>275</v>
      </c>
      <c r="F164" s="93" t="s">
        <v>231</v>
      </c>
      <c r="G164" s="109">
        <v>2240.6999999999998</v>
      </c>
      <c r="H164" s="109">
        <v>97537.87000000001</v>
      </c>
      <c r="I164" s="95">
        <v>0</v>
      </c>
      <c r="J164" s="95">
        <v>0</v>
      </c>
      <c r="K164" s="95">
        <v>0</v>
      </c>
      <c r="L164" s="95">
        <v>0</v>
      </c>
      <c r="M164" s="96">
        <v>0</v>
      </c>
      <c r="N164" s="97">
        <v>0</v>
      </c>
      <c r="O164" s="98">
        <v>0</v>
      </c>
      <c r="P164" s="33"/>
      <c r="Q164" s="99" t="s">
        <v>1198</v>
      </c>
      <c r="R164" s="100"/>
      <c r="S164" s="101">
        <v>0</v>
      </c>
      <c r="T164" s="102">
        <v>0</v>
      </c>
      <c r="U164" s="103">
        <v>0</v>
      </c>
      <c r="V164" s="103">
        <v>0</v>
      </c>
      <c r="W164" s="104">
        <v>0</v>
      </c>
      <c r="X164" s="19"/>
      <c r="Y164" s="103">
        <v>0</v>
      </c>
      <c r="Z164" s="103">
        <v>0</v>
      </c>
      <c r="AA164" s="105">
        <v>0</v>
      </c>
      <c r="AB164" s="106">
        <v>0</v>
      </c>
      <c r="AC164" s="105">
        <v>0</v>
      </c>
      <c r="AD164" s="104">
        <v>0</v>
      </c>
      <c r="AE164" s="104">
        <v>0</v>
      </c>
      <c r="AF164" s="107">
        <v>46265</v>
      </c>
      <c r="AG164" s="108"/>
    </row>
    <row r="165" spans="1:33" x14ac:dyDescent="0.25">
      <c r="A165" s="90">
        <v>1006</v>
      </c>
      <c r="B165" s="91" t="s">
        <v>1187</v>
      </c>
      <c r="C165" s="29">
        <v>10060022</v>
      </c>
      <c r="D165" s="92" t="s">
        <v>438</v>
      </c>
      <c r="E165" s="93" t="s">
        <v>270</v>
      </c>
      <c r="F165" s="93" t="s">
        <v>230</v>
      </c>
      <c r="G165" s="109">
        <v>746.59999999999991</v>
      </c>
      <c r="H165" s="109">
        <v>29253.39</v>
      </c>
      <c r="I165" s="95">
        <v>0</v>
      </c>
      <c r="J165" s="95">
        <v>0</v>
      </c>
      <c r="K165" s="95">
        <v>0</v>
      </c>
      <c r="L165" s="95">
        <v>0</v>
      </c>
      <c r="M165" s="96">
        <v>0</v>
      </c>
      <c r="N165" s="97">
        <v>0</v>
      </c>
      <c r="O165" s="98">
        <v>0</v>
      </c>
      <c r="P165" s="33"/>
      <c r="Q165" s="99" t="s">
        <v>1198</v>
      </c>
      <c r="R165" s="100"/>
      <c r="S165" s="101">
        <v>-5.4176627050745184E-2</v>
      </c>
      <c r="T165" s="102">
        <v>15</v>
      </c>
      <c r="U165" s="103">
        <v>0</v>
      </c>
      <c r="V165" s="103">
        <v>0</v>
      </c>
      <c r="W165" s="104">
        <v>0</v>
      </c>
      <c r="X165" s="19"/>
      <c r="Y165" s="103">
        <v>0</v>
      </c>
      <c r="Z165" s="103">
        <v>0</v>
      </c>
      <c r="AA165" s="105">
        <v>0</v>
      </c>
      <c r="AB165" s="106">
        <v>0</v>
      </c>
      <c r="AC165" s="105">
        <v>0</v>
      </c>
      <c r="AD165" s="104">
        <v>0</v>
      </c>
      <c r="AE165" s="104">
        <v>0</v>
      </c>
      <c r="AF165" s="107">
        <v>46265</v>
      </c>
    </row>
    <row r="166" spans="1:33" x14ac:dyDescent="0.25">
      <c r="A166" s="90">
        <v>1006</v>
      </c>
      <c r="B166" s="91" t="s">
        <v>1187</v>
      </c>
      <c r="C166" s="29">
        <v>10060023</v>
      </c>
      <c r="D166" s="92" t="s">
        <v>439</v>
      </c>
      <c r="E166" s="93" t="s">
        <v>270</v>
      </c>
      <c r="F166" s="93" t="s">
        <v>231</v>
      </c>
      <c r="G166" s="109">
        <v>124.8</v>
      </c>
      <c r="H166" s="109">
        <v>5220.079999999999</v>
      </c>
      <c r="I166" s="95">
        <v>0</v>
      </c>
      <c r="J166" s="95">
        <v>0</v>
      </c>
      <c r="K166" s="95">
        <v>0</v>
      </c>
      <c r="L166" s="95">
        <v>0</v>
      </c>
      <c r="M166" s="96">
        <v>0</v>
      </c>
      <c r="N166" s="97">
        <v>0</v>
      </c>
      <c r="O166" s="98">
        <v>0</v>
      </c>
      <c r="P166" s="33"/>
      <c r="Q166" s="99" t="s">
        <v>1198</v>
      </c>
      <c r="R166" s="100"/>
      <c r="S166" s="101">
        <v>0</v>
      </c>
      <c r="T166" s="102">
        <v>0</v>
      </c>
      <c r="U166" s="103">
        <v>0</v>
      </c>
      <c r="V166" s="103">
        <v>0</v>
      </c>
      <c r="W166" s="104">
        <v>0</v>
      </c>
      <c r="X166" s="19"/>
      <c r="Y166" s="103">
        <v>0</v>
      </c>
      <c r="Z166" s="103">
        <v>0</v>
      </c>
      <c r="AA166" s="105">
        <v>0</v>
      </c>
      <c r="AB166" s="106">
        <v>0</v>
      </c>
      <c r="AC166" s="105">
        <v>0</v>
      </c>
      <c r="AD166" s="104">
        <v>0</v>
      </c>
      <c r="AE166" s="104">
        <v>0</v>
      </c>
      <c r="AF166" s="107">
        <v>46265</v>
      </c>
      <c r="AG166" s="108"/>
    </row>
    <row r="167" spans="1:33" x14ac:dyDescent="0.25">
      <c r="A167" s="90">
        <v>1006</v>
      </c>
      <c r="B167" s="91" t="s">
        <v>1187</v>
      </c>
      <c r="C167" s="29">
        <v>10060026</v>
      </c>
      <c r="D167" s="92" t="s">
        <v>440</v>
      </c>
      <c r="E167" s="93" t="s">
        <v>270</v>
      </c>
      <c r="F167" s="93" t="s">
        <v>230</v>
      </c>
      <c r="G167" s="109">
        <v>611.4</v>
      </c>
      <c r="H167" s="109">
        <v>31463.489999999998</v>
      </c>
      <c r="I167" s="95">
        <v>0</v>
      </c>
      <c r="J167" s="95">
        <v>0</v>
      </c>
      <c r="K167" s="95">
        <v>0</v>
      </c>
      <c r="L167" s="95">
        <v>0</v>
      </c>
      <c r="M167" s="96">
        <v>92</v>
      </c>
      <c r="N167" s="97">
        <v>0</v>
      </c>
      <c r="O167" s="98">
        <v>0</v>
      </c>
      <c r="P167" s="33"/>
      <c r="Q167" s="99" t="s">
        <v>1198</v>
      </c>
      <c r="R167" s="100"/>
      <c r="S167" s="101">
        <v>2.918620915861583E-3</v>
      </c>
      <c r="T167" s="102">
        <v>12</v>
      </c>
      <c r="U167" s="103">
        <v>0</v>
      </c>
      <c r="V167" s="103">
        <v>0</v>
      </c>
      <c r="W167" s="104">
        <v>0</v>
      </c>
      <c r="X167" s="19"/>
      <c r="Y167" s="103">
        <v>0</v>
      </c>
      <c r="Z167" s="103">
        <v>0</v>
      </c>
      <c r="AA167" s="105">
        <v>0</v>
      </c>
      <c r="AB167" s="106">
        <v>0</v>
      </c>
      <c r="AC167" s="105">
        <v>0</v>
      </c>
      <c r="AD167" s="104">
        <v>0</v>
      </c>
      <c r="AE167" s="104">
        <v>0</v>
      </c>
      <c r="AF167" s="107">
        <v>46265</v>
      </c>
      <c r="AG167" s="108"/>
    </row>
    <row r="168" spans="1:33" x14ac:dyDescent="0.25">
      <c r="A168" s="90">
        <v>1059</v>
      </c>
      <c r="B168" s="91" t="s">
        <v>159</v>
      </c>
      <c r="C168" s="29">
        <v>10060027</v>
      </c>
      <c r="D168" s="92" t="s">
        <v>219</v>
      </c>
      <c r="E168" s="93" t="s">
        <v>270</v>
      </c>
      <c r="F168" s="93" t="s">
        <v>230</v>
      </c>
      <c r="G168" s="109">
        <v>1350.6</v>
      </c>
      <c r="H168" s="109">
        <v>58751.549999999996</v>
      </c>
      <c r="I168" s="95">
        <v>0</v>
      </c>
      <c r="J168" s="95">
        <v>5767.75</v>
      </c>
      <c r="K168" s="95">
        <v>0</v>
      </c>
      <c r="L168" s="95">
        <v>0</v>
      </c>
      <c r="M168" s="96">
        <v>0</v>
      </c>
      <c r="N168" s="97" t="s">
        <v>331</v>
      </c>
      <c r="O168" s="98">
        <v>0</v>
      </c>
      <c r="P168" s="33" t="s">
        <v>332</v>
      </c>
      <c r="Q168" s="99" t="s">
        <v>1198</v>
      </c>
      <c r="R168" s="100"/>
      <c r="S168" s="101">
        <v>-6.0565891453076504E-2</v>
      </c>
      <c r="T168" s="102">
        <v>73</v>
      </c>
      <c r="U168" s="103">
        <v>6000</v>
      </c>
      <c r="V168" s="103">
        <v>0</v>
      </c>
      <c r="W168" s="104">
        <v>6000</v>
      </c>
      <c r="X168" s="19"/>
      <c r="Y168" s="103">
        <v>0</v>
      </c>
      <c r="Z168" s="103">
        <v>0</v>
      </c>
      <c r="AA168" s="105">
        <v>0</v>
      </c>
      <c r="AB168" s="106">
        <v>0</v>
      </c>
      <c r="AC168" s="105">
        <v>0</v>
      </c>
      <c r="AD168" s="104">
        <v>0</v>
      </c>
      <c r="AE168" s="104">
        <v>0</v>
      </c>
      <c r="AF168" s="107">
        <v>46265</v>
      </c>
    </row>
    <row r="169" spans="1:33" x14ac:dyDescent="0.25">
      <c r="A169" s="90">
        <v>1006</v>
      </c>
      <c r="B169" s="91" t="s">
        <v>1187</v>
      </c>
      <c r="C169" s="29">
        <v>10060028</v>
      </c>
      <c r="D169" s="92" t="s">
        <v>441</v>
      </c>
      <c r="E169" s="93" t="s">
        <v>275</v>
      </c>
      <c r="F169" s="93" t="s">
        <v>231</v>
      </c>
      <c r="G169" s="109">
        <v>269.40000000000003</v>
      </c>
      <c r="H169" s="109">
        <v>10420.029999999999</v>
      </c>
      <c r="I169" s="95">
        <v>0</v>
      </c>
      <c r="J169" s="95">
        <v>0</v>
      </c>
      <c r="K169" s="95">
        <v>0</v>
      </c>
      <c r="L169" s="95">
        <v>0</v>
      </c>
      <c r="M169" s="96">
        <v>0</v>
      </c>
      <c r="N169" s="97">
        <v>0</v>
      </c>
      <c r="O169" s="98">
        <v>0</v>
      </c>
      <c r="P169" s="33"/>
      <c r="Q169" s="99" t="s">
        <v>1198</v>
      </c>
      <c r="R169" s="100"/>
      <c r="S169" s="101">
        <v>0</v>
      </c>
      <c r="T169" s="102">
        <v>0</v>
      </c>
      <c r="U169" s="103">
        <v>0</v>
      </c>
      <c r="V169" s="103">
        <v>0</v>
      </c>
      <c r="W169" s="104">
        <v>0</v>
      </c>
      <c r="X169" s="19"/>
      <c r="Y169" s="103">
        <v>0</v>
      </c>
      <c r="Z169" s="103">
        <v>0</v>
      </c>
      <c r="AA169" s="105">
        <v>0</v>
      </c>
      <c r="AB169" s="106">
        <v>0</v>
      </c>
      <c r="AC169" s="105">
        <v>0</v>
      </c>
      <c r="AD169" s="104">
        <v>0</v>
      </c>
      <c r="AE169" s="104">
        <v>0</v>
      </c>
      <c r="AF169" s="107">
        <v>46265</v>
      </c>
    </row>
    <row r="170" spans="1:33" x14ac:dyDescent="0.25">
      <c r="A170" s="90">
        <v>1006</v>
      </c>
      <c r="B170" s="91" t="s">
        <v>1187</v>
      </c>
      <c r="C170" s="29">
        <v>10060029</v>
      </c>
      <c r="D170" s="92" t="s">
        <v>442</v>
      </c>
      <c r="E170" s="93" t="s">
        <v>270</v>
      </c>
      <c r="F170" s="93" t="s">
        <v>230</v>
      </c>
      <c r="G170" s="109">
        <v>1960.2000000000003</v>
      </c>
      <c r="H170" s="109">
        <v>96234.96</v>
      </c>
      <c r="I170" s="95">
        <v>0</v>
      </c>
      <c r="J170" s="95">
        <v>0</v>
      </c>
      <c r="K170" s="95">
        <v>0</v>
      </c>
      <c r="L170" s="95">
        <v>0</v>
      </c>
      <c r="M170" s="96">
        <v>0</v>
      </c>
      <c r="N170" s="97">
        <v>0</v>
      </c>
      <c r="O170" s="98">
        <v>0</v>
      </c>
      <c r="P170" s="33"/>
      <c r="Q170" s="99" t="s">
        <v>1198</v>
      </c>
      <c r="R170" s="100"/>
      <c r="S170" s="101">
        <v>-6.4010002186049524E-5</v>
      </c>
      <c r="T170" s="102">
        <v>42</v>
      </c>
      <c r="U170" s="103">
        <v>0</v>
      </c>
      <c r="V170" s="103">
        <v>0</v>
      </c>
      <c r="W170" s="104">
        <v>0</v>
      </c>
      <c r="X170" s="19"/>
      <c r="Y170" s="103">
        <v>0</v>
      </c>
      <c r="Z170" s="103">
        <v>0</v>
      </c>
      <c r="AA170" s="105">
        <v>0</v>
      </c>
      <c r="AB170" s="106">
        <v>0</v>
      </c>
      <c r="AC170" s="105">
        <v>0</v>
      </c>
      <c r="AD170" s="104">
        <v>0</v>
      </c>
      <c r="AE170" s="104">
        <v>0</v>
      </c>
      <c r="AF170" s="107">
        <v>46265</v>
      </c>
    </row>
    <row r="171" spans="1:33" x14ac:dyDescent="0.25">
      <c r="A171" s="90">
        <v>1006</v>
      </c>
      <c r="B171" s="91" t="s">
        <v>1187</v>
      </c>
      <c r="C171" s="29">
        <v>10060031</v>
      </c>
      <c r="D171" s="92" t="s">
        <v>443</v>
      </c>
      <c r="E171" s="93" t="s">
        <v>270</v>
      </c>
      <c r="F171" s="93" t="s">
        <v>230</v>
      </c>
      <c r="G171" s="109">
        <v>334.4</v>
      </c>
      <c r="H171" s="109">
        <v>14309.229999999998</v>
      </c>
      <c r="I171" s="95">
        <v>0</v>
      </c>
      <c r="J171" s="95">
        <v>0</v>
      </c>
      <c r="K171" s="95">
        <v>0</v>
      </c>
      <c r="L171" s="95">
        <v>0</v>
      </c>
      <c r="M171" s="96">
        <v>0</v>
      </c>
      <c r="N171" s="97">
        <v>0</v>
      </c>
      <c r="O171" s="98">
        <v>0</v>
      </c>
      <c r="P171" s="33"/>
      <c r="Q171" s="99" t="s">
        <v>1198</v>
      </c>
      <c r="R171" s="100"/>
      <c r="S171" s="101">
        <v>-1.3075476458204087E-3</v>
      </c>
      <c r="T171" s="102">
        <v>11</v>
      </c>
      <c r="U171" s="103">
        <v>0</v>
      </c>
      <c r="V171" s="103">
        <v>0</v>
      </c>
      <c r="W171" s="104">
        <v>0</v>
      </c>
      <c r="X171" s="19"/>
      <c r="Y171" s="103">
        <v>0</v>
      </c>
      <c r="Z171" s="103">
        <v>0</v>
      </c>
      <c r="AA171" s="105">
        <v>0</v>
      </c>
      <c r="AB171" s="106">
        <v>0</v>
      </c>
      <c r="AC171" s="105">
        <v>0</v>
      </c>
      <c r="AD171" s="104">
        <v>0</v>
      </c>
      <c r="AE171" s="104">
        <v>0</v>
      </c>
      <c r="AF171" s="107">
        <v>46265</v>
      </c>
    </row>
    <row r="172" spans="1:33" x14ac:dyDescent="0.25">
      <c r="A172" s="90">
        <v>1059</v>
      </c>
      <c r="B172" s="91" t="s">
        <v>159</v>
      </c>
      <c r="C172" s="29">
        <v>10060032</v>
      </c>
      <c r="D172" s="92" t="s">
        <v>444</v>
      </c>
      <c r="E172" s="93" t="s">
        <v>270</v>
      </c>
      <c r="F172" s="93" t="s">
        <v>230</v>
      </c>
      <c r="G172" s="109">
        <v>2892.5999999999995</v>
      </c>
      <c r="H172" s="109">
        <v>161675</v>
      </c>
      <c r="I172" s="95">
        <v>0</v>
      </c>
      <c r="J172" s="95">
        <v>0</v>
      </c>
      <c r="K172" s="95">
        <v>0</v>
      </c>
      <c r="L172" s="95">
        <v>0</v>
      </c>
      <c r="M172" s="96">
        <v>0</v>
      </c>
      <c r="N172" s="97">
        <v>0</v>
      </c>
      <c r="O172" s="98">
        <v>0</v>
      </c>
      <c r="P172" s="33"/>
      <c r="Q172" s="99" t="s">
        <v>1198</v>
      </c>
      <c r="R172" s="100"/>
      <c r="S172" s="101">
        <v>-9.5447657337252093E-3</v>
      </c>
      <c r="T172" s="102">
        <v>53</v>
      </c>
      <c r="U172" s="103">
        <v>0</v>
      </c>
      <c r="V172" s="103">
        <v>0</v>
      </c>
      <c r="W172" s="104">
        <v>0</v>
      </c>
      <c r="X172" s="19"/>
      <c r="Y172" s="103">
        <v>0</v>
      </c>
      <c r="Z172" s="103">
        <v>0</v>
      </c>
      <c r="AA172" s="105">
        <v>0</v>
      </c>
      <c r="AB172" s="106">
        <v>0</v>
      </c>
      <c r="AC172" s="105">
        <v>0</v>
      </c>
      <c r="AD172" s="104">
        <v>0</v>
      </c>
      <c r="AE172" s="104">
        <v>0</v>
      </c>
      <c r="AF172" s="107">
        <v>46265</v>
      </c>
    </row>
    <row r="173" spans="1:33" x14ac:dyDescent="0.25">
      <c r="A173" s="90">
        <v>1006</v>
      </c>
      <c r="B173" s="91" t="s">
        <v>1187</v>
      </c>
      <c r="C173" s="29">
        <v>10060041</v>
      </c>
      <c r="D173" s="92" t="s">
        <v>445</v>
      </c>
      <c r="E173" s="93" t="s">
        <v>275</v>
      </c>
      <c r="F173" s="93" t="s">
        <v>231</v>
      </c>
      <c r="G173" s="109">
        <v>118.6</v>
      </c>
      <c r="H173" s="109">
        <v>4847.96</v>
      </c>
      <c r="I173" s="95">
        <v>0</v>
      </c>
      <c r="J173" s="95">
        <v>0</v>
      </c>
      <c r="K173" s="95">
        <v>0</v>
      </c>
      <c r="L173" s="95">
        <v>0</v>
      </c>
      <c r="M173" s="96">
        <v>0</v>
      </c>
      <c r="N173" s="97">
        <v>0</v>
      </c>
      <c r="O173" s="98">
        <v>0</v>
      </c>
      <c r="P173" s="33"/>
      <c r="Q173" s="99" t="s">
        <v>1198</v>
      </c>
      <c r="R173" s="100"/>
      <c r="S173" s="101">
        <v>0</v>
      </c>
      <c r="T173" s="102">
        <v>0</v>
      </c>
      <c r="U173" s="103">
        <v>0</v>
      </c>
      <c r="V173" s="103">
        <v>0</v>
      </c>
      <c r="W173" s="104">
        <v>0</v>
      </c>
      <c r="X173" s="19"/>
      <c r="Y173" s="103">
        <v>0</v>
      </c>
      <c r="Z173" s="103">
        <v>0</v>
      </c>
      <c r="AA173" s="105">
        <v>0</v>
      </c>
      <c r="AB173" s="106">
        <v>0</v>
      </c>
      <c r="AC173" s="105">
        <v>0</v>
      </c>
      <c r="AD173" s="104">
        <v>0</v>
      </c>
      <c r="AE173" s="104">
        <v>0</v>
      </c>
      <c r="AF173" s="107">
        <v>46265</v>
      </c>
    </row>
    <row r="174" spans="1:33" x14ac:dyDescent="0.25">
      <c r="A174" s="90">
        <v>1006</v>
      </c>
      <c r="B174" s="91" t="s">
        <v>1187</v>
      </c>
      <c r="C174" s="29">
        <v>10060045</v>
      </c>
      <c r="D174" s="92" t="s">
        <v>446</v>
      </c>
      <c r="E174" s="93" t="s">
        <v>275</v>
      </c>
      <c r="F174" s="93" t="s">
        <v>231</v>
      </c>
      <c r="G174" s="109">
        <v>635.6</v>
      </c>
      <c r="H174" s="109">
        <v>28600.099999999995</v>
      </c>
      <c r="I174" s="95">
        <v>0</v>
      </c>
      <c r="J174" s="95">
        <v>0</v>
      </c>
      <c r="K174" s="95">
        <v>0</v>
      </c>
      <c r="L174" s="95">
        <v>0</v>
      </c>
      <c r="M174" s="96">
        <v>0</v>
      </c>
      <c r="N174" s="97">
        <v>0</v>
      </c>
      <c r="O174" s="98">
        <v>0</v>
      </c>
      <c r="P174" s="33"/>
      <c r="Q174" s="99" t="s">
        <v>1198</v>
      </c>
      <c r="R174" s="100"/>
      <c r="S174" s="101">
        <v>0</v>
      </c>
      <c r="T174" s="102">
        <v>0</v>
      </c>
      <c r="U174" s="103">
        <v>0</v>
      </c>
      <c r="V174" s="103">
        <v>0</v>
      </c>
      <c r="W174" s="104">
        <v>0</v>
      </c>
      <c r="X174" s="19"/>
      <c r="Y174" s="103">
        <v>0</v>
      </c>
      <c r="Z174" s="103">
        <v>0</v>
      </c>
      <c r="AA174" s="105">
        <v>0</v>
      </c>
      <c r="AB174" s="106">
        <v>0</v>
      </c>
      <c r="AC174" s="105">
        <v>0</v>
      </c>
      <c r="AD174" s="104">
        <v>0</v>
      </c>
      <c r="AE174" s="104">
        <v>0</v>
      </c>
      <c r="AF174" s="107">
        <v>46265</v>
      </c>
    </row>
    <row r="175" spans="1:33" x14ac:dyDescent="0.25">
      <c r="A175" s="90">
        <v>1059</v>
      </c>
      <c r="B175" s="91" t="s">
        <v>159</v>
      </c>
      <c r="C175" s="29">
        <v>10060049</v>
      </c>
      <c r="D175" s="92" t="s">
        <v>447</v>
      </c>
      <c r="E175" s="93" t="s">
        <v>270</v>
      </c>
      <c r="F175" s="93" t="s">
        <v>230</v>
      </c>
      <c r="G175" s="109">
        <v>617.59999999999991</v>
      </c>
      <c r="H175" s="109">
        <v>28353.25</v>
      </c>
      <c r="I175" s="95">
        <v>0</v>
      </c>
      <c r="J175" s="95">
        <v>0</v>
      </c>
      <c r="K175" s="95">
        <v>0</v>
      </c>
      <c r="L175" s="95">
        <v>0</v>
      </c>
      <c r="M175" s="96">
        <v>292</v>
      </c>
      <c r="N175" s="97">
        <v>0</v>
      </c>
      <c r="O175" s="98">
        <v>1</v>
      </c>
      <c r="P175" s="33"/>
      <c r="Q175" s="99" t="s">
        <v>1198</v>
      </c>
      <c r="R175" s="100"/>
      <c r="S175" s="101">
        <v>1.0272543711920351E-2</v>
      </c>
      <c r="T175" s="102">
        <v>26</v>
      </c>
      <c r="U175" s="103">
        <v>0</v>
      </c>
      <c r="V175" s="103">
        <v>0</v>
      </c>
      <c r="W175" s="104">
        <v>0</v>
      </c>
      <c r="X175" s="19"/>
      <c r="Y175" s="103">
        <v>0</v>
      </c>
      <c r="Z175" s="103">
        <v>0</v>
      </c>
      <c r="AA175" s="105">
        <v>0</v>
      </c>
      <c r="AB175" s="106">
        <v>0</v>
      </c>
      <c r="AC175" s="105">
        <v>0</v>
      </c>
      <c r="AD175" s="104">
        <v>0</v>
      </c>
      <c r="AE175" s="104">
        <v>0</v>
      </c>
      <c r="AF175" s="107">
        <v>46265</v>
      </c>
    </row>
    <row r="176" spans="1:33" x14ac:dyDescent="0.25">
      <c r="A176" s="90">
        <v>1059</v>
      </c>
      <c r="B176" s="91" t="s">
        <v>159</v>
      </c>
      <c r="C176" s="29">
        <v>10060050</v>
      </c>
      <c r="D176" s="92" t="s">
        <v>448</v>
      </c>
      <c r="E176" s="93" t="s">
        <v>270</v>
      </c>
      <c r="F176" s="93" t="s">
        <v>230</v>
      </c>
      <c r="G176" s="109">
        <v>531.4</v>
      </c>
      <c r="H176" s="109">
        <v>26082.15</v>
      </c>
      <c r="I176" s="95">
        <v>0</v>
      </c>
      <c r="J176" s="95">
        <v>0</v>
      </c>
      <c r="K176" s="95">
        <v>0</v>
      </c>
      <c r="L176" s="95">
        <v>0</v>
      </c>
      <c r="M176" s="96">
        <v>9</v>
      </c>
      <c r="N176" s="97">
        <v>0</v>
      </c>
      <c r="O176" s="98">
        <v>-1</v>
      </c>
      <c r="P176" s="33"/>
      <c r="Q176" s="99" t="s">
        <v>1198</v>
      </c>
      <c r="R176" s="100"/>
      <c r="S176" s="101">
        <v>3.7688610793239902E-4</v>
      </c>
      <c r="T176" s="102">
        <v>25</v>
      </c>
      <c r="U176" s="103">
        <v>0</v>
      </c>
      <c r="V176" s="103">
        <v>0</v>
      </c>
      <c r="W176" s="104">
        <v>0</v>
      </c>
      <c r="X176" s="19"/>
      <c r="Y176" s="103">
        <v>0</v>
      </c>
      <c r="Z176" s="103">
        <v>0</v>
      </c>
      <c r="AA176" s="105">
        <v>0</v>
      </c>
      <c r="AB176" s="106">
        <v>0</v>
      </c>
      <c r="AC176" s="105">
        <v>0</v>
      </c>
      <c r="AD176" s="104">
        <v>0</v>
      </c>
      <c r="AE176" s="104">
        <v>0</v>
      </c>
      <c r="AF176" s="107">
        <v>46265</v>
      </c>
    </row>
    <row r="177" spans="1:33" x14ac:dyDescent="0.25">
      <c r="A177" s="90">
        <v>1006</v>
      </c>
      <c r="B177" s="91" t="s">
        <v>1187</v>
      </c>
      <c r="C177" s="29">
        <v>10060051</v>
      </c>
      <c r="D177" s="92" t="s">
        <v>449</v>
      </c>
      <c r="E177" s="93" t="s">
        <v>275</v>
      </c>
      <c r="F177" s="93" t="s">
        <v>231</v>
      </c>
      <c r="G177" s="109">
        <v>335</v>
      </c>
      <c r="H177" s="109">
        <v>13466.009999999998</v>
      </c>
      <c r="I177" s="95">
        <v>0</v>
      </c>
      <c r="J177" s="95">
        <v>0</v>
      </c>
      <c r="K177" s="95">
        <v>0</v>
      </c>
      <c r="L177" s="95">
        <v>0</v>
      </c>
      <c r="M177" s="96">
        <v>0</v>
      </c>
      <c r="N177" s="97">
        <v>0</v>
      </c>
      <c r="O177" s="98">
        <v>0</v>
      </c>
      <c r="P177" s="33"/>
      <c r="Q177" s="99" t="s">
        <v>1198</v>
      </c>
      <c r="R177" s="100"/>
      <c r="S177" s="101">
        <v>0</v>
      </c>
      <c r="T177" s="102">
        <v>0</v>
      </c>
      <c r="U177" s="103">
        <v>0</v>
      </c>
      <c r="V177" s="103">
        <v>0</v>
      </c>
      <c r="W177" s="104">
        <v>0</v>
      </c>
      <c r="X177" s="19"/>
      <c r="Y177" s="103">
        <v>0</v>
      </c>
      <c r="Z177" s="103">
        <v>0</v>
      </c>
      <c r="AA177" s="105">
        <v>0</v>
      </c>
      <c r="AB177" s="106">
        <v>0</v>
      </c>
      <c r="AC177" s="105">
        <v>0</v>
      </c>
      <c r="AD177" s="104">
        <v>0</v>
      </c>
      <c r="AE177" s="104">
        <v>0</v>
      </c>
      <c r="AF177" s="107">
        <v>46265</v>
      </c>
    </row>
    <row r="178" spans="1:33" x14ac:dyDescent="0.25">
      <c r="A178" s="90">
        <v>1006</v>
      </c>
      <c r="B178" s="91" t="s">
        <v>1187</v>
      </c>
      <c r="C178" s="29">
        <v>10060052</v>
      </c>
      <c r="D178" s="92" t="s">
        <v>450</v>
      </c>
      <c r="E178" s="93" t="s">
        <v>275</v>
      </c>
      <c r="F178" s="93" t="s">
        <v>231</v>
      </c>
      <c r="G178" s="109">
        <v>497.99999999999994</v>
      </c>
      <c r="H178" s="109">
        <v>19307.93</v>
      </c>
      <c r="I178" s="95">
        <v>0</v>
      </c>
      <c r="J178" s="95">
        <v>0</v>
      </c>
      <c r="K178" s="95">
        <v>0</v>
      </c>
      <c r="L178" s="95">
        <v>0</v>
      </c>
      <c r="M178" s="96">
        <v>0</v>
      </c>
      <c r="N178" s="97">
        <v>0</v>
      </c>
      <c r="O178" s="98">
        <v>0</v>
      </c>
      <c r="P178" s="33"/>
      <c r="Q178" s="99" t="s">
        <v>1198</v>
      </c>
      <c r="R178" s="100"/>
      <c r="S178" s="101">
        <v>0</v>
      </c>
      <c r="T178" s="102">
        <v>0</v>
      </c>
      <c r="U178" s="103">
        <v>0</v>
      </c>
      <c r="V178" s="103">
        <v>0</v>
      </c>
      <c r="W178" s="104">
        <v>0</v>
      </c>
      <c r="X178" s="19"/>
      <c r="Y178" s="103">
        <v>0</v>
      </c>
      <c r="Z178" s="103">
        <v>0</v>
      </c>
      <c r="AA178" s="105">
        <v>0</v>
      </c>
      <c r="AB178" s="106">
        <v>0</v>
      </c>
      <c r="AC178" s="105">
        <v>0</v>
      </c>
      <c r="AD178" s="104">
        <v>0</v>
      </c>
      <c r="AE178" s="104">
        <v>0</v>
      </c>
      <c r="AF178" s="107">
        <v>46265</v>
      </c>
    </row>
    <row r="179" spans="1:33" x14ac:dyDescent="0.25">
      <c r="A179" s="90">
        <v>1006</v>
      </c>
      <c r="B179" s="91" t="s">
        <v>1187</v>
      </c>
      <c r="C179" s="29">
        <v>10060058</v>
      </c>
      <c r="D179" s="92" t="s">
        <v>451</v>
      </c>
      <c r="E179" s="93" t="s">
        <v>270</v>
      </c>
      <c r="F179" s="93" t="s">
        <v>230</v>
      </c>
      <c r="G179" s="109">
        <v>284.89999999999998</v>
      </c>
      <c r="H179" s="109">
        <v>11637.96</v>
      </c>
      <c r="I179" s="95">
        <v>0</v>
      </c>
      <c r="J179" s="95">
        <v>0</v>
      </c>
      <c r="K179" s="95">
        <v>0</v>
      </c>
      <c r="L179" s="95">
        <v>0</v>
      </c>
      <c r="M179" s="96">
        <v>0</v>
      </c>
      <c r="N179" s="97">
        <v>0</v>
      </c>
      <c r="O179" s="98">
        <v>0</v>
      </c>
      <c r="P179" s="33"/>
      <c r="Q179" s="99" t="s">
        <v>1198</v>
      </c>
      <c r="R179" s="100"/>
      <c r="S179" s="101">
        <v>-6.415127737163559E-2</v>
      </c>
      <c r="T179" s="102">
        <v>5</v>
      </c>
      <c r="U179" s="103">
        <v>0</v>
      </c>
      <c r="V179" s="103">
        <v>0</v>
      </c>
      <c r="W179" s="104">
        <v>0</v>
      </c>
      <c r="X179" s="19"/>
      <c r="Y179" s="103">
        <v>0</v>
      </c>
      <c r="Z179" s="103">
        <v>0</v>
      </c>
      <c r="AA179" s="105">
        <v>0</v>
      </c>
      <c r="AB179" s="106">
        <v>0</v>
      </c>
      <c r="AC179" s="105">
        <v>0</v>
      </c>
      <c r="AD179" s="104">
        <v>0</v>
      </c>
      <c r="AE179" s="104">
        <v>0</v>
      </c>
      <c r="AF179" s="107">
        <v>46265</v>
      </c>
    </row>
    <row r="180" spans="1:33" x14ac:dyDescent="0.25">
      <c r="A180" s="90">
        <v>1006</v>
      </c>
      <c r="B180" s="91" t="s">
        <v>1187</v>
      </c>
      <c r="C180" s="29">
        <v>10060061</v>
      </c>
      <c r="D180" s="92" t="s">
        <v>452</v>
      </c>
      <c r="E180" s="93" t="s">
        <v>275</v>
      </c>
      <c r="F180" s="93" t="s">
        <v>231</v>
      </c>
      <c r="G180" s="109">
        <v>55.2</v>
      </c>
      <c r="H180" s="109">
        <v>1988.6100000000001</v>
      </c>
      <c r="I180" s="95">
        <v>1989</v>
      </c>
      <c r="J180" s="95">
        <v>0</v>
      </c>
      <c r="K180" s="95">
        <v>0</v>
      </c>
      <c r="L180" s="95">
        <v>0</v>
      </c>
      <c r="M180" s="96">
        <v>0</v>
      </c>
      <c r="N180" s="97">
        <v>0</v>
      </c>
      <c r="O180" s="98">
        <v>0</v>
      </c>
      <c r="P180" s="33" t="s">
        <v>453</v>
      </c>
      <c r="Q180" s="99" t="s">
        <v>1198</v>
      </c>
      <c r="R180" s="100"/>
      <c r="S180" s="101">
        <v>0</v>
      </c>
      <c r="T180" s="102">
        <v>0</v>
      </c>
      <c r="U180" s="103">
        <v>0</v>
      </c>
      <c r="V180" s="103">
        <v>0</v>
      </c>
      <c r="W180" s="104">
        <v>0</v>
      </c>
      <c r="X180" s="19"/>
      <c r="Y180" s="103">
        <v>0</v>
      </c>
      <c r="Z180" s="103">
        <v>0</v>
      </c>
      <c r="AA180" s="105">
        <v>0</v>
      </c>
      <c r="AB180" s="106">
        <v>0</v>
      </c>
      <c r="AC180" s="105">
        <v>0</v>
      </c>
      <c r="AD180" s="104">
        <v>0</v>
      </c>
      <c r="AE180" s="104">
        <v>0</v>
      </c>
      <c r="AF180" s="107">
        <v>46265</v>
      </c>
    </row>
    <row r="181" spans="1:33" x14ac:dyDescent="0.25">
      <c r="A181" s="90">
        <v>1006</v>
      </c>
      <c r="B181" s="91" t="s">
        <v>1187</v>
      </c>
      <c r="C181" s="29">
        <v>10060062</v>
      </c>
      <c r="D181" s="92" t="s">
        <v>454</v>
      </c>
      <c r="E181" s="93" t="s">
        <v>275</v>
      </c>
      <c r="F181" s="93" t="s">
        <v>231</v>
      </c>
      <c r="G181" s="109">
        <v>254.2</v>
      </c>
      <c r="H181" s="109">
        <v>10966.68</v>
      </c>
      <c r="I181" s="95">
        <v>0</v>
      </c>
      <c r="J181" s="95">
        <v>0</v>
      </c>
      <c r="K181" s="95">
        <v>0</v>
      </c>
      <c r="L181" s="95">
        <v>0</v>
      </c>
      <c r="M181" s="96">
        <v>0</v>
      </c>
      <c r="N181" s="97">
        <v>0</v>
      </c>
      <c r="O181" s="98">
        <v>0</v>
      </c>
      <c r="P181" s="33"/>
      <c r="Q181" s="99" t="s">
        <v>1198</v>
      </c>
      <c r="R181" s="100"/>
      <c r="S181" s="101">
        <v>0</v>
      </c>
      <c r="T181" s="102">
        <v>0</v>
      </c>
      <c r="U181" s="103">
        <v>0</v>
      </c>
      <c r="V181" s="103">
        <v>0</v>
      </c>
      <c r="W181" s="104">
        <v>0</v>
      </c>
      <c r="X181" s="19"/>
      <c r="Y181" s="103">
        <v>0</v>
      </c>
      <c r="Z181" s="103">
        <v>0</v>
      </c>
      <c r="AA181" s="105">
        <v>0</v>
      </c>
      <c r="AB181" s="106">
        <v>0</v>
      </c>
      <c r="AC181" s="105">
        <v>0</v>
      </c>
      <c r="AD181" s="104">
        <v>0</v>
      </c>
      <c r="AE181" s="104">
        <v>0</v>
      </c>
      <c r="AF181" s="107">
        <v>46265</v>
      </c>
    </row>
    <row r="182" spans="1:33" x14ac:dyDescent="0.25">
      <c r="A182" s="90">
        <v>1059</v>
      </c>
      <c r="B182" s="91" t="s">
        <v>159</v>
      </c>
      <c r="C182" s="29">
        <v>10060069</v>
      </c>
      <c r="D182" s="92" t="s">
        <v>178</v>
      </c>
      <c r="E182" s="93" t="s">
        <v>270</v>
      </c>
      <c r="F182" s="93" t="s">
        <v>230</v>
      </c>
      <c r="G182" s="109">
        <v>261.89999999999998</v>
      </c>
      <c r="H182" s="109">
        <v>12783.55</v>
      </c>
      <c r="I182" s="95">
        <v>0</v>
      </c>
      <c r="J182" s="95">
        <v>2700</v>
      </c>
      <c r="K182" s="95">
        <v>0</v>
      </c>
      <c r="L182" s="95">
        <v>0</v>
      </c>
      <c r="M182" s="96">
        <v>1</v>
      </c>
      <c r="N182" s="97">
        <v>0</v>
      </c>
      <c r="O182" s="98">
        <v>0</v>
      </c>
      <c r="P182" s="33"/>
      <c r="Q182" s="99" t="s">
        <v>1198</v>
      </c>
      <c r="R182" s="100"/>
      <c r="S182" s="101">
        <v>5.241110646104351E-5</v>
      </c>
      <c r="T182" s="102">
        <v>1</v>
      </c>
      <c r="U182" s="103">
        <v>0</v>
      </c>
      <c r="V182" s="103">
        <v>0</v>
      </c>
      <c r="W182" s="104">
        <v>0</v>
      </c>
      <c r="X182" s="19"/>
      <c r="Y182" s="103">
        <v>0</v>
      </c>
      <c r="Z182" s="103">
        <v>0</v>
      </c>
      <c r="AA182" s="105">
        <v>0</v>
      </c>
      <c r="AB182" s="106">
        <v>0</v>
      </c>
      <c r="AC182" s="105">
        <v>0</v>
      </c>
      <c r="AD182" s="104">
        <v>0</v>
      </c>
      <c r="AE182" s="104">
        <v>0</v>
      </c>
      <c r="AF182" s="107">
        <v>46265</v>
      </c>
    </row>
    <row r="183" spans="1:33" x14ac:dyDescent="0.25">
      <c r="A183" s="90">
        <v>1059</v>
      </c>
      <c r="B183" s="91" t="s">
        <v>159</v>
      </c>
      <c r="C183" s="29">
        <v>10060074</v>
      </c>
      <c r="D183" s="92" t="s">
        <v>455</v>
      </c>
      <c r="E183" s="93" t="s">
        <v>270</v>
      </c>
      <c r="F183" s="93" t="s">
        <v>230</v>
      </c>
      <c r="G183" s="109">
        <v>221.7</v>
      </c>
      <c r="H183" s="109">
        <v>9772.3300000000017</v>
      </c>
      <c r="I183" s="95">
        <v>0</v>
      </c>
      <c r="J183" s="95">
        <v>0</v>
      </c>
      <c r="K183" s="95">
        <v>0</v>
      </c>
      <c r="L183" s="95">
        <v>0</v>
      </c>
      <c r="M183" s="96">
        <v>0</v>
      </c>
      <c r="N183" s="97" t="s">
        <v>331</v>
      </c>
      <c r="O183" s="98">
        <v>0</v>
      </c>
      <c r="P183" s="33" t="s">
        <v>332</v>
      </c>
      <c r="Q183" s="99" t="s">
        <v>1198</v>
      </c>
      <c r="R183" s="100"/>
      <c r="S183" s="101">
        <v>-2.5882261446349055E-2</v>
      </c>
      <c r="T183" s="102">
        <v>12</v>
      </c>
      <c r="U183" s="103">
        <v>10024</v>
      </c>
      <c r="V183" s="103">
        <v>0</v>
      </c>
      <c r="W183" s="104">
        <v>10024</v>
      </c>
      <c r="X183" s="19"/>
      <c r="Y183" s="103">
        <v>0</v>
      </c>
      <c r="Z183" s="103">
        <v>0</v>
      </c>
      <c r="AA183" s="105">
        <v>0</v>
      </c>
      <c r="AB183" s="106">
        <v>0</v>
      </c>
      <c r="AC183" s="105">
        <v>0</v>
      </c>
      <c r="AD183" s="104">
        <v>0</v>
      </c>
      <c r="AE183" s="104">
        <v>0</v>
      </c>
      <c r="AF183" s="107">
        <v>46265</v>
      </c>
    </row>
    <row r="184" spans="1:33" x14ac:dyDescent="0.25">
      <c r="A184" s="90">
        <v>1006</v>
      </c>
      <c r="B184" s="91" t="s">
        <v>1187</v>
      </c>
      <c r="C184" s="29">
        <v>10060076</v>
      </c>
      <c r="D184" s="92" t="s">
        <v>456</v>
      </c>
      <c r="E184" s="93" t="s">
        <v>270</v>
      </c>
      <c r="F184" s="93" t="s">
        <v>230</v>
      </c>
      <c r="G184" s="109">
        <v>316.39999999999998</v>
      </c>
      <c r="H184" s="109">
        <v>13307.2</v>
      </c>
      <c r="I184" s="95">
        <v>0</v>
      </c>
      <c r="J184" s="95">
        <v>0</v>
      </c>
      <c r="K184" s="95">
        <v>0</v>
      </c>
      <c r="L184" s="95">
        <v>0</v>
      </c>
      <c r="M184" s="96">
        <v>0</v>
      </c>
      <c r="N184" s="97">
        <v>0</v>
      </c>
      <c r="O184" s="98">
        <v>0</v>
      </c>
      <c r="P184" s="33"/>
      <c r="Q184" s="99" t="s">
        <v>1198</v>
      </c>
      <c r="R184" s="100"/>
      <c r="S184" s="101">
        <v>-9.9619003246362969E-2</v>
      </c>
      <c r="T184" s="102">
        <v>1</v>
      </c>
      <c r="U184" s="103">
        <v>0</v>
      </c>
      <c r="V184" s="103">
        <v>0</v>
      </c>
      <c r="W184" s="104">
        <v>0</v>
      </c>
      <c r="X184" s="19"/>
      <c r="Y184" s="103">
        <v>0</v>
      </c>
      <c r="Z184" s="103">
        <v>0</v>
      </c>
      <c r="AA184" s="105">
        <v>0</v>
      </c>
      <c r="AB184" s="106">
        <v>0</v>
      </c>
      <c r="AC184" s="105">
        <v>0</v>
      </c>
      <c r="AD184" s="104">
        <v>0</v>
      </c>
      <c r="AE184" s="104">
        <v>0</v>
      </c>
      <c r="AF184" s="107">
        <v>46265</v>
      </c>
    </row>
    <row r="185" spans="1:33" x14ac:dyDescent="0.25">
      <c r="A185" s="90">
        <v>1006</v>
      </c>
      <c r="B185" s="91" t="s">
        <v>1187</v>
      </c>
      <c r="C185" s="29">
        <v>10060077</v>
      </c>
      <c r="D185" s="92" t="s">
        <v>457</v>
      </c>
      <c r="E185" s="93" t="s">
        <v>270</v>
      </c>
      <c r="F185" s="93" t="s">
        <v>230</v>
      </c>
      <c r="G185" s="109">
        <v>1196.8</v>
      </c>
      <c r="H185" s="109">
        <v>52968.180000000008</v>
      </c>
      <c r="I185" s="95">
        <v>0</v>
      </c>
      <c r="J185" s="95">
        <v>0</v>
      </c>
      <c r="K185" s="95">
        <v>0</v>
      </c>
      <c r="L185" s="95">
        <v>0</v>
      </c>
      <c r="M185" s="96">
        <v>-611</v>
      </c>
      <c r="N185" s="97" t="s">
        <v>324</v>
      </c>
      <c r="O185" s="98">
        <v>-611</v>
      </c>
      <c r="P185" s="33" t="s">
        <v>286</v>
      </c>
      <c r="Q185" s="99" t="s">
        <v>1198</v>
      </c>
      <c r="R185" s="100"/>
      <c r="S185" s="101">
        <v>-6.0361145125243133E-2</v>
      </c>
      <c r="T185" s="102">
        <v>37</v>
      </c>
      <c r="U185" s="103">
        <v>0</v>
      </c>
      <c r="V185" s="103">
        <v>0</v>
      </c>
      <c r="W185" s="104">
        <v>0</v>
      </c>
      <c r="X185" s="19"/>
      <c r="Y185" s="103">
        <v>0</v>
      </c>
      <c r="Z185" s="103">
        <v>0</v>
      </c>
      <c r="AA185" s="105">
        <v>0</v>
      </c>
      <c r="AB185" s="106">
        <v>0</v>
      </c>
      <c r="AC185" s="105">
        <v>0</v>
      </c>
      <c r="AD185" s="104">
        <v>0</v>
      </c>
      <c r="AE185" s="104">
        <v>-611</v>
      </c>
      <c r="AF185" s="107">
        <v>46265</v>
      </c>
      <c r="AG185" s="108"/>
    </row>
    <row r="186" spans="1:33" x14ac:dyDescent="0.25">
      <c r="A186" s="90">
        <v>1006</v>
      </c>
      <c r="B186" s="91" t="s">
        <v>1187</v>
      </c>
      <c r="C186" s="29">
        <v>10060081</v>
      </c>
      <c r="D186" s="92" t="s">
        <v>458</v>
      </c>
      <c r="E186" s="93" t="s">
        <v>275</v>
      </c>
      <c r="F186" s="93" t="s">
        <v>231</v>
      </c>
      <c r="G186" s="109">
        <v>905.2</v>
      </c>
      <c r="H186" s="109">
        <v>37372.080000000002</v>
      </c>
      <c r="I186" s="95">
        <v>0</v>
      </c>
      <c r="J186" s="95">
        <v>0</v>
      </c>
      <c r="K186" s="95">
        <v>0</v>
      </c>
      <c r="L186" s="95">
        <v>0</v>
      </c>
      <c r="M186" s="96">
        <v>0</v>
      </c>
      <c r="N186" s="97">
        <v>0</v>
      </c>
      <c r="O186" s="98">
        <v>0</v>
      </c>
      <c r="P186" s="33"/>
      <c r="Q186" s="99" t="s">
        <v>1198</v>
      </c>
      <c r="R186" s="100"/>
      <c r="S186" s="101">
        <v>0</v>
      </c>
      <c r="T186" s="102">
        <v>0</v>
      </c>
      <c r="U186" s="103">
        <v>0</v>
      </c>
      <c r="V186" s="103">
        <v>0</v>
      </c>
      <c r="W186" s="104">
        <v>0</v>
      </c>
      <c r="X186" s="19"/>
      <c r="Y186" s="103">
        <v>0</v>
      </c>
      <c r="Z186" s="103">
        <v>0</v>
      </c>
      <c r="AA186" s="105">
        <v>0</v>
      </c>
      <c r="AB186" s="106">
        <v>0</v>
      </c>
      <c r="AC186" s="105">
        <v>0</v>
      </c>
      <c r="AD186" s="104">
        <v>0</v>
      </c>
      <c r="AE186" s="104">
        <v>0</v>
      </c>
      <c r="AF186" s="107">
        <v>46265</v>
      </c>
    </row>
    <row r="187" spans="1:33" x14ac:dyDescent="0.25">
      <c r="A187" s="90">
        <v>1006</v>
      </c>
      <c r="B187" s="91" t="s">
        <v>1187</v>
      </c>
      <c r="C187" s="29">
        <v>10060083</v>
      </c>
      <c r="D187" s="92" t="s">
        <v>459</v>
      </c>
      <c r="E187" s="93" t="s">
        <v>275</v>
      </c>
      <c r="F187" s="93" t="s">
        <v>231</v>
      </c>
      <c r="G187" s="109">
        <v>1750.2</v>
      </c>
      <c r="H187" s="109">
        <v>69935.77</v>
      </c>
      <c r="I187" s="95">
        <v>0</v>
      </c>
      <c r="J187" s="95">
        <v>0</v>
      </c>
      <c r="K187" s="95">
        <v>0</v>
      </c>
      <c r="L187" s="95">
        <v>0</v>
      </c>
      <c r="M187" s="96">
        <v>0</v>
      </c>
      <c r="N187" s="97">
        <v>0</v>
      </c>
      <c r="O187" s="98">
        <v>0</v>
      </c>
      <c r="P187" s="33"/>
      <c r="Q187" s="99" t="s">
        <v>1198</v>
      </c>
      <c r="R187" s="100"/>
      <c r="S187" s="101">
        <v>0</v>
      </c>
      <c r="T187" s="102">
        <v>0</v>
      </c>
      <c r="U187" s="103">
        <v>0</v>
      </c>
      <c r="V187" s="103">
        <v>0</v>
      </c>
      <c r="W187" s="104">
        <v>0</v>
      </c>
      <c r="X187" s="19"/>
      <c r="Y187" s="103">
        <v>0</v>
      </c>
      <c r="Z187" s="103">
        <v>0</v>
      </c>
      <c r="AA187" s="105">
        <v>0</v>
      </c>
      <c r="AB187" s="106">
        <v>0</v>
      </c>
      <c r="AC187" s="105">
        <v>0</v>
      </c>
      <c r="AD187" s="104">
        <v>0</v>
      </c>
      <c r="AE187" s="104">
        <v>0</v>
      </c>
      <c r="AF187" s="107">
        <v>46265</v>
      </c>
      <c r="AG187" s="108"/>
    </row>
    <row r="188" spans="1:33" x14ac:dyDescent="0.25">
      <c r="A188" s="90">
        <v>1006</v>
      </c>
      <c r="B188" s="91" t="s">
        <v>1187</v>
      </c>
      <c r="C188" s="29">
        <v>10060089</v>
      </c>
      <c r="D188" s="92" t="s">
        <v>460</v>
      </c>
      <c r="E188" s="93" t="s">
        <v>275</v>
      </c>
      <c r="F188" s="93" t="s">
        <v>231</v>
      </c>
      <c r="G188" s="109">
        <v>123.4</v>
      </c>
      <c r="H188" s="109">
        <v>4557.87</v>
      </c>
      <c r="I188" s="95">
        <v>0</v>
      </c>
      <c r="J188" s="95">
        <v>0</v>
      </c>
      <c r="K188" s="95">
        <v>0</v>
      </c>
      <c r="L188" s="95">
        <v>0</v>
      </c>
      <c r="M188" s="96">
        <v>0</v>
      </c>
      <c r="N188" s="97">
        <v>0</v>
      </c>
      <c r="O188" s="98">
        <v>0</v>
      </c>
      <c r="P188" s="33"/>
      <c r="Q188" s="99" t="s">
        <v>1198</v>
      </c>
      <c r="R188" s="100"/>
      <c r="S188" s="101">
        <v>0</v>
      </c>
      <c r="T188" s="102">
        <v>0</v>
      </c>
      <c r="U188" s="103">
        <v>0</v>
      </c>
      <c r="V188" s="103">
        <v>0</v>
      </c>
      <c r="W188" s="104">
        <v>0</v>
      </c>
      <c r="X188" s="19"/>
      <c r="Y188" s="103">
        <v>0</v>
      </c>
      <c r="Z188" s="103">
        <v>0</v>
      </c>
      <c r="AA188" s="105">
        <v>0</v>
      </c>
      <c r="AB188" s="106">
        <v>0</v>
      </c>
      <c r="AC188" s="105">
        <v>0</v>
      </c>
      <c r="AD188" s="104">
        <v>0</v>
      </c>
      <c r="AE188" s="104">
        <v>0</v>
      </c>
      <c r="AF188" s="107">
        <v>46265</v>
      </c>
    </row>
    <row r="189" spans="1:33" x14ac:dyDescent="0.25">
      <c r="A189" s="90">
        <v>1059</v>
      </c>
      <c r="B189" s="91" t="s">
        <v>159</v>
      </c>
      <c r="C189" s="29">
        <v>10060090</v>
      </c>
      <c r="D189" s="92" t="s">
        <v>179</v>
      </c>
      <c r="E189" s="93" t="s">
        <v>270</v>
      </c>
      <c r="F189" s="93" t="s">
        <v>230</v>
      </c>
      <c r="G189" s="109">
        <v>518.5</v>
      </c>
      <c r="H189" s="109">
        <v>24227.95</v>
      </c>
      <c r="I189" s="95">
        <v>0</v>
      </c>
      <c r="J189" s="95">
        <v>2700</v>
      </c>
      <c r="K189" s="95">
        <v>0</v>
      </c>
      <c r="L189" s="95">
        <v>0</v>
      </c>
      <c r="M189" s="96">
        <v>0</v>
      </c>
      <c r="N189" s="97">
        <v>0</v>
      </c>
      <c r="O189" s="98">
        <v>0</v>
      </c>
      <c r="P189" s="33"/>
      <c r="Q189" s="99" t="s">
        <v>1198</v>
      </c>
      <c r="R189" s="100"/>
      <c r="S189" s="101">
        <v>0</v>
      </c>
      <c r="T189" s="102">
        <v>3</v>
      </c>
      <c r="U189" s="103">
        <v>0</v>
      </c>
      <c r="V189" s="103">
        <v>0</v>
      </c>
      <c r="W189" s="104">
        <v>0</v>
      </c>
      <c r="X189" s="19"/>
      <c r="Y189" s="103">
        <v>0</v>
      </c>
      <c r="Z189" s="103">
        <v>0</v>
      </c>
      <c r="AA189" s="105">
        <v>0</v>
      </c>
      <c r="AB189" s="106">
        <v>0</v>
      </c>
      <c r="AC189" s="105">
        <v>0</v>
      </c>
      <c r="AD189" s="104">
        <v>0</v>
      </c>
      <c r="AE189" s="104">
        <v>0</v>
      </c>
      <c r="AF189" s="107">
        <v>46265</v>
      </c>
    </row>
    <row r="190" spans="1:33" x14ac:dyDescent="0.25">
      <c r="A190" s="90">
        <v>1006</v>
      </c>
      <c r="B190" s="91" t="s">
        <v>1187</v>
      </c>
      <c r="C190" s="29">
        <v>10060096</v>
      </c>
      <c r="D190" s="92" t="s">
        <v>461</v>
      </c>
      <c r="E190" s="93" t="s">
        <v>275</v>
      </c>
      <c r="F190" s="93" t="s">
        <v>231</v>
      </c>
      <c r="G190" s="109">
        <v>350.7</v>
      </c>
      <c r="H190" s="109">
        <v>13325.72</v>
      </c>
      <c r="I190" s="95">
        <v>0</v>
      </c>
      <c r="J190" s="95">
        <v>0</v>
      </c>
      <c r="K190" s="95">
        <v>0</v>
      </c>
      <c r="L190" s="95">
        <v>0</v>
      </c>
      <c r="M190" s="96">
        <v>0</v>
      </c>
      <c r="N190" s="97">
        <v>0</v>
      </c>
      <c r="O190" s="98">
        <v>0</v>
      </c>
      <c r="P190" s="33"/>
      <c r="Q190" s="99" t="s">
        <v>1198</v>
      </c>
      <c r="R190" s="100"/>
      <c r="S190" s="101">
        <v>0</v>
      </c>
      <c r="T190" s="102">
        <v>0</v>
      </c>
      <c r="U190" s="103">
        <v>0</v>
      </c>
      <c r="V190" s="103">
        <v>0</v>
      </c>
      <c r="W190" s="104">
        <v>0</v>
      </c>
      <c r="X190" s="19"/>
      <c r="Y190" s="103">
        <v>0</v>
      </c>
      <c r="Z190" s="103">
        <v>0</v>
      </c>
      <c r="AA190" s="105">
        <v>0</v>
      </c>
      <c r="AB190" s="106">
        <v>0</v>
      </c>
      <c r="AC190" s="105">
        <v>0</v>
      </c>
      <c r="AD190" s="104">
        <v>0</v>
      </c>
      <c r="AE190" s="104">
        <v>0</v>
      </c>
      <c r="AF190" s="107">
        <v>46265</v>
      </c>
    </row>
    <row r="191" spans="1:33" x14ac:dyDescent="0.25">
      <c r="A191" s="90">
        <v>1006</v>
      </c>
      <c r="B191" s="91" t="s">
        <v>1187</v>
      </c>
      <c r="C191" s="29">
        <v>10060097</v>
      </c>
      <c r="D191" s="92" t="s">
        <v>462</v>
      </c>
      <c r="E191" s="93" t="s">
        <v>275</v>
      </c>
      <c r="F191" s="93" t="s">
        <v>231</v>
      </c>
      <c r="G191" s="109">
        <v>795.8</v>
      </c>
      <c r="H191" s="109">
        <v>32453.350000000002</v>
      </c>
      <c r="I191" s="95">
        <v>0</v>
      </c>
      <c r="J191" s="95">
        <v>0</v>
      </c>
      <c r="K191" s="95">
        <v>0</v>
      </c>
      <c r="L191" s="95">
        <v>0</v>
      </c>
      <c r="M191" s="96">
        <v>0</v>
      </c>
      <c r="N191" s="97">
        <v>0</v>
      </c>
      <c r="O191" s="98">
        <v>0</v>
      </c>
      <c r="P191" s="33"/>
      <c r="Q191" s="99" t="s">
        <v>1198</v>
      </c>
      <c r="R191" s="100"/>
      <c r="S191" s="101">
        <v>0</v>
      </c>
      <c r="T191" s="102">
        <v>0</v>
      </c>
      <c r="U191" s="103">
        <v>0</v>
      </c>
      <c r="V191" s="103">
        <v>0</v>
      </c>
      <c r="W191" s="104">
        <v>0</v>
      </c>
      <c r="X191" s="19"/>
      <c r="Y191" s="103">
        <v>0</v>
      </c>
      <c r="Z191" s="103">
        <v>0</v>
      </c>
      <c r="AA191" s="105">
        <v>0</v>
      </c>
      <c r="AB191" s="106">
        <v>0</v>
      </c>
      <c r="AC191" s="105">
        <v>0</v>
      </c>
      <c r="AD191" s="104">
        <v>0</v>
      </c>
      <c r="AE191" s="104">
        <v>0</v>
      </c>
      <c r="AF191" s="107">
        <v>46265</v>
      </c>
    </row>
    <row r="192" spans="1:33" x14ac:dyDescent="0.25">
      <c r="A192" s="90">
        <v>1006</v>
      </c>
      <c r="B192" s="91" t="s">
        <v>1187</v>
      </c>
      <c r="C192" s="29">
        <v>10060098</v>
      </c>
      <c r="D192" s="92" t="s">
        <v>463</v>
      </c>
      <c r="E192" s="93" t="s">
        <v>270</v>
      </c>
      <c r="F192" s="93" t="s">
        <v>230</v>
      </c>
      <c r="G192" s="109">
        <v>1530.0000000000007</v>
      </c>
      <c r="H192" s="109">
        <v>70110.010000000024</v>
      </c>
      <c r="I192" s="95">
        <v>0</v>
      </c>
      <c r="J192" s="95">
        <v>0</v>
      </c>
      <c r="K192" s="95">
        <v>0</v>
      </c>
      <c r="L192" s="95">
        <v>0</v>
      </c>
      <c r="M192" s="96">
        <v>0</v>
      </c>
      <c r="N192" s="97">
        <v>0</v>
      </c>
      <c r="O192" s="98">
        <v>0</v>
      </c>
      <c r="P192" s="33"/>
      <c r="Q192" s="99" t="s">
        <v>1198</v>
      </c>
      <c r="R192" s="100"/>
      <c r="S192" s="101">
        <v>-1.0952359014068975E-2</v>
      </c>
      <c r="T192" s="102">
        <v>19</v>
      </c>
      <c r="U192" s="103">
        <v>0</v>
      </c>
      <c r="V192" s="103">
        <v>0</v>
      </c>
      <c r="W192" s="104">
        <v>0</v>
      </c>
      <c r="X192" s="19"/>
      <c r="Y192" s="103">
        <v>0</v>
      </c>
      <c r="Z192" s="103">
        <v>0</v>
      </c>
      <c r="AA192" s="105">
        <v>0</v>
      </c>
      <c r="AB192" s="106">
        <v>0</v>
      </c>
      <c r="AC192" s="105">
        <v>0</v>
      </c>
      <c r="AD192" s="104">
        <v>0</v>
      </c>
      <c r="AE192" s="104">
        <v>0</v>
      </c>
      <c r="AF192" s="107">
        <v>46265</v>
      </c>
    </row>
    <row r="193" spans="1:32" x14ac:dyDescent="0.25">
      <c r="A193" s="90">
        <v>1006</v>
      </c>
      <c r="B193" s="91" t="s">
        <v>1187</v>
      </c>
      <c r="C193" s="29">
        <v>10060104</v>
      </c>
      <c r="D193" s="92" t="s">
        <v>464</v>
      </c>
      <c r="E193" s="93" t="s">
        <v>275</v>
      </c>
      <c r="F193" s="93" t="s">
        <v>231</v>
      </c>
      <c r="G193" s="109">
        <v>1456.5000000000002</v>
      </c>
      <c r="H193" s="109">
        <v>57095.6</v>
      </c>
      <c r="I193" s="95">
        <v>0</v>
      </c>
      <c r="J193" s="95">
        <v>0</v>
      </c>
      <c r="K193" s="95">
        <v>0</v>
      </c>
      <c r="L193" s="95">
        <v>0</v>
      </c>
      <c r="M193" s="96">
        <v>0</v>
      </c>
      <c r="N193" s="97">
        <v>0</v>
      </c>
      <c r="O193" s="98">
        <v>0</v>
      </c>
      <c r="P193" s="33"/>
      <c r="Q193" s="99" t="s">
        <v>1198</v>
      </c>
      <c r="R193" s="100"/>
      <c r="S193" s="101">
        <v>0</v>
      </c>
      <c r="T193" s="102">
        <v>0</v>
      </c>
      <c r="U193" s="103">
        <v>0</v>
      </c>
      <c r="V193" s="103">
        <v>0</v>
      </c>
      <c r="W193" s="104">
        <v>0</v>
      </c>
      <c r="X193" s="19"/>
      <c r="Y193" s="103">
        <v>0</v>
      </c>
      <c r="Z193" s="103">
        <v>0</v>
      </c>
      <c r="AA193" s="105">
        <v>0</v>
      </c>
      <c r="AB193" s="106">
        <v>0</v>
      </c>
      <c r="AC193" s="105">
        <v>0</v>
      </c>
      <c r="AD193" s="104">
        <v>0</v>
      </c>
      <c r="AE193" s="104">
        <v>0</v>
      </c>
      <c r="AF193" s="107">
        <v>46265</v>
      </c>
    </row>
    <row r="194" spans="1:32" x14ac:dyDescent="0.25">
      <c r="A194" s="90">
        <v>1006</v>
      </c>
      <c r="B194" s="91" t="s">
        <v>1187</v>
      </c>
      <c r="C194" s="29">
        <v>10060106</v>
      </c>
      <c r="D194" s="92" t="s">
        <v>465</v>
      </c>
      <c r="E194" s="93" t="s">
        <v>270</v>
      </c>
      <c r="F194" s="93" t="s">
        <v>230</v>
      </c>
      <c r="G194" s="109">
        <v>822.4000000000002</v>
      </c>
      <c r="H194" s="109">
        <v>41765.32</v>
      </c>
      <c r="I194" s="95">
        <v>0</v>
      </c>
      <c r="J194" s="95">
        <v>0</v>
      </c>
      <c r="K194" s="95">
        <v>0</v>
      </c>
      <c r="L194" s="95">
        <v>0</v>
      </c>
      <c r="M194" s="96">
        <v>991</v>
      </c>
      <c r="N194" s="97">
        <v>0</v>
      </c>
      <c r="O194" s="98">
        <v>1</v>
      </c>
      <c r="P194" s="33"/>
      <c r="Q194" s="99" t="s">
        <v>1198</v>
      </c>
      <c r="R194" s="100"/>
      <c r="S194" s="101">
        <v>2.3694778347202957E-2</v>
      </c>
      <c r="T194" s="102">
        <v>12</v>
      </c>
      <c r="U194" s="103">
        <v>0</v>
      </c>
      <c r="V194" s="103">
        <v>0</v>
      </c>
      <c r="W194" s="104">
        <v>0</v>
      </c>
      <c r="X194" s="19"/>
      <c r="Y194" s="103">
        <v>0</v>
      </c>
      <c r="Z194" s="103">
        <v>0</v>
      </c>
      <c r="AA194" s="105">
        <v>0</v>
      </c>
      <c r="AB194" s="106">
        <v>0</v>
      </c>
      <c r="AC194" s="105">
        <v>0</v>
      </c>
      <c r="AD194" s="104">
        <v>0</v>
      </c>
      <c r="AE194" s="104">
        <v>0</v>
      </c>
      <c r="AF194" s="107">
        <v>46265</v>
      </c>
    </row>
    <row r="195" spans="1:32" x14ac:dyDescent="0.25">
      <c r="A195" s="90">
        <v>1006</v>
      </c>
      <c r="B195" s="91" t="s">
        <v>1187</v>
      </c>
      <c r="C195" s="29">
        <v>10060107</v>
      </c>
      <c r="D195" s="92" t="s">
        <v>466</v>
      </c>
      <c r="E195" s="93" t="s">
        <v>275</v>
      </c>
      <c r="F195" s="93" t="s">
        <v>231</v>
      </c>
      <c r="G195" s="109">
        <v>788.3</v>
      </c>
      <c r="H195" s="109">
        <v>32245.109999999997</v>
      </c>
      <c r="I195" s="95">
        <v>0</v>
      </c>
      <c r="J195" s="95">
        <v>0</v>
      </c>
      <c r="K195" s="95">
        <v>0</v>
      </c>
      <c r="L195" s="95">
        <v>0</v>
      </c>
      <c r="M195" s="96">
        <v>0</v>
      </c>
      <c r="N195" s="97">
        <v>0</v>
      </c>
      <c r="O195" s="98">
        <v>0</v>
      </c>
      <c r="P195" s="33"/>
      <c r="Q195" s="99" t="s">
        <v>1198</v>
      </c>
      <c r="R195" s="100"/>
      <c r="S195" s="101">
        <v>0</v>
      </c>
      <c r="T195" s="102">
        <v>0</v>
      </c>
      <c r="U195" s="103">
        <v>0</v>
      </c>
      <c r="V195" s="103">
        <v>0</v>
      </c>
      <c r="W195" s="104">
        <v>0</v>
      </c>
      <c r="X195" s="19"/>
      <c r="Y195" s="103">
        <v>0</v>
      </c>
      <c r="Z195" s="103">
        <v>0</v>
      </c>
      <c r="AA195" s="105">
        <v>0</v>
      </c>
      <c r="AB195" s="106">
        <v>0</v>
      </c>
      <c r="AC195" s="105">
        <v>0</v>
      </c>
      <c r="AD195" s="104">
        <v>0</v>
      </c>
      <c r="AE195" s="104">
        <v>0</v>
      </c>
      <c r="AF195" s="107">
        <v>46265</v>
      </c>
    </row>
    <row r="196" spans="1:32" x14ac:dyDescent="0.25">
      <c r="A196" s="90">
        <v>1006</v>
      </c>
      <c r="B196" s="91" t="s">
        <v>1187</v>
      </c>
      <c r="C196" s="29">
        <v>10060110</v>
      </c>
      <c r="D196" s="92" t="s">
        <v>467</v>
      </c>
      <c r="E196" s="93" t="s">
        <v>270</v>
      </c>
      <c r="F196" s="93" t="s">
        <v>230</v>
      </c>
      <c r="G196" s="109">
        <v>341.6</v>
      </c>
      <c r="H196" s="109">
        <v>14645.250000000002</v>
      </c>
      <c r="I196" s="95">
        <v>0</v>
      </c>
      <c r="J196" s="95">
        <v>0</v>
      </c>
      <c r="K196" s="95">
        <v>500</v>
      </c>
      <c r="L196" s="95">
        <v>0</v>
      </c>
      <c r="M196" s="96">
        <v>0</v>
      </c>
      <c r="N196" s="97">
        <v>0</v>
      </c>
      <c r="O196" s="98">
        <v>0</v>
      </c>
      <c r="P196" s="33"/>
      <c r="Q196" s="99" t="s">
        <v>1198</v>
      </c>
      <c r="R196" s="100"/>
      <c r="S196" s="101">
        <v>-4.5973950598314321E-3</v>
      </c>
      <c r="T196" s="102">
        <v>7</v>
      </c>
      <c r="U196" s="103">
        <v>0</v>
      </c>
      <c r="V196" s="103">
        <v>0</v>
      </c>
      <c r="W196" s="104">
        <v>0</v>
      </c>
      <c r="X196" s="19"/>
      <c r="Y196" s="103">
        <v>500</v>
      </c>
      <c r="Z196" s="103">
        <v>0</v>
      </c>
      <c r="AA196" s="105">
        <v>0</v>
      </c>
      <c r="AB196" s="106">
        <v>500</v>
      </c>
      <c r="AC196" s="105">
        <v>500</v>
      </c>
      <c r="AD196" s="104">
        <v>0</v>
      </c>
      <c r="AE196" s="104">
        <v>0</v>
      </c>
      <c r="AF196" s="107">
        <v>46265</v>
      </c>
    </row>
    <row r="197" spans="1:32" x14ac:dyDescent="0.25">
      <c r="A197" s="90">
        <v>1006</v>
      </c>
      <c r="B197" s="91" t="s">
        <v>1187</v>
      </c>
      <c r="C197" s="29">
        <v>10060111</v>
      </c>
      <c r="D197" s="92" t="s">
        <v>468</v>
      </c>
      <c r="E197" s="93" t="s">
        <v>270</v>
      </c>
      <c r="F197" s="93" t="s">
        <v>230</v>
      </c>
      <c r="G197" s="109">
        <v>429.4</v>
      </c>
      <c r="H197" s="109">
        <v>18582.380000000005</v>
      </c>
      <c r="I197" s="95">
        <v>0</v>
      </c>
      <c r="J197" s="95">
        <v>0</v>
      </c>
      <c r="K197" s="95">
        <v>0</v>
      </c>
      <c r="L197" s="95">
        <v>0</v>
      </c>
      <c r="M197" s="96">
        <v>0</v>
      </c>
      <c r="N197" s="97" t="s">
        <v>324</v>
      </c>
      <c r="O197" s="98">
        <v>0</v>
      </c>
      <c r="P197" s="33" t="s">
        <v>286</v>
      </c>
      <c r="Q197" s="99" t="s">
        <v>1198</v>
      </c>
      <c r="R197" s="100"/>
      <c r="S197" s="101">
        <v>-0.24929799089244728</v>
      </c>
      <c r="T197" s="102">
        <v>3</v>
      </c>
      <c r="U197" s="103">
        <v>0</v>
      </c>
      <c r="V197" s="103">
        <v>0</v>
      </c>
      <c r="W197" s="104">
        <v>0</v>
      </c>
      <c r="X197" s="19"/>
      <c r="Y197" s="103">
        <v>0</v>
      </c>
      <c r="Z197" s="103">
        <v>0</v>
      </c>
      <c r="AA197" s="105">
        <v>0</v>
      </c>
      <c r="AB197" s="106">
        <v>0</v>
      </c>
      <c r="AC197" s="105">
        <v>0</v>
      </c>
      <c r="AD197" s="104">
        <v>0</v>
      </c>
      <c r="AE197" s="104">
        <v>0</v>
      </c>
      <c r="AF197" s="107">
        <v>46265</v>
      </c>
    </row>
    <row r="198" spans="1:32" x14ac:dyDescent="0.25">
      <c r="A198" s="90">
        <v>1006</v>
      </c>
      <c r="B198" s="91" t="s">
        <v>1187</v>
      </c>
      <c r="C198" s="29">
        <v>10060113</v>
      </c>
      <c r="D198" s="92" t="s">
        <v>469</v>
      </c>
      <c r="E198" s="93" t="s">
        <v>275</v>
      </c>
      <c r="F198" s="93" t="s">
        <v>231</v>
      </c>
      <c r="G198" s="109">
        <v>565.29999999999995</v>
      </c>
      <c r="H198" s="109">
        <v>23438.559999999998</v>
      </c>
      <c r="I198" s="95">
        <v>0</v>
      </c>
      <c r="J198" s="95">
        <v>0</v>
      </c>
      <c r="K198" s="95">
        <v>0</v>
      </c>
      <c r="L198" s="95">
        <v>0</v>
      </c>
      <c r="M198" s="96">
        <v>0</v>
      </c>
      <c r="N198" s="97">
        <v>0</v>
      </c>
      <c r="O198" s="98">
        <v>0</v>
      </c>
      <c r="P198" s="33"/>
      <c r="Q198" s="99" t="s">
        <v>1198</v>
      </c>
      <c r="R198" s="100"/>
      <c r="S198" s="101">
        <v>0</v>
      </c>
      <c r="T198" s="102">
        <v>0</v>
      </c>
      <c r="U198" s="103">
        <v>0</v>
      </c>
      <c r="V198" s="103">
        <v>0</v>
      </c>
      <c r="W198" s="104">
        <v>0</v>
      </c>
      <c r="X198" s="19"/>
      <c r="Y198" s="103">
        <v>0</v>
      </c>
      <c r="Z198" s="103">
        <v>0</v>
      </c>
      <c r="AA198" s="105">
        <v>0</v>
      </c>
      <c r="AB198" s="106">
        <v>0</v>
      </c>
      <c r="AC198" s="105">
        <v>0</v>
      </c>
      <c r="AD198" s="104">
        <v>0</v>
      </c>
      <c r="AE198" s="104">
        <v>0</v>
      </c>
      <c r="AF198" s="107">
        <v>46265</v>
      </c>
    </row>
    <row r="199" spans="1:32" x14ac:dyDescent="0.25">
      <c r="A199" s="90">
        <v>1006</v>
      </c>
      <c r="B199" s="91" t="s">
        <v>1187</v>
      </c>
      <c r="C199" s="29">
        <v>10060114</v>
      </c>
      <c r="D199" s="92" t="s">
        <v>470</v>
      </c>
      <c r="E199" s="93" t="s">
        <v>270</v>
      </c>
      <c r="F199" s="93" t="s">
        <v>230</v>
      </c>
      <c r="G199" s="109">
        <v>100.10000000000001</v>
      </c>
      <c r="H199" s="109">
        <v>4686.1399999999994</v>
      </c>
      <c r="I199" s="95">
        <v>0</v>
      </c>
      <c r="J199" s="95">
        <v>0</v>
      </c>
      <c r="K199" s="95">
        <v>0</v>
      </c>
      <c r="L199" s="95">
        <v>0</v>
      </c>
      <c r="M199" s="96">
        <v>0</v>
      </c>
      <c r="N199" s="97">
        <v>0</v>
      </c>
      <c r="O199" s="98">
        <v>0</v>
      </c>
      <c r="P199" s="33"/>
      <c r="Q199" s="99" t="s">
        <v>1198</v>
      </c>
      <c r="R199" s="100"/>
      <c r="S199" s="101">
        <v>-5.0747523548165724E-2</v>
      </c>
      <c r="T199" s="102">
        <v>1</v>
      </c>
      <c r="U199" s="103">
        <v>0</v>
      </c>
      <c r="V199" s="103">
        <v>0</v>
      </c>
      <c r="W199" s="104">
        <v>0</v>
      </c>
      <c r="X199" s="19"/>
      <c r="Y199" s="103">
        <v>0</v>
      </c>
      <c r="Z199" s="103">
        <v>0</v>
      </c>
      <c r="AA199" s="105">
        <v>0</v>
      </c>
      <c r="AB199" s="106">
        <v>0</v>
      </c>
      <c r="AC199" s="105">
        <v>0</v>
      </c>
      <c r="AD199" s="104">
        <v>0</v>
      </c>
      <c r="AE199" s="104">
        <v>0</v>
      </c>
      <c r="AF199" s="107">
        <v>46265</v>
      </c>
    </row>
    <row r="200" spans="1:32" x14ac:dyDescent="0.25">
      <c r="A200" s="90">
        <v>1006</v>
      </c>
      <c r="B200" s="91" t="s">
        <v>1187</v>
      </c>
      <c r="C200" s="29">
        <v>10060115</v>
      </c>
      <c r="D200" s="92" t="s">
        <v>471</v>
      </c>
      <c r="E200" s="93" t="s">
        <v>270</v>
      </c>
      <c r="F200" s="93" t="s">
        <v>230</v>
      </c>
      <c r="G200" s="109">
        <v>129.19999999999999</v>
      </c>
      <c r="H200" s="109">
        <v>6446.6899999999987</v>
      </c>
      <c r="I200" s="95">
        <v>0</v>
      </c>
      <c r="J200" s="95">
        <v>0</v>
      </c>
      <c r="K200" s="95">
        <v>0</v>
      </c>
      <c r="L200" s="95">
        <v>0</v>
      </c>
      <c r="M200" s="96">
        <v>0</v>
      </c>
      <c r="N200" s="97" t="s">
        <v>324</v>
      </c>
      <c r="O200" s="98">
        <v>0</v>
      </c>
      <c r="P200" s="33" t="s">
        <v>286</v>
      </c>
      <c r="Q200" s="99" t="s">
        <v>1198</v>
      </c>
      <c r="R200" s="100"/>
      <c r="S200" s="101">
        <v>-0.22029909922766583</v>
      </c>
      <c r="T200" s="102">
        <v>3</v>
      </c>
      <c r="U200" s="103">
        <v>0</v>
      </c>
      <c r="V200" s="103">
        <v>0</v>
      </c>
      <c r="W200" s="104">
        <v>0</v>
      </c>
      <c r="X200" s="19"/>
      <c r="Y200" s="103">
        <v>500</v>
      </c>
      <c r="Z200" s="103">
        <v>0</v>
      </c>
      <c r="AA200" s="105">
        <v>0</v>
      </c>
      <c r="AB200" s="106">
        <v>500</v>
      </c>
      <c r="AC200" s="105">
        <v>0</v>
      </c>
      <c r="AD200" s="104">
        <v>-500</v>
      </c>
      <c r="AE200" s="104">
        <v>-500</v>
      </c>
      <c r="AF200" s="107">
        <v>46265</v>
      </c>
    </row>
    <row r="201" spans="1:32" x14ac:dyDescent="0.25">
      <c r="A201" s="90">
        <v>1006</v>
      </c>
      <c r="B201" s="91" t="s">
        <v>1187</v>
      </c>
      <c r="C201" s="29">
        <v>10060116</v>
      </c>
      <c r="D201" s="92" t="s">
        <v>472</v>
      </c>
      <c r="E201" s="93" t="s">
        <v>270</v>
      </c>
      <c r="F201" s="93" t="s">
        <v>230</v>
      </c>
      <c r="G201" s="109">
        <v>114.49999999999999</v>
      </c>
      <c r="H201" s="109">
        <v>4335.04</v>
      </c>
      <c r="I201" s="95">
        <v>0</v>
      </c>
      <c r="J201" s="95">
        <v>0</v>
      </c>
      <c r="K201" s="95">
        <v>0</v>
      </c>
      <c r="L201" s="95">
        <v>0</v>
      </c>
      <c r="M201" s="96">
        <v>0</v>
      </c>
      <c r="N201" s="97">
        <v>0</v>
      </c>
      <c r="O201" s="98">
        <v>0</v>
      </c>
      <c r="P201" s="33"/>
      <c r="Q201" s="99" t="s">
        <v>1198</v>
      </c>
      <c r="R201" s="100"/>
      <c r="S201" s="101">
        <v>-4.0066527644497058E-2</v>
      </c>
      <c r="T201" s="102">
        <v>3</v>
      </c>
      <c r="U201" s="103">
        <v>0</v>
      </c>
      <c r="V201" s="103">
        <v>0</v>
      </c>
      <c r="W201" s="104">
        <v>0</v>
      </c>
      <c r="X201" s="19"/>
      <c r="Y201" s="103">
        <v>0</v>
      </c>
      <c r="Z201" s="103">
        <v>0</v>
      </c>
      <c r="AA201" s="105">
        <v>0</v>
      </c>
      <c r="AB201" s="106">
        <v>0</v>
      </c>
      <c r="AC201" s="105">
        <v>0</v>
      </c>
      <c r="AD201" s="104">
        <v>0</v>
      </c>
      <c r="AE201" s="104">
        <v>0</v>
      </c>
      <c r="AF201" s="107">
        <v>46265</v>
      </c>
    </row>
    <row r="202" spans="1:32" x14ac:dyDescent="0.25">
      <c r="A202" s="90">
        <v>1006</v>
      </c>
      <c r="B202" s="91" t="s">
        <v>1187</v>
      </c>
      <c r="C202" s="29">
        <v>10060117</v>
      </c>
      <c r="D202" s="92" t="s">
        <v>473</v>
      </c>
      <c r="E202" s="93" t="s">
        <v>275</v>
      </c>
      <c r="F202" s="93" t="s">
        <v>231</v>
      </c>
      <c r="G202" s="109">
        <v>216.2</v>
      </c>
      <c r="H202" s="109">
        <v>10445.59</v>
      </c>
      <c r="I202" s="95">
        <v>0</v>
      </c>
      <c r="J202" s="95">
        <v>0</v>
      </c>
      <c r="K202" s="95">
        <v>0</v>
      </c>
      <c r="L202" s="95">
        <v>0</v>
      </c>
      <c r="M202" s="96">
        <v>0</v>
      </c>
      <c r="N202" s="97">
        <v>0</v>
      </c>
      <c r="O202" s="98">
        <v>0</v>
      </c>
      <c r="P202" s="33"/>
      <c r="Q202" s="99" t="s">
        <v>1198</v>
      </c>
      <c r="R202" s="100"/>
      <c r="S202" s="101">
        <v>0</v>
      </c>
      <c r="T202" s="102">
        <v>0</v>
      </c>
      <c r="U202" s="103">
        <v>0</v>
      </c>
      <c r="V202" s="103">
        <v>0</v>
      </c>
      <c r="W202" s="104">
        <v>0</v>
      </c>
      <c r="X202" s="19"/>
      <c r="Y202" s="103">
        <v>0</v>
      </c>
      <c r="Z202" s="103">
        <v>0</v>
      </c>
      <c r="AA202" s="105">
        <v>0</v>
      </c>
      <c r="AB202" s="106">
        <v>0</v>
      </c>
      <c r="AC202" s="105">
        <v>0</v>
      </c>
      <c r="AD202" s="104">
        <v>0</v>
      </c>
      <c r="AE202" s="104">
        <v>0</v>
      </c>
      <c r="AF202" s="107">
        <v>46265</v>
      </c>
    </row>
    <row r="203" spans="1:32" x14ac:dyDescent="0.25">
      <c r="A203" s="90">
        <v>1006</v>
      </c>
      <c r="B203" s="91" t="s">
        <v>1187</v>
      </c>
      <c r="C203" s="29">
        <v>10060118</v>
      </c>
      <c r="D203" s="92" t="s">
        <v>474</v>
      </c>
      <c r="E203" s="93" t="s">
        <v>270</v>
      </c>
      <c r="F203" s="93" t="s">
        <v>230</v>
      </c>
      <c r="G203" s="109">
        <v>345</v>
      </c>
      <c r="H203" s="109">
        <v>18745.760000000002</v>
      </c>
      <c r="I203" s="95">
        <v>0</v>
      </c>
      <c r="J203" s="95">
        <v>0</v>
      </c>
      <c r="K203" s="95">
        <v>0</v>
      </c>
      <c r="L203" s="95">
        <v>0</v>
      </c>
      <c r="M203" s="96">
        <v>0</v>
      </c>
      <c r="N203" s="97">
        <v>0</v>
      </c>
      <c r="O203" s="98">
        <v>0</v>
      </c>
      <c r="P203" s="33"/>
      <c r="Q203" s="99" t="s">
        <v>1198</v>
      </c>
      <c r="R203" s="100"/>
      <c r="S203" s="101">
        <v>-0.47763760978482578</v>
      </c>
      <c r="T203" s="102">
        <v>3</v>
      </c>
      <c r="U203" s="103">
        <v>0</v>
      </c>
      <c r="V203" s="103">
        <v>0</v>
      </c>
      <c r="W203" s="104">
        <v>0</v>
      </c>
      <c r="X203" s="19"/>
      <c r="Y203" s="103">
        <v>0</v>
      </c>
      <c r="Z203" s="103">
        <v>0</v>
      </c>
      <c r="AA203" s="105">
        <v>0</v>
      </c>
      <c r="AB203" s="106">
        <v>0</v>
      </c>
      <c r="AC203" s="105">
        <v>0</v>
      </c>
      <c r="AD203" s="104">
        <v>0</v>
      </c>
      <c r="AE203" s="104">
        <v>0</v>
      </c>
      <c r="AF203" s="107">
        <v>46265</v>
      </c>
    </row>
    <row r="204" spans="1:32" x14ac:dyDescent="0.25">
      <c r="A204" s="90">
        <v>1006</v>
      </c>
      <c r="B204" s="91" t="s">
        <v>1187</v>
      </c>
      <c r="C204" s="29">
        <v>10060122</v>
      </c>
      <c r="D204" s="92" t="s">
        <v>475</v>
      </c>
      <c r="E204" s="93" t="s">
        <v>275</v>
      </c>
      <c r="F204" s="93" t="s">
        <v>231</v>
      </c>
      <c r="G204" s="109">
        <v>19.600000000000001</v>
      </c>
      <c r="H204" s="109">
        <v>717.15</v>
      </c>
      <c r="I204" s="95">
        <v>0</v>
      </c>
      <c r="J204" s="95">
        <v>0</v>
      </c>
      <c r="K204" s="95">
        <v>0</v>
      </c>
      <c r="L204" s="95">
        <v>0</v>
      </c>
      <c r="M204" s="96">
        <v>0</v>
      </c>
      <c r="N204" s="97">
        <v>0</v>
      </c>
      <c r="O204" s="98">
        <v>0</v>
      </c>
      <c r="P204" s="33"/>
      <c r="Q204" s="99" t="s">
        <v>1198</v>
      </c>
      <c r="R204" s="100"/>
      <c r="S204" s="101">
        <v>0</v>
      </c>
      <c r="T204" s="102">
        <v>0</v>
      </c>
      <c r="U204" s="103">
        <v>0</v>
      </c>
      <c r="V204" s="103">
        <v>0</v>
      </c>
      <c r="W204" s="104">
        <v>0</v>
      </c>
      <c r="X204" s="19"/>
      <c r="Y204" s="103">
        <v>0</v>
      </c>
      <c r="Z204" s="103">
        <v>0</v>
      </c>
      <c r="AA204" s="105">
        <v>0</v>
      </c>
      <c r="AB204" s="106">
        <v>0</v>
      </c>
      <c r="AC204" s="105">
        <v>0</v>
      </c>
      <c r="AD204" s="104">
        <v>0</v>
      </c>
      <c r="AE204" s="104">
        <v>0</v>
      </c>
      <c r="AF204" s="107">
        <v>46265</v>
      </c>
    </row>
    <row r="205" spans="1:32" x14ac:dyDescent="0.25">
      <c r="A205" s="90">
        <v>1006</v>
      </c>
      <c r="B205" s="91" t="s">
        <v>1187</v>
      </c>
      <c r="C205" s="29">
        <v>10060125</v>
      </c>
      <c r="D205" s="92" t="s">
        <v>476</v>
      </c>
      <c r="E205" s="93" t="s">
        <v>275</v>
      </c>
      <c r="F205" s="93" t="s">
        <v>231</v>
      </c>
      <c r="G205" s="109">
        <v>99.8</v>
      </c>
      <c r="H205" s="109">
        <v>4095.34</v>
      </c>
      <c r="I205" s="95">
        <v>0</v>
      </c>
      <c r="J205" s="95">
        <v>0</v>
      </c>
      <c r="K205" s="95">
        <v>0</v>
      </c>
      <c r="L205" s="95">
        <v>0</v>
      </c>
      <c r="M205" s="96">
        <v>0</v>
      </c>
      <c r="N205" s="97">
        <v>0</v>
      </c>
      <c r="O205" s="98">
        <v>0</v>
      </c>
      <c r="P205" s="33"/>
      <c r="Q205" s="99" t="s">
        <v>1198</v>
      </c>
      <c r="R205" s="100"/>
      <c r="S205" s="101">
        <v>0</v>
      </c>
      <c r="T205" s="102">
        <v>0</v>
      </c>
      <c r="U205" s="103">
        <v>0</v>
      </c>
      <c r="V205" s="103">
        <v>0</v>
      </c>
      <c r="W205" s="104">
        <v>0</v>
      </c>
      <c r="X205" s="19"/>
      <c r="Y205" s="103">
        <v>0</v>
      </c>
      <c r="Z205" s="103">
        <v>0</v>
      </c>
      <c r="AA205" s="105">
        <v>0</v>
      </c>
      <c r="AB205" s="106">
        <v>0</v>
      </c>
      <c r="AC205" s="105">
        <v>0</v>
      </c>
      <c r="AD205" s="104">
        <v>0</v>
      </c>
      <c r="AE205" s="104">
        <v>0</v>
      </c>
      <c r="AF205" s="107">
        <v>46265</v>
      </c>
    </row>
    <row r="206" spans="1:32" x14ac:dyDescent="0.25">
      <c r="A206" s="90">
        <v>1006</v>
      </c>
      <c r="B206" s="91" t="s">
        <v>1187</v>
      </c>
      <c r="C206" s="29">
        <v>10060126</v>
      </c>
      <c r="D206" s="92" t="s">
        <v>477</v>
      </c>
      <c r="E206" s="93" t="s">
        <v>270</v>
      </c>
      <c r="F206" s="93" t="s">
        <v>230</v>
      </c>
      <c r="G206" s="109">
        <v>512.4</v>
      </c>
      <c r="H206" s="109">
        <v>18378.11</v>
      </c>
      <c r="I206" s="95">
        <v>0</v>
      </c>
      <c r="J206" s="95">
        <v>0</v>
      </c>
      <c r="K206" s="95">
        <v>0</v>
      </c>
      <c r="L206" s="95">
        <v>0</v>
      </c>
      <c r="M206" s="96">
        <v>0</v>
      </c>
      <c r="N206" s="97">
        <v>0</v>
      </c>
      <c r="O206" s="98">
        <v>0</v>
      </c>
      <c r="P206" s="33"/>
      <c r="Q206" s="99" t="s">
        <v>1198</v>
      </c>
      <c r="R206" s="100"/>
      <c r="S206" s="101">
        <v>-0.29130362153670863</v>
      </c>
      <c r="T206" s="102">
        <v>5</v>
      </c>
      <c r="U206" s="103">
        <v>0</v>
      </c>
      <c r="V206" s="103">
        <v>0</v>
      </c>
      <c r="W206" s="104">
        <v>0</v>
      </c>
      <c r="X206" s="19"/>
      <c r="Y206" s="103">
        <v>0</v>
      </c>
      <c r="Z206" s="103">
        <v>0</v>
      </c>
      <c r="AA206" s="105">
        <v>0</v>
      </c>
      <c r="AB206" s="106">
        <v>0</v>
      </c>
      <c r="AC206" s="105">
        <v>0</v>
      </c>
      <c r="AD206" s="104">
        <v>0</v>
      </c>
      <c r="AE206" s="104">
        <v>0</v>
      </c>
      <c r="AF206" s="107">
        <v>46265</v>
      </c>
    </row>
    <row r="207" spans="1:32" x14ac:dyDescent="0.25">
      <c r="A207" s="90">
        <v>1006</v>
      </c>
      <c r="B207" s="91" t="s">
        <v>1187</v>
      </c>
      <c r="C207" s="29">
        <v>10060129</v>
      </c>
      <c r="D207" s="92" t="s">
        <v>196</v>
      </c>
      <c r="E207" s="93" t="s">
        <v>270</v>
      </c>
      <c r="F207" s="93" t="s">
        <v>230</v>
      </c>
      <c r="G207" s="109">
        <v>303.7</v>
      </c>
      <c r="H207" s="109">
        <v>13148.02</v>
      </c>
      <c r="I207" s="95">
        <v>0</v>
      </c>
      <c r="J207" s="95">
        <v>0</v>
      </c>
      <c r="K207" s="95">
        <v>0</v>
      </c>
      <c r="L207" s="95">
        <v>0</v>
      </c>
      <c r="M207" s="96">
        <v>0</v>
      </c>
      <c r="N207" s="97">
        <v>0</v>
      </c>
      <c r="O207" s="98">
        <v>0</v>
      </c>
      <c r="P207" s="33"/>
      <c r="Q207" s="99" t="s">
        <v>1198</v>
      </c>
      <c r="R207" s="100"/>
      <c r="S207" s="101">
        <v>-3.733033567031397E-2</v>
      </c>
      <c r="T207" s="102">
        <v>7</v>
      </c>
      <c r="U207" s="103">
        <v>0</v>
      </c>
      <c r="V207" s="103">
        <v>0</v>
      </c>
      <c r="W207" s="104">
        <v>0</v>
      </c>
      <c r="X207" s="19"/>
      <c r="Y207" s="103">
        <v>0</v>
      </c>
      <c r="Z207" s="103">
        <v>0</v>
      </c>
      <c r="AA207" s="105">
        <v>0</v>
      </c>
      <c r="AB207" s="106">
        <v>0</v>
      </c>
      <c r="AC207" s="105">
        <v>0</v>
      </c>
      <c r="AD207" s="104">
        <v>0</v>
      </c>
      <c r="AE207" s="104">
        <v>0</v>
      </c>
      <c r="AF207" s="107">
        <v>46265</v>
      </c>
    </row>
    <row r="208" spans="1:32" x14ac:dyDescent="0.25">
      <c r="A208" s="90">
        <v>1006</v>
      </c>
      <c r="B208" s="91" t="s">
        <v>1187</v>
      </c>
      <c r="C208" s="29">
        <v>10060130</v>
      </c>
      <c r="D208" s="92" t="s">
        <v>478</v>
      </c>
      <c r="E208" s="93" t="s">
        <v>270</v>
      </c>
      <c r="F208" s="93" t="s">
        <v>230</v>
      </c>
      <c r="G208" s="109">
        <v>2048.2999999999997</v>
      </c>
      <c r="H208" s="109">
        <v>91649.75999999998</v>
      </c>
      <c r="I208" s="95">
        <v>0</v>
      </c>
      <c r="J208" s="95">
        <v>0</v>
      </c>
      <c r="K208" s="95">
        <v>0</v>
      </c>
      <c r="L208" s="95">
        <v>0</v>
      </c>
      <c r="M208" s="96">
        <v>0</v>
      </c>
      <c r="N208" s="97">
        <v>0</v>
      </c>
      <c r="O208" s="98">
        <v>0</v>
      </c>
      <c r="P208" s="33"/>
      <c r="Q208" s="99" t="s">
        <v>1198</v>
      </c>
      <c r="R208" s="100"/>
      <c r="S208" s="101">
        <v>-0.11162604244681106</v>
      </c>
      <c r="T208" s="102">
        <v>28</v>
      </c>
      <c r="U208" s="103">
        <v>0</v>
      </c>
      <c r="V208" s="103">
        <v>0</v>
      </c>
      <c r="W208" s="104">
        <v>0</v>
      </c>
      <c r="X208" s="19"/>
      <c r="Y208" s="103">
        <v>0</v>
      </c>
      <c r="Z208" s="103">
        <v>0</v>
      </c>
      <c r="AA208" s="105">
        <v>0</v>
      </c>
      <c r="AB208" s="106">
        <v>0</v>
      </c>
      <c r="AC208" s="105">
        <v>0</v>
      </c>
      <c r="AD208" s="104">
        <v>0</v>
      </c>
      <c r="AE208" s="104">
        <v>0</v>
      </c>
      <c r="AF208" s="107">
        <v>46265</v>
      </c>
    </row>
    <row r="209" spans="1:33" x14ac:dyDescent="0.25">
      <c r="A209" s="90">
        <v>1006</v>
      </c>
      <c r="B209" s="91" t="s">
        <v>1187</v>
      </c>
      <c r="C209" s="29">
        <v>10060133</v>
      </c>
      <c r="D209" s="92" t="s">
        <v>479</v>
      </c>
      <c r="E209" s="93" t="s">
        <v>275</v>
      </c>
      <c r="F209" s="93" t="s">
        <v>231</v>
      </c>
      <c r="G209" s="109">
        <v>225.60000000000002</v>
      </c>
      <c r="H209" s="109">
        <v>8167.82</v>
      </c>
      <c r="I209" s="95">
        <v>0</v>
      </c>
      <c r="J209" s="95">
        <v>0</v>
      </c>
      <c r="K209" s="95">
        <v>0</v>
      </c>
      <c r="L209" s="95">
        <v>0</v>
      </c>
      <c r="M209" s="96">
        <v>0</v>
      </c>
      <c r="N209" s="97">
        <v>0</v>
      </c>
      <c r="O209" s="98">
        <v>0</v>
      </c>
      <c r="P209" s="33"/>
      <c r="Q209" s="99" t="s">
        <v>1198</v>
      </c>
      <c r="R209" s="100"/>
      <c r="S209" s="101">
        <v>0</v>
      </c>
      <c r="T209" s="102">
        <v>0</v>
      </c>
      <c r="U209" s="103">
        <v>0</v>
      </c>
      <c r="V209" s="103">
        <v>0</v>
      </c>
      <c r="W209" s="104">
        <v>0</v>
      </c>
      <c r="X209" s="19"/>
      <c r="Y209" s="103">
        <v>0</v>
      </c>
      <c r="Z209" s="103">
        <v>0</v>
      </c>
      <c r="AA209" s="105">
        <v>0</v>
      </c>
      <c r="AB209" s="106">
        <v>0</v>
      </c>
      <c r="AC209" s="105">
        <v>0</v>
      </c>
      <c r="AD209" s="104">
        <v>0</v>
      </c>
      <c r="AE209" s="104">
        <v>0</v>
      </c>
      <c r="AF209" s="107">
        <v>46265</v>
      </c>
      <c r="AG209" s="108"/>
    </row>
    <row r="210" spans="1:33" x14ac:dyDescent="0.25">
      <c r="A210" s="90">
        <v>1006</v>
      </c>
      <c r="B210" s="91" t="s">
        <v>1187</v>
      </c>
      <c r="C210" s="29">
        <v>10060135</v>
      </c>
      <c r="D210" s="92" t="s">
        <v>480</v>
      </c>
      <c r="E210" s="93" t="s">
        <v>275</v>
      </c>
      <c r="F210" s="93" t="s">
        <v>230</v>
      </c>
      <c r="G210" s="109">
        <v>541.6</v>
      </c>
      <c r="H210" s="109">
        <v>23753.739999999998</v>
      </c>
      <c r="I210" s="95">
        <v>0</v>
      </c>
      <c r="J210" s="95">
        <v>0</v>
      </c>
      <c r="K210" s="95">
        <v>0</v>
      </c>
      <c r="L210" s="95">
        <v>0</v>
      </c>
      <c r="M210" s="96">
        <v>1578</v>
      </c>
      <c r="N210" s="97">
        <v>0</v>
      </c>
      <c r="O210" s="98">
        <v>0</v>
      </c>
      <c r="P210" s="33"/>
      <c r="Q210" s="99" t="s">
        <v>1198</v>
      </c>
      <c r="R210" s="100"/>
      <c r="S210" s="101">
        <v>6.6425750218702437E-2</v>
      </c>
      <c r="T210" s="102">
        <v>7</v>
      </c>
      <c r="U210" s="103">
        <v>0</v>
      </c>
      <c r="V210" s="103">
        <v>0</v>
      </c>
      <c r="W210" s="104">
        <v>0</v>
      </c>
      <c r="X210" s="19"/>
      <c r="Y210" s="103">
        <v>0</v>
      </c>
      <c r="Z210" s="103">
        <v>0</v>
      </c>
      <c r="AA210" s="105">
        <v>0</v>
      </c>
      <c r="AB210" s="106">
        <v>0</v>
      </c>
      <c r="AC210" s="105">
        <v>0</v>
      </c>
      <c r="AD210" s="104">
        <v>0</v>
      </c>
      <c r="AE210" s="104">
        <v>0</v>
      </c>
      <c r="AF210" s="107">
        <v>46265</v>
      </c>
    </row>
    <row r="211" spans="1:33" x14ac:dyDescent="0.25">
      <c r="A211" s="90">
        <v>1006</v>
      </c>
      <c r="B211" s="91" t="s">
        <v>1187</v>
      </c>
      <c r="C211" s="29">
        <v>10060136</v>
      </c>
      <c r="D211" s="92" t="s">
        <v>481</v>
      </c>
      <c r="E211" s="93" t="s">
        <v>275</v>
      </c>
      <c r="F211" s="93" t="s">
        <v>231</v>
      </c>
      <c r="G211" s="109">
        <v>376.50000000000006</v>
      </c>
      <c r="H211" s="109">
        <v>13555.349999999999</v>
      </c>
      <c r="I211" s="95">
        <v>0</v>
      </c>
      <c r="J211" s="95">
        <v>0</v>
      </c>
      <c r="K211" s="95">
        <v>0</v>
      </c>
      <c r="L211" s="95">
        <v>0</v>
      </c>
      <c r="M211" s="96">
        <v>0</v>
      </c>
      <c r="N211" s="97">
        <v>0</v>
      </c>
      <c r="O211" s="98">
        <v>0</v>
      </c>
      <c r="P211" s="33"/>
      <c r="Q211" s="99" t="s">
        <v>1198</v>
      </c>
      <c r="R211" s="100"/>
      <c r="S211" s="101">
        <v>0</v>
      </c>
      <c r="T211" s="102">
        <v>0</v>
      </c>
      <c r="U211" s="103">
        <v>0</v>
      </c>
      <c r="V211" s="103">
        <v>0</v>
      </c>
      <c r="W211" s="104">
        <v>0</v>
      </c>
      <c r="X211" s="19"/>
      <c r="Y211" s="103">
        <v>0</v>
      </c>
      <c r="Z211" s="103">
        <v>0</v>
      </c>
      <c r="AA211" s="105">
        <v>0</v>
      </c>
      <c r="AB211" s="106">
        <v>0</v>
      </c>
      <c r="AC211" s="105">
        <v>0</v>
      </c>
      <c r="AD211" s="104">
        <v>0</v>
      </c>
      <c r="AE211" s="104">
        <v>0</v>
      </c>
      <c r="AF211" s="107">
        <v>46265</v>
      </c>
    </row>
    <row r="212" spans="1:33" x14ac:dyDescent="0.25">
      <c r="A212" s="90">
        <v>1006</v>
      </c>
      <c r="B212" s="91" t="s">
        <v>1187</v>
      </c>
      <c r="C212" s="29">
        <v>10060138</v>
      </c>
      <c r="D212" s="92" t="s">
        <v>482</v>
      </c>
      <c r="E212" s="93" t="s">
        <v>275</v>
      </c>
      <c r="F212" s="93" t="s">
        <v>231</v>
      </c>
      <c r="G212" s="109">
        <v>1513.5</v>
      </c>
      <c r="H212" s="109">
        <v>60244.659999999996</v>
      </c>
      <c r="I212" s="95">
        <v>0</v>
      </c>
      <c r="J212" s="95">
        <v>0</v>
      </c>
      <c r="K212" s="95">
        <v>0</v>
      </c>
      <c r="L212" s="95">
        <v>0</v>
      </c>
      <c r="M212" s="96">
        <v>0</v>
      </c>
      <c r="N212" s="97">
        <v>0</v>
      </c>
      <c r="O212" s="98">
        <v>0</v>
      </c>
      <c r="P212" s="33"/>
      <c r="Q212" s="99" t="s">
        <v>1198</v>
      </c>
      <c r="R212" s="100"/>
      <c r="S212" s="101">
        <v>0</v>
      </c>
      <c r="T212" s="102">
        <v>0</v>
      </c>
      <c r="U212" s="103">
        <v>0</v>
      </c>
      <c r="V212" s="103">
        <v>0</v>
      </c>
      <c r="W212" s="104">
        <v>0</v>
      </c>
      <c r="X212" s="19"/>
      <c r="Y212" s="103">
        <v>0</v>
      </c>
      <c r="Z212" s="103">
        <v>0</v>
      </c>
      <c r="AA212" s="105">
        <v>0</v>
      </c>
      <c r="AB212" s="106">
        <v>0</v>
      </c>
      <c r="AC212" s="105">
        <v>0</v>
      </c>
      <c r="AD212" s="104">
        <v>0</v>
      </c>
      <c r="AE212" s="104">
        <v>0</v>
      </c>
      <c r="AF212" s="107">
        <v>46265</v>
      </c>
    </row>
    <row r="213" spans="1:33" x14ac:dyDescent="0.25">
      <c r="A213" s="90">
        <v>1007</v>
      </c>
      <c r="B213" s="91" t="s">
        <v>497</v>
      </c>
      <c r="C213" s="29">
        <v>10070002</v>
      </c>
      <c r="D213" s="92" t="s">
        <v>483</v>
      </c>
      <c r="E213" s="93" t="s">
        <v>275</v>
      </c>
      <c r="F213" s="93" t="s">
        <v>231</v>
      </c>
      <c r="G213" s="109">
        <v>4958.3999999999996</v>
      </c>
      <c r="H213" s="109">
        <v>200499.78999999998</v>
      </c>
      <c r="I213" s="95">
        <v>0</v>
      </c>
      <c r="J213" s="95">
        <v>0</v>
      </c>
      <c r="K213" s="95">
        <v>0</v>
      </c>
      <c r="L213" s="95">
        <v>0</v>
      </c>
      <c r="M213" s="96">
        <v>0</v>
      </c>
      <c r="N213" s="97">
        <v>0</v>
      </c>
      <c r="O213" s="98">
        <v>0</v>
      </c>
      <c r="P213" s="33"/>
      <c r="Q213" s="99" t="s">
        <v>1198</v>
      </c>
      <c r="R213" s="100"/>
      <c r="S213" s="101">
        <v>0</v>
      </c>
      <c r="T213" s="102">
        <v>0</v>
      </c>
      <c r="U213" s="103">
        <v>0</v>
      </c>
      <c r="V213" s="103">
        <v>0</v>
      </c>
      <c r="W213" s="104">
        <v>0</v>
      </c>
      <c r="X213" s="19"/>
      <c r="Y213" s="103">
        <v>0</v>
      </c>
      <c r="Z213" s="103">
        <v>0</v>
      </c>
      <c r="AA213" s="105">
        <v>0</v>
      </c>
      <c r="AB213" s="106">
        <v>0</v>
      </c>
      <c r="AC213" s="105">
        <v>0</v>
      </c>
      <c r="AD213" s="104">
        <v>0</v>
      </c>
      <c r="AE213" s="104">
        <v>0</v>
      </c>
      <c r="AF213" s="107">
        <v>46265</v>
      </c>
    </row>
    <row r="214" spans="1:33" x14ac:dyDescent="0.25">
      <c r="A214" s="90">
        <v>1007</v>
      </c>
      <c r="B214" s="91" t="s">
        <v>497</v>
      </c>
      <c r="C214" s="29">
        <v>10070003</v>
      </c>
      <c r="D214" s="92" t="s">
        <v>484</v>
      </c>
      <c r="E214" s="93" t="s">
        <v>275</v>
      </c>
      <c r="F214" s="93" t="s">
        <v>231</v>
      </c>
      <c r="G214" s="109">
        <v>480.5</v>
      </c>
      <c r="H214" s="109">
        <v>16942.93</v>
      </c>
      <c r="I214" s="95">
        <v>0</v>
      </c>
      <c r="J214" s="95">
        <v>0</v>
      </c>
      <c r="K214" s="95">
        <v>0</v>
      </c>
      <c r="L214" s="95">
        <v>0</v>
      </c>
      <c r="M214" s="96">
        <v>0</v>
      </c>
      <c r="N214" s="97">
        <v>0</v>
      </c>
      <c r="O214" s="98">
        <v>0</v>
      </c>
      <c r="P214" s="33"/>
      <c r="Q214" s="99" t="s">
        <v>1198</v>
      </c>
      <c r="R214" s="100"/>
      <c r="S214" s="101">
        <v>0</v>
      </c>
      <c r="T214" s="102">
        <v>0</v>
      </c>
      <c r="U214" s="103">
        <v>0</v>
      </c>
      <c r="V214" s="103">
        <v>0</v>
      </c>
      <c r="W214" s="104">
        <v>0</v>
      </c>
      <c r="X214" s="19"/>
      <c r="Y214" s="103">
        <v>0</v>
      </c>
      <c r="Z214" s="103">
        <v>0</v>
      </c>
      <c r="AA214" s="105">
        <v>0</v>
      </c>
      <c r="AB214" s="106">
        <v>0</v>
      </c>
      <c r="AC214" s="105">
        <v>0</v>
      </c>
      <c r="AD214" s="104">
        <v>0</v>
      </c>
      <c r="AE214" s="104">
        <v>0</v>
      </c>
      <c r="AF214" s="107">
        <v>46265</v>
      </c>
    </row>
    <row r="215" spans="1:33" x14ac:dyDescent="0.25">
      <c r="A215" s="90">
        <v>1056</v>
      </c>
      <c r="B215" s="91" t="s">
        <v>1188</v>
      </c>
      <c r="C215" s="29">
        <v>10070008</v>
      </c>
      <c r="D215" s="92" t="s">
        <v>485</v>
      </c>
      <c r="E215" s="93" t="s">
        <v>270</v>
      </c>
      <c r="F215" s="93" t="s">
        <v>231</v>
      </c>
      <c r="G215" s="109">
        <v>493.84</v>
      </c>
      <c r="H215" s="109">
        <v>17340.18</v>
      </c>
      <c r="I215" s="95">
        <v>0</v>
      </c>
      <c r="J215" s="95">
        <v>3047</v>
      </c>
      <c r="K215" s="95">
        <v>0</v>
      </c>
      <c r="L215" s="95">
        <v>0</v>
      </c>
      <c r="M215" s="96">
        <v>0</v>
      </c>
      <c r="N215" s="97">
        <v>0</v>
      </c>
      <c r="O215" s="98">
        <v>0</v>
      </c>
      <c r="P215" s="33"/>
      <c r="Q215" s="99" t="s">
        <v>1198</v>
      </c>
      <c r="R215" s="100"/>
      <c r="S215" s="101">
        <v>0</v>
      </c>
      <c r="T215" s="102">
        <v>0</v>
      </c>
      <c r="U215" s="110">
        <v>3047</v>
      </c>
      <c r="V215" s="103">
        <v>3047</v>
      </c>
      <c r="W215" s="104">
        <v>0</v>
      </c>
      <c r="X215" s="19"/>
      <c r="Y215" s="103">
        <v>0</v>
      </c>
      <c r="Z215" s="103">
        <v>0</v>
      </c>
      <c r="AA215" s="105">
        <v>0</v>
      </c>
      <c r="AB215" s="106">
        <v>0</v>
      </c>
      <c r="AC215" s="105">
        <v>0</v>
      </c>
      <c r="AD215" s="104">
        <v>0</v>
      </c>
      <c r="AE215" s="104">
        <v>0</v>
      </c>
      <c r="AF215" s="107">
        <v>46265</v>
      </c>
    </row>
    <row r="216" spans="1:33" x14ac:dyDescent="0.25">
      <c r="A216" s="90">
        <v>1007</v>
      </c>
      <c r="B216" s="91" t="s">
        <v>497</v>
      </c>
      <c r="C216" s="29">
        <v>10070013</v>
      </c>
      <c r="D216" s="92" t="s">
        <v>486</v>
      </c>
      <c r="E216" s="93" t="s">
        <v>270</v>
      </c>
      <c r="F216" s="93" t="s">
        <v>230</v>
      </c>
      <c r="G216" s="109">
        <v>258.09999999999997</v>
      </c>
      <c r="H216" s="109">
        <v>10351.17</v>
      </c>
      <c r="I216" s="95">
        <v>0</v>
      </c>
      <c r="J216" s="95">
        <v>0</v>
      </c>
      <c r="K216" s="95">
        <v>0</v>
      </c>
      <c r="L216" s="95">
        <v>0</v>
      </c>
      <c r="M216" s="96">
        <v>1</v>
      </c>
      <c r="N216" s="97">
        <v>0</v>
      </c>
      <c r="O216" s="98">
        <v>1</v>
      </c>
      <c r="P216" s="33"/>
      <c r="Q216" s="99" t="s">
        <v>1198</v>
      </c>
      <c r="R216" s="100"/>
      <c r="S216" s="101">
        <v>-4.2739129972747009E-2</v>
      </c>
      <c r="T216" s="102">
        <v>10</v>
      </c>
      <c r="U216" s="103">
        <v>0</v>
      </c>
      <c r="V216" s="103">
        <v>0</v>
      </c>
      <c r="W216" s="104">
        <v>0</v>
      </c>
      <c r="X216" s="19"/>
      <c r="Y216" s="103">
        <v>0</v>
      </c>
      <c r="Z216" s="103">
        <v>0</v>
      </c>
      <c r="AA216" s="105">
        <v>0</v>
      </c>
      <c r="AB216" s="106">
        <v>0</v>
      </c>
      <c r="AC216" s="105">
        <v>0</v>
      </c>
      <c r="AD216" s="104">
        <v>0</v>
      </c>
      <c r="AE216" s="104">
        <v>0</v>
      </c>
      <c r="AF216" s="107">
        <v>46265</v>
      </c>
    </row>
    <row r="217" spans="1:33" x14ac:dyDescent="0.25">
      <c r="A217" s="90">
        <v>1007</v>
      </c>
      <c r="B217" s="91" t="s">
        <v>497</v>
      </c>
      <c r="C217" s="29">
        <v>10070016</v>
      </c>
      <c r="D217" s="92" t="s">
        <v>487</v>
      </c>
      <c r="E217" s="93" t="s">
        <v>270</v>
      </c>
      <c r="F217" s="93" t="s">
        <v>230</v>
      </c>
      <c r="G217" s="109">
        <v>338.8</v>
      </c>
      <c r="H217" s="109">
        <v>13223.96</v>
      </c>
      <c r="I217" s="95">
        <v>0</v>
      </c>
      <c r="J217" s="95">
        <v>0</v>
      </c>
      <c r="K217" s="95">
        <v>0</v>
      </c>
      <c r="L217" s="95">
        <v>0</v>
      </c>
      <c r="M217" s="96">
        <v>46</v>
      </c>
      <c r="N217" s="97">
        <v>0</v>
      </c>
      <c r="O217" s="98">
        <v>1</v>
      </c>
      <c r="P217" s="33"/>
      <c r="Q217" s="99" t="s">
        <v>1198</v>
      </c>
      <c r="R217" s="100"/>
      <c r="S217" s="101">
        <v>3.390058651115092E-3</v>
      </c>
      <c r="T217" s="102">
        <v>6</v>
      </c>
      <c r="U217" s="103">
        <v>0</v>
      </c>
      <c r="V217" s="103">
        <v>0</v>
      </c>
      <c r="W217" s="104">
        <v>0</v>
      </c>
      <c r="X217" s="19"/>
      <c r="Y217" s="103">
        <v>0</v>
      </c>
      <c r="Z217" s="103">
        <v>0</v>
      </c>
      <c r="AA217" s="105">
        <v>0</v>
      </c>
      <c r="AB217" s="106">
        <v>0</v>
      </c>
      <c r="AC217" s="105">
        <v>0</v>
      </c>
      <c r="AD217" s="104">
        <v>0</v>
      </c>
      <c r="AE217" s="104">
        <v>0</v>
      </c>
      <c r="AF217" s="107">
        <v>46265</v>
      </c>
    </row>
    <row r="218" spans="1:33" x14ac:dyDescent="0.25">
      <c r="A218" s="90">
        <v>1007</v>
      </c>
      <c r="B218" s="91" t="s">
        <v>497</v>
      </c>
      <c r="C218" s="29">
        <v>10070018</v>
      </c>
      <c r="D218" s="92" t="s">
        <v>488</v>
      </c>
      <c r="E218" s="93" t="s">
        <v>275</v>
      </c>
      <c r="F218" s="93" t="s">
        <v>231</v>
      </c>
      <c r="G218" s="109">
        <v>11842.1</v>
      </c>
      <c r="H218" s="109">
        <v>463761.55</v>
      </c>
      <c r="I218" s="95">
        <v>0</v>
      </c>
      <c r="J218" s="95">
        <v>0</v>
      </c>
      <c r="K218" s="95">
        <v>0</v>
      </c>
      <c r="L218" s="95">
        <v>0</v>
      </c>
      <c r="M218" s="96">
        <v>0</v>
      </c>
      <c r="N218" s="97">
        <v>0</v>
      </c>
      <c r="O218" s="98">
        <v>0</v>
      </c>
      <c r="P218" s="33"/>
      <c r="Q218" s="99" t="s">
        <v>1198</v>
      </c>
      <c r="R218" s="100"/>
      <c r="S218" s="101">
        <v>0</v>
      </c>
      <c r="T218" s="102">
        <v>0</v>
      </c>
      <c r="U218" s="103">
        <v>0</v>
      </c>
      <c r="V218" s="103">
        <v>0</v>
      </c>
      <c r="W218" s="104">
        <v>0</v>
      </c>
      <c r="X218" s="19"/>
      <c r="Y218" s="103">
        <v>0</v>
      </c>
      <c r="Z218" s="103">
        <v>0</v>
      </c>
      <c r="AA218" s="105">
        <v>0</v>
      </c>
      <c r="AB218" s="106">
        <v>0</v>
      </c>
      <c r="AC218" s="105">
        <v>0</v>
      </c>
      <c r="AD218" s="104">
        <v>0</v>
      </c>
      <c r="AE218" s="104">
        <v>0</v>
      </c>
      <c r="AF218" s="107">
        <v>46265</v>
      </c>
      <c r="AG218" s="108"/>
    </row>
    <row r="219" spans="1:33" x14ac:dyDescent="0.25">
      <c r="A219" s="90">
        <v>1007</v>
      </c>
      <c r="B219" s="91" t="s">
        <v>497</v>
      </c>
      <c r="C219" s="29">
        <v>10070019</v>
      </c>
      <c r="D219" s="92" t="s">
        <v>489</v>
      </c>
      <c r="E219" s="93" t="s">
        <v>275</v>
      </c>
      <c r="F219" s="93" t="s">
        <v>231</v>
      </c>
      <c r="G219" s="109">
        <v>6739.9</v>
      </c>
      <c r="H219" s="109">
        <v>261624.16</v>
      </c>
      <c r="I219" s="95">
        <v>0</v>
      </c>
      <c r="J219" s="95">
        <v>0</v>
      </c>
      <c r="K219" s="95">
        <v>0</v>
      </c>
      <c r="L219" s="95">
        <v>0</v>
      </c>
      <c r="M219" s="96">
        <v>0</v>
      </c>
      <c r="N219" s="97">
        <v>0</v>
      </c>
      <c r="O219" s="98">
        <v>0</v>
      </c>
      <c r="P219" s="33"/>
      <c r="Q219" s="99" t="s">
        <v>1198</v>
      </c>
      <c r="R219" s="100"/>
      <c r="S219" s="101">
        <v>0</v>
      </c>
      <c r="T219" s="102">
        <v>0</v>
      </c>
      <c r="U219" s="103">
        <v>0</v>
      </c>
      <c r="V219" s="103">
        <v>0</v>
      </c>
      <c r="W219" s="104">
        <v>0</v>
      </c>
      <c r="X219" s="19"/>
      <c r="Y219" s="103">
        <v>0</v>
      </c>
      <c r="Z219" s="103">
        <v>0</v>
      </c>
      <c r="AA219" s="105">
        <v>0</v>
      </c>
      <c r="AB219" s="106">
        <v>0</v>
      </c>
      <c r="AC219" s="105">
        <v>0</v>
      </c>
      <c r="AD219" s="104">
        <v>0</v>
      </c>
      <c r="AE219" s="104">
        <v>0</v>
      </c>
      <c r="AF219" s="107">
        <v>46265</v>
      </c>
    </row>
    <row r="220" spans="1:33" x14ac:dyDescent="0.25">
      <c r="A220" s="90">
        <v>1007</v>
      </c>
      <c r="B220" s="91" t="s">
        <v>497</v>
      </c>
      <c r="C220" s="29">
        <v>10070020</v>
      </c>
      <c r="D220" s="92" t="s">
        <v>490</v>
      </c>
      <c r="E220" s="93" t="s">
        <v>275</v>
      </c>
      <c r="F220" s="93" t="s">
        <v>231</v>
      </c>
      <c r="G220" s="109">
        <v>5647.4</v>
      </c>
      <c r="H220" s="109">
        <v>218758.53000000003</v>
      </c>
      <c r="I220" s="95">
        <v>0</v>
      </c>
      <c r="J220" s="95">
        <v>0</v>
      </c>
      <c r="K220" s="95">
        <v>0</v>
      </c>
      <c r="L220" s="95">
        <v>0</v>
      </c>
      <c r="M220" s="96">
        <v>0</v>
      </c>
      <c r="N220" s="97">
        <v>0</v>
      </c>
      <c r="O220" s="98">
        <v>0</v>
      </c>
      <c r="P220" s="33"/>
      <c r="Q220" s="99" t="s">
        <v>1198</v>
      </c>
      <c r="R220" s="100"/>
      <c r="S220" s="101">
        <v>0</v>
      </c>
      <c r="T220" s="102">
        <v>0</v>
      </c>
      <c r="U220" s="103">
        <v>0</v>
      </c>
      <c r="V220" s="103">
        <v>0</v>
      </c>
      <c r="W220" s="104">
        <v>0</v>
      </c>
      <c r="X220" s="19"/>
      <c r="Y220" s="103">
        <v>0</v>
      </c>
      <c r="Z220" s="103">
        <v>0</v>
      </c>
      <c r="AA220" s="105">
        <v>0</v>
      </c>
      <c r="AB220" s="106">
        <v>0</v>
      </c>
      <c r="AC220" s="105">
        <v>0</v>
      </c>
      <c r="AD220" s="104">
        <v>0</v>
      </c>
      <c r="AE220" s="104">
        <v>0</v>
      </c>
      <c r="AF220" s="107">
        <v>46265</v>
      </c>
    </row>
    <row r="221" spans="1:33" x14ac:dyDescent="0.25">
      <c r="A221" s="90">
        <v>1007</v>
      </c>
      <c r="B221" s="91" t="s">
        <v>497</v>
      </c>
      <c r="C221" s="29">
        <v>10070024</v>
      </c>
      <c r="D221" s="92" t="s">
        <v>491</v>
      </c>
      <c r="E221" s="93" t="s">
        <v>275</v>
      </c>
      <c r="F221" s="93" t="s">
        <v>231</v>
      </c>
      <c r="G221" s="109">
        <v>542.30000000000007</v>
      </c>
      <c r="H221" s="109">
        <v>20671.669999999998</v>
      </c>
      <c r="I221" s="95">
        <v>0</v>
      </c>
      <c r="J221" s="95">
        <v>0</v>
      </c>
      <c r="K221" s="95">
        <v>0</v>
      </c>
      <c r="L221" s="95">
        <v>0</v>
      </c>
      <c r="M221" s="96">
        <v>0</v>
      </c>
      <c r="N221" s="97">
        <v>0</v>
      </c>
      <c r="O221" s="98">
        <v>0</v>
      </c>
      <c r="P221" s="33"/>
      <c r="Q221" s="99" t="s">
        <v>1198</v>
      </c>
      <c r="R221" s="100"/>
      <c r="S221" s="101">
        <v>0</v>
      </c>
      <c r="T221" s="102">
        <v>0</v>
      </c>
      <c r="U221" s="103">
        <v>0</v>
      </c>
      <c r="V221" s="103">
        <v>0</v>
      </c>
      <c r="W221" s="104">
        <v>0</v>
      </c>
      <c r="X221" s="19"/>
      <c r="Y221" s="103">
        <v>0</v>
      </c>
      <c r="Z221" s="103">
        <v>0</v>
      </c>
      <c r="AA221" s="105">
        <v>0</v>
      </c>
      <c r="AB221" s="106">
        <v>0</v>
      </c>
      <c r="AC221" s="105">
        <v>0</v>
      </c>
      <c r="AD221" s="104">
        <v>0</v>
      </c>
      <c r="AE221" s="104">
        <v>0</v>
      </c>
      <c r="AF221" s="107">
        <v>46265</v>
      </c>
    </row>
    <row r="222" spans="1:33" x14ac:dyDescent="0.25">
      <c r="A222" s="90">
        <v>1007</v>
      </c>
      <c r="B222" s="91" t="s">
        <v>497</v>
      </c>
      <c r="C222" s="29">
        <v>10070026</v>
      </c>
      <c r="D222" s="92" t="s">
        <v>492</v>
      </c>
      <c r="E222" s="93" t="s">
        <v>275</v>
      </c>
      <c r="F222" s="93" t="s">
        <v>231</v>
      </c>
      <c r="G222" s="109">
        <v>4483.0999999999995</v>
      </c>
      <c r="H222" s="109">
        <v>170844.60999999996</v>
      </c>
      <c r="I222" s="95">
        <v>0</v>
      </c>
      <c r="J222" s="95">
        <v>0</v>
      </c>
      <c r="K222" s="95">
        <v>0</v>
      </c>
      <c r="L222" s="95">
        <v>0</v>
      </c>
      <c r="M222" s="96">
        <v>0</v>
      </c>
      <c r="N222" s="97">
        <v>0</v>
      </c>
      <c r="O222" s="98">
        <v>0</v>
      </c>
      <c r="P222" s="33"/>
      <c r="Q222" s="99" t="s">
        <v>1198</v>
      </c>
      <c r="R222" s="100"/>
      <c r="S222" s="101">
        <v>0</v>
      </c>
      <c r="T222" s="102">
        <v>0</v>
      </c>
      <c r="U222" s="103">
        <v>0</v>
      </c>
      <c r="V222" s="103">
        <v>0</v>
      </c>
      <c r="W222" s="104">
        <v>0</v>
      </c>
      <c r="X222" s="19"/>
      <c r="Y222" s="103">
        <v>0</v>
      </c>
      <c r="Z222" s="103">
        <v>0</v>
      </c>
      <c r="AA222" s="105">
        <v>0</v>
      </c>
      <c r="AB222" s="106">
        <v>0</v>
      </c>
      <c r="AC222" s="105">
        <v>0</v>
      </c>
      <c r="AD222" s="104">
        <v>0</v>
      </c>
      <c r="AE222" s="104">
        <v>0</v>
      </c>
      <c r="AF222" s="107">
        <v>46265</v>
      </c>
    </row>
    <row r="223" spans="1:33" x14ac:dyDescent="0.25">
      <c r="A223" s="90">
        <v>1010</v>
      </c>
      <c r="B223" s="91" t="s">
        <v>1189</v>
      </c>
      <c r="C223" s="29">
        <v>10070033</v>
      </c>
      <c r="D223" s="92" t="s">
        <v>493</v>
      </c>
      <c r="E223" s="93" t="s">
        <v>270</v>
      </c>
      <c r="F223" s="93" t="s">
        <v>230</v>
      </c>
      <c r="G223" s="109">
        <v>346.4</v>
      </c>
      <c r="H223" s="109">
        <v>18232.75</v>
      </c>
      <c r="I223" s="95">
        <v>0</v>
      </c>
      <c r="J223" s="95">
        <v>0</v>
      </c>
      <c r="K223" s="95">
        <v>0</v>
      </c>
      <c r="L223" s="95">
        <v>0</v>
      </c>
      <c r="M223" s="96">
        <v>0</v>
      </c>
      <c r="N223" s="97">
        <v>0</v>
      </c>
      <c r="O223" s="98">
        <v>0</v>
      </c>
      <c r="P223" s="33"/>
      <c r="Q223" s="99" t="s">
        <v>1198</v>
      </c>
      <c r="R223" s="100"/>
      <c r="S223" s="101">
        <v>-0.18460627168145219</v>
      </c>
      <c r="T223" s="102">
        <v>2</v>
      </c>
      <c r="U223" s="103">
        <v>0</v>
      </c>
      <c r="V223" s="103">
        <v>0</v>
      </c>
      <c r="W223" s="104">
        <v>0</v>
      </c>
      <c r="X223" s="19"/>
      <c r="Y223" s="103">
        <v>0</v>
      </c>
      <c r="Z223" s="103">
        <v>0</v>
      </c>
      <c r="AA223" s="105">
        <v>0</v>
      </c>
      <c r="AB223" s="106">
        <v>0</v>
      </c>
      <c r="AC223" s="105">
        <v>0</v>
      </c>
      <c r="AD223" s="104">
        <v>0</v>
      </c>
      <c r="AE223" s="104">
        <v>0</v>
      </c>
      <c r="AF223" s="107">
        <v>46265</v>
      </c>
    </row>
    <row r="224" spans="1:33" x14ac:dyDescent="0.25">
      <c r="A224" s="90">
        <v>1056</v>
      </c>
      <c r="B224" s="91" t="s">
        <v>1188</v>
      </c>
      <c r="C224" s="29">
        <v>10070036</v>
      </c>
      <c r="D224" s="92" t="s">
        <v>494</v>
      </c>
      <c r="E224" s="93" t="s">
        <v>270</v>
      </c>
      <c r="F224" s="93" t="s">
        <v>231</v>
      </c>
      <c r="G224" s="109">
        <v>7.58</v>
      </c>
      <c r="H224" s="109">
        <v>337.16</v>
      </c>
      <c r="I224" s="95">
        <v>0</v>
      </c>
      <c r="J224" s="95">
        <v>0</v>
      </c>
      <c r="K224" s="95">
        <v>0</v>
      </c>
      <c r="L224" s="95">
        <v>0</v>
      </c>
      <c r="M224" s="96">
        <v>0</v>
      </c>
      <c r="N224" s="97">
        <v>0</v>
      </c>
      <c r="O224" s="98">
        <v>0</v>
      </c>
      <c r="P224" s="33"/>
      <c r="Q224" s="99" t="s">
        <v>1198</v>
      </c>
      <c r="R224" s="100"/>
      <c r="S224" s="101">
        <v>0</v>
      </c>
      <c r="T224" s="102">
        <v>0</v>
      </c>
      <c r="U224" s="103">
        <v>0</v>
      </c>
      <c r="V224" s="103">
        <v>0</v>
      </c>
      <c r="W224" s="104">
        <v>0</v>
      </c>
      <c r="X224" s="19"/>
      <c r="Y224" s="103">
        <v>0</v>
      </c>
      <c r="Z224" s="103">
        <v>0</v>
      </c>
      <c r="AA224" s="105">
        <v>0</v>
      </c>
      <c r="AB224" s="106">
        <v>0</v>
      </c>
      <c r="AC224" s="105">
        <v>0</v>
      </c>
      <c r="AD224" s="104">
        <v>0</v>
      </c>
      <c r="AE224" s="104">
        <v>0</v>
      </c>
      <c r="AF224" s="107">
        <v>46265</v>
      </c>
    </row>
    <row r="225" spans="1:33" x14ac:dyDescent="0.25">
      <c r="A225" s="90">
        <v>1056</v>
      </c>
      <c r="B225" s="91" t="s">
        <v>1188</v>
      </c>
      <c r="C225" s="29">
        <v>10070039</v>
      </c>
      <c r="D225" s="92" t="s">
        <v>495</v>
      </c>
      <c r="E225" s="93" t="s">
        <v>275</v>
      </c>
      <c r="F225" s="93" t="s">
        <v>231</v>
      </c>
      <c r="G225" s="109">
        <v>21.04</v>
      </c>
      <c r="H225" s="109">
        <v>840.32</v>
      </c>
      <c r="I225" s="95">
        <v>0</v>
      </c>
      <c r="J225" s="95">
        <v>840</v>
      </c>
      <c r="K225" s="95">
        <v>0</v>
      </c>
      <c r="L225" s="95">
        <v>0</v>
      </c>
      <c r="M225" s="96">
        <v>0</v>
      </c>
      <c r="N225" s="97">
        <v>0</v>
      </c>
      <c r="O225" s="98">
        <v>0</v>
      </c>
      <c r="P225" s="33"/>
      <c r="Q225" s="99" t="s">
        <v>1198</v>
      </c>
      <c r="R225" s="100"/>
      <c r="S225" s="101">
        <v>0</v>
      </c>
      <c r="T225" s="102">
        <v>0</v>
      </c>
      <c r="U225" s="110">
        <v>9514</v>
      </c>
      <c r="V225" s="103">
        <v>840</v>
      </c>
      <c r="W225" s="104">
        <v>8674</v>
      </c>
      <c r="X225" s="19"/>
      <c r="Y225" s="103">
        <v>0</v>
      </c>
      <c r="Z225" s="103">
        <v>0</v>
      </c>
      <c r="AA225" s="105">
        <v>0</v>
      </c>
      <c r="AB225" s="106">
        <v>0</v>
      </c>
      <c r="AC225" s="105">
        <v>0</v>
      </c>
      <c r="AD225" s="104">
        <v>0</v>
      </c>
      <c r="AE225" s="104">
        <v>0</v>
      </c>
      <c r="AF225" s="107">
        <v>46265</v>
      </c>
    </row>
    <row r="226" spans="1:33" x14ac:dyDescent="0.25">
      <c r="A226" s="90">
        <v>1007</v>
      </c>
      <c r="B226" s="91" t="s">
        <v>497</v>
      </c>
      <c r="C226" s="29">
        <v>10070042</v>
      </c>
      <c r="D226" s="92" t="s">
        <v>496</v>
      </c>
      <c r="E226" s="93" t="s">
        <v>270</v>
      </c>
      <c r="F226" s="93" t="s">
        <v>230</v>
      </c>
      <c r="G226" s="109">
        <v>215.1</v>
      </c>
      <c r="H226" s="109">
        <v>8443.01</v>
      </c>
      <c r="I226" s="95">
        <v>0</v>
      </c>
      <c r="J226" s="95">
        <v>0</v>
      </c>
      <c r="K226" s="95">
        <v>0</v>
      </c>
      <c r="L226" s="95">
        <v>0</v>
      </c>
      <c r="M226" s="96">
        <v>0</v>
      </c>
      <c r="N226" s="97">
        <v>0</v>
      </c>
      <c r="O226" s="98">
        <v>0</v>
      </c>
      <c r="P226" s="33"/>
      <c r="Q226" s="99" t="s">
        <v>1198</v>
      </c>
      <c r="R226" s="100"/>
      <c r="S226" s="101">
        <v>-0.67765287498178994</v>
      </c>
      <c r="T226" s="102">
        <v>4</v>
      </c>
      <c r="U226" s="103">
        <v>0</v>
      </c>
      <c r="V226" s="103">
        <v>0</v>
      </c>
      <c r="W226" s="104">
        <v>0</v>
      </c>
      <c r="X226" s="19"/>
      <c r="Y226" s="103">
        <v>0</v>
      </c>
      <c r="Z226" s="103">
        <v>0</v>
      </c>
      <c r="AA226" s="105">
        <v>0</v>
      </c>
      <c r="AB226" s="106">
        <v>0</v>
      </c>
      <c r="AC226" s="105">
        <v>0</v>
      </c>
      <c r="AD226" s="104">
        <v>0</v>
      </c>
      <c r="AE226" s="104">
        <v>0</v>
      </c>
      <c r="AF226" s="107">
        <v>46265</v>
      </c>
    </row>
    <row r="227" spans="1:33" x14ac:dyDescent="0.25">
      <c r="A227" s="90">
        <v>1007</v>
      </c>
      <c r="B227" s="91" t="s">
        <v>497</v>
      </c>
      <c r="C227" s="29">
        <v>10070043</v>
      </c>
      <c r="D227" s="92" t="s">
        <v>497</v>
      </c>
      <c r="E227" s="93" t="s">
        <v>275</v>
      </c>
      <c r="F227" s="93" t="s">
        <v>231</v>
      </c>
      <c r="G227" s="109">
        <v>11148.4</v>
      </c>
      <c r="H227" s="109">
        <v>447951.19999999995</v>
      </c>
      <c r="I227" s="95">
        <v>0</v>
      </c>
      <c r="J227" s="95">
        <v>0</v>
      </c>
      <c r="K227" s="95">
        <v>0</v>
      </c>
      <c r="L227" s="95">
        <v>0</v>
      </c>
      <c r="M227" s="96">
        <v>0</v>
      </c>
      <c r="N227" s="97">
        <v>0</v>
      </c>
      <c r="O227" s="98">
        <v>0</v>
      </c>
      <c r="P227" s="33"/>
      <c r="Q227" s="99" t="s">
        <v>1198</v>
      </c>
      <c r="R227" s="100"/>
      <c r="S227" s="101">
        <v>0</v>
      </c>
      <c r="T227" s="102">
        <v>0</v>
      </c>
      <c r="U227" s="103">
        <v>0</v>
      </c>
      <c r="V227" s="103">
        <v>0</v>
      </c>
      <c r="W227" s="104">
        <v>0</v>
      </c>
      <c r="X227" s="19"/>
      <c r="Y227" s="103">
        <v>0</v>
      </c>
      <c r="Z227" s="103">
        <v>0</v>
      </c>
      <c r="AA227" s="105">
        <v>0</v>
      </c>
      <c r="AB227" s="106">
        <v>0</v>
      </c>
      <c r="AC227" s="105">
        <v>0</v>
      </c>
      <c r="AD227" s="104">
        <v>0</v>
      </c>
      <c r="AE227" s="104">
        <v>0</v>
      </c>
      <c r="AF227" s="107">
        <v>46265</v>
      </c>
    </row>
    <row r="228" spans="1:33" x14ac:dyDescent="0.25">
      <c r="A228" s="90">
        <v>1007</v>
      </c>
      <c r="B228" s="91" t="s">
        <v>497</v>
      </c>
      <c r="C228" s="29">
        <v>10070045</v>
      </c>
      <c r="D228" s="92" t="s">
        <v>487</v>
      </c>
      <c r="E228" s="93" t="s">
        <v>270</v>
      </c>
      <c r="F228" s="93" t="s">
        <v>230</v>
      </c>
      <c r="G228" s="109">
        <v>19.200000000000003</v>
      </c>
      <c r="H228" s="109">
        <v>767.68000000000006</v>
      </c>
      <c r="I228" s="95">
        <v>0</v>
      </c>
      <c r="J228" s="95">
        <v>0</v>
      </c>
      <c r="K228" s="95">
        <v>0</v>
      </c>
      <c r="L228" s="95">
        <v>0</v>
      </c>
      <c r="M228" s="96">
        <v>2</v>
      </c>
      <c r="N228" s="97">
        <v>0</v>
      </c>
      <c r="O228" s="98">
        <v>0</v>
      </c>
      <c r="P228" s="33"/>
      <c r="Q228" s="99" t="s">
        <v>1198</v>
      </c>
      <c r="R228" s="100"/>
      <c r="S228" s="101">
        <v>2.3317007086286956E-3</v>
      </c>
      <c r="T228" s="102">
        <v>1</v>
      </c>
      <c r="U228" s="103">
        <v>0</v>
      </c>
      <c r="V228" s="103">
        <v>0</v>
      </c>
      <c r="W228" s="104">
        <v>0</v>
      </c>
      <c r="X228" s="19"/>
      <c r="Y228" s="103">
        <v>0</v>
      </c>
      <c r="Z228" s="103">
        <v>0</v>
      </c>
      <c r="AA228" s="105">
        <v>0</v>
      </c>
      <c r="AB228" s="106">
        <v>0</v>
      </c>
      <c r="AC228" s="105">
        <v>0</v>
      </c>
      <c r="AD228" s="104">
        <v>0</v>
      </c>
      <c r="AE228" s="104">
        <v>0</v>
      </c>
      <c r="AF228" s="107">
        <v>46265</v>
      </c>
    </row>
    <row r="229" spans="1:33" x14ac:dyDescent="0.25">
      <c r="A229" s="90">
        <v>1056</v>
      </c>
      <c r="B229" s="91" t="s">
        <v>1188</v>
      </c>
      <c r="C229" s="29">
        <v>10070046</v>
      </c>
      <c r="D229" s="92" t="s">
        <v>498</v>
      </c>
      <c r="E229" s="93" t="s">
        <v>270</v>
      </c>
      <c r="F229" s="93" t="s">
        <v>230</v>
      </c>
      <c r="G229" s="109">
        <v>1035.6000000000001</v>
      </c>
      <c r="H229" s="109">
        <v>41350.42</v>
      </c>
      <c r="I229" s="95">
        <v>0</v>
      </c>
      <c r="J229" s="95">
        <v>0</v>
      </c>
      <c r="K229" s="95">
        <v>0</v>
      </c>
      <c r="L229" s="95">
        <v>0</v>
      </c>
      <c r="M229" s="96">
        <v>0</v>
      </c>
      <c r="N229" s="97">
        <v>0</v>
      </c>
      <c r="O229" s="98">
        <v>0</v>
      </c>
      <c r="P229" s="33"/>
      <c r="Q229" s="99" t="s">
        <v>1198</v>
      </c>
      <c r="R229" s="100"/>
      <c r="S229" s="101">
        <v>-4.1076487252124622E-2</v>
      </c>
      <c r="T229" s="102">
        <v>7</v>
      </c>
      <c r="U229" s="103">
        <v>0</v>
      </c>
      <c r="V229" s="103">
        <v>0</v>
      </c>
      <c r="W229" s="104">
        <v>0</v>
      </c>
      <c r="X229" s="19"/>
      <c r="Y229" s="103">
        <v>0</v>
      </c>
      <c r="Z229" s="103">
        <v>0</v>
      </c>
      <c r="AA229" s="105">
        <v>0</v>
      </c>
      <c r="AB229" s="106">
        <v>0</v>
      </c>
      <c r="AC229" s="105">
        <v>0</v>
      </c>
      <c r="AD229" s="104">
        <v>0</v>
      </c>
      <c r="AE229" s="104">
        <v>0</v>
      </c>
      <c r="AF229" s="107">
        <v>46265</v>
      </c>
    </row>
    <row r="230" spans="1:33" x14ac:dyDescent="0.25">
      <c r="A230" s="90">
        <v>1010</v>
      </c>
      <c r="B230" s="91" t="s">
        <v>1189</v>
      </c>
      <c r="C230" s="29">
        <v>10070048</v>
      </c>
      <c r="D230" s="92" t="s">
        <v>499</v>
      </c>
      <c r="E230" s="93" t="s">
        <v>270</v>
      </c>
      <c r="F230" s="93" t="s">
        <v>230</v>
      </c>
      <c r="G230" s="109">
        <v>1358.5</v>
      </c>
      <c r="H230" s="109">
        <v>54805.82999999998</v>
      </c>
      <c r="I230" s="95">
        <v>0</v>
      </c>
      <c r="J230" s="95">
        <v>0</v>
      </c>
      <c r="K230" s="95">
        <v>0</v>
      </c>
      <c r="L230" s="95">
        <v>0</v>
      </c>
      <c r="M230" s="96">
        <v>0</v>
      </c>
      <c r="N230" s="97">
        <v>0</v>
      </c>
      <c r="O230" s="98">
        <v>0</v>
      </c>
      <c r="P230" s="33"/>
      <c r="Q230" s="99" t="s">
        <v>1198</v>
      </c>
      <c r="R230" s="100"/>
      <c r="S230" s="101">
        <v>-6.8486509555644531E-2</v>
      </c>
      <c r="T230" s="102">
        <v>9</v>
      </c>
      <c r="U230" s="103">
        <v>0</v>
      </c>
      <c r="V230" s="103">
        <v>0</v>
      </c>
      <c r="W230" s="104">
        <v>0</v>
      </c>
      <c r="X230" s="19"/>
      <c r="Y230" s="103">
        <v>0</v>
      </c>
      <c r="Z230" s="103">
        <v>0</v>
      </c>
      <c r="AA230" s="105">
        <v>0</v>
      </c>
      <c r="AB230" s="106">
        <v>0</v>
      </c>
      <c r="AC230" s="105">
        <v>0</v>
      </c>
      <c r="AD230" s="104">
        <v>0</v>
      </c>
      <c r="AE230" s="104">
        <v>0</v>
      </c>
      <c r="AF230" s="107">
        <v>46265</v>
      </c>
    </row>
    <row r="231" spans="1:33" x14ac:dyDescent="0.25">
      <c r="A231" s="90">
        <v>1056</v>
      </c>
      <c r="B231" s="91" t="s">
        <v>1188</v>
      </c>
      <c r="C231" s="29">
        <v>10070053</v>
      </c>
      <c r="D231" s="92" t="s">
        <v>500</v>
      </c>
      <c r="E231" s="93" t="s">
        <v>270</v>
      </c>
      <c r="F231" s="93" t="s">
        <v>230</v>
      </c>
      <c r="G231" s="109">
        <v>291.52000000000004</v>
      </c>
      <c r="H231" s="109">
        <v>10557.5</v>
      </c>
      <c r="I231" s="95">
        <v>0</v>
      </c>
      <c r="J231" s="95">
        <v>0</v>
      </c>
      <c r="K231" s="95">
        <v>0</v>
      </c>
      <c r="L231" s="95">
        <v>0</v>
      </c>
      <c r="M231" s="96">
        <v>-10</v>
      </c>
      <c r="N231" s="97" t="s">
        <v>331</v>
      </c>
      <c r="O231" s="98">
        <v>-10</v>
      </c>
      <c r="P231" s="33" t="s">
        <v>501</v>
      </c>
      <c r="Q231" s="99" t="s">
        <v>1198</v>
      </c>
      <c r="R231" s="100"/>
      <c r="S231" s="101">
        <v>-8.5815770779062192E-4</v>
      </c>
      <c r="T231" s="102">
        <v>1</v>
      </c>
      <c r="U231" s="103">
        <v>0</v>
      </c>
      <c r="V231" s="103">
        <v>0</v>
      </c>
      <c r="W231" s="104">
        <v>0</v>
      </c>
      <c r="X231" s="19"/>
      <c r="Y231" s="103">
        <v>0</v>
      </c>
      <c r="Z231" s="103">
        <v>0</v>
      </c>
      <c r="AA231" s="105">
        <v>0</v>
      </c>
      <c r="AB231" s="106">
        <v>0</v>
      </c>
      <c r="AC231" s="105">
        <v>0</v>
      </c>
      <c r="AD231" s="104">
        <v>0</v>
      </c>
      <c r="AE231" s="104">
        <v>-10</v>
      </c>
      <c r="AF231" s="107">
        <v>46265</v>
      </c>
    </row>
    <row r="232" spans="1:33" x14ac:dyDescent="0.25">
      <c r="A232" s="90">
        <v>1056</v>
      </c>
      <c r="B232" s="91" t="s">
        <v>1188</v>
      </c>
      <c r="C232" s="29">
        <v>10070056</v>
      </c>
      <c r="D232" s="92" t="s">
        <v>502</v>
      </c>
      <c r="E232" s="93" t="s">
        <v>275</v>
      </c>
      <c r="F232" s="93" t="s">
        <v>231</v>
      </c>
      <c r="G232" s="109">
        <v>33.36</v>
      </c>
      <c r="H232" s="109">
        <v>1404.13</v>
      </c>
      <c r="I232" s="95">
        <v>0</v>
      </c>
      <c r="J232" s="95">
        <v>0</v>
      </c>
      <c r="K232" s="95">
        <v>0</v>
      </c>
      <c r="L232" s="95">
        <v>0</v>
      </c>
      <c r="M232" s="96">
        <v>0</v>
      </c>
      <c r="N232" s="97">
        <v>0</v>
      </c>
      <c r="O232" s="98">
        <v>0</v>
      </c>
      <c r="P232" s="33"/>
      <c r="Q232" s="99" t="s">
        <v>1198</v>
      </c>
      <c r="R232" s="100"/>
      <c r="S232" s="101">
        <v>0</v>
      </c>
      <c r="T232" s="102">
        <v>0</v>
      </c>
      <c r="U232" s="103">
        <v>0</v>
      </c>
      <c r="V232" s="103">
        <v>0</v>
      </c>
      <c r="W232" s="104">
        <v>0</v>
      </c>
      <c r="X232" s="19"/>
      <c r="Y232" s="103">
        <v>0</v>
      </c>
      <c r="Z232" s="103">
        <v>0</v>
      </c>
      <c r="AA232" s="105">
        <v>0</v>
      </c>
      <c r="AB232" s="106">
        <v>0</v>
      </c>
      <c r="AC232" s="105">
        <v>0</v>
      </c>
      <c r="AD232" s="104">
        <v>0</v>
      </c>
      <c r="AE232" s="104">
        <v>0</v>
      </c>
      <c r="AF232" s="107">
        <v>46265</v>
      </c>
    </row>
    <row r="233" spans="1:33" x14ac:dyDescent="0.25">
      <c r="A233" s="90">
        <v>1056</v>
      </c>
      <c r="B233" s="91" t="s">
        <v>1188</v>
      </c>
      <c r="C233" s="29">
        <v>10070058</v>
      </c>
      <c r="D233" s="92" t="s">
        <v>503</v>
      </c>
      <c r="E233" s="93" t="s">
        <v>275</v>
      </c>
      <c r="F233" s="93" t="s">
        <v>231</v>
      </c>
      <c r="G233" s="109">
        <v>18.759999999999998</v>
      </c>
      <c r="H233" s="109">
        <v>698.96</v>
      </c>
      <c r="I233" s="95">
        <v>0</v>
      </c>
      <c r="J233" s="95">
        <v>0</v>
      </c>
      <c r="K233" s="95">
        <v>0</v>
      </c>
      <c r="L233" s="95">
        <v>0</v>
      </c>
      <c r="M233" s="96">
        <v>0</v>
      </c>
      <c r="N233" s="97">
        <v>0</v>
      </c>
      <c r="O233" s="98">
        <v>0</v>
      </c>
      <c r="P233" s="33"/>
      <c r="Q233" s="99" t="s">
        <v>1198</v>
      </c>
      <c r="R233" s="100"/>
      <c r="S233" s="101">
        <v>0</v>
      </c>
      <c r="T233" s="102">
        <v>0</v>
      </c>
      <c r="U233" s="103">
        <v>0</v>
      </c>
      <c r="V233" s="103">
        <v>0</v>
      </c>
      <c r="W233" s="104">
        <v>0</v>
      </c>
      <c r="X233" s="19"/>
      <c r="Y233" s="103">
        <v>0</v>
      </c>
      <c r="Z233" s="103">
        <v>0</v>
      </c>
      <c r="AA233" s="105">
        <v>0</v>
      </c>
      <c r="AB233" s="106">
        <v>0</v>
      </c>
      <c r="AC233" s="105">
        <v>0</v>
      </c>
      <c r="AD233" s="104">
        <v>0</v>
      </c>
      <c r="AE233" s="104">
        <v>0</v>
      </c>
      <c r="AF233" s="107">
        <v>46265</v>
      </c>
    </row>
    <row r="234" spans="1:33" x14ac:dyDescent="0.25">
      <c r="A234" s="90">
        <v>1056</v>
      </c>
      <c r="B234" s="91" t="s">
        <v>1188</v>
      </c>
      <c r="C234" s="29">
        <v>10070059</v>
      </c>
      <c r="D234" s="92" t="s">
        <v>504</v>
      </c>
      <c r="E234" s="93" t="s">
        <v>275</v>
      </c>
      <c r="F234" s="93" t="s">
        <v>230</v>
      </c>
      <c r="G234" s="109">
        <v>757.93999999999994</v>
      </c>
      <c r="H234" s="109">
        <v>29517.940000000002</v>
      </c>
      <c r="I234" s="95">
        <v>0</v>
      </c>
      <c r="J234" s="95">
        <v>0</v>
      </c>
      <c r="K234" s="95">
        <v>0</v>
      </c>
      <c r="L234" s="95">
        <v>0</v>
      </c>
      <c r="M234" s="96">
        <v>0</v>
      </c>
      <c r="N234" s="97">
        <v>0</v>
      </c>
      <c r="O234" s="98">
        <v>0</v>
      </c>
      <c r="P234" s="33"/>
      <c r="Q234" s="99" t="s">
        <v>1198</v>
      </c>
      <c r="R234" s="100"/>
      <c r="S234" s="101">
        <v>-6.4862249872450145E-3</v>
      </c>
      <c r="T234" s="102">
        <v>10</v>
      </c>
      <c r="U234" s="103">
        <v>0</v>
      </c>
      <c r="V234" s="103">
        <v>0</v>
      </c>
      <c r="W234" s="104">
        <v>0</v>
      </c>
      <c r="X234" s="19"/>
      <c r="Y234" s="103">
        <v>0</v>
      </c>
      <c r="Z234" s="103">
        <v>0</v>
      </c>
      <c r="AA234" s="105">
        <v>0</v>
      </c>
      <c r="AB234" s="106">
        <v>0</v>
      </c>
      <c r="AC234" s="105">
        <v>0</v>
      </c>
      <c r="AD234" s="104">
        <v>0</v>
      </c>
      <c r="AE234" s="104">
        <v>0</v>
      </c>
      <c r="AF234" s="107">
        <v>46265</v>
      </c>
    </row>
    <row r="235" spans="1:33" x14ac:dyDescent="0.25">
      <c r="A235" s="90">
        <v>1007</v>
      </c>
      <c r="B235" s="91" t="s">
        <v>497</v>
      </c>
      <c r="C235" s="29">
        <v>10070061</v>
      </c>
      <c r="D235" s="92" t="s">
        <v>505</v>
      </c>
      <c r="E235" s="93" t="s">
        <v>275</v>
      </c>
      <c r="F235" s="93" t="s">
        <v>231</v>
      </c>
      <c r="G235" s="109">
        <v>265</v>
      </c>
      <c r="H235" s="109">
        <v>9936.3799999999992</v>
      </c>
      <c r="I235" s="95">
        <v>0</v>
      </c>
      <c r="J235" s="95">
        <v>100</v>
      </c>
      <c r="K235" s="95">
        <v>0</v>
      </c>
      <c r="L235" s="95">
        <v>0</v>
      </c>
      <c r="M235" s="96">
        <v>0</v>
      </c>
      <c r="N235" s="97">
        <v>0</v>
      </c>
      <c r="O235" s="98">
        <v>0</v>
      </c>
      <c r="P235" s="33"/>
      <c r="Q235" s="99" t="s">
        <v>1198</v>
      </c>
      <c r="R235" s="100"/>
      <c r="S235" s="101">
        <v>0</v>
      </c>
      <c r="T235" s="102">
        <v>0</v>
      </c>
      <c r="U235" s="110">
        <v>100</v>
      </c>
      <c r="V235" s="103">
        <v>100</v>
      </c>
      <c r="W235" s="104">
        <v>0</v>
      </c>
      <c r="X235" s="19"/>
      <c r="Y235" s="103">
        <v>0</v>
      </c>
      <c r="Z235" s="103">
        <v>0</v>
      </c>
      <c r="AA235" s="105">
        <v>0</v>
      </c>
      <c r="AB235" s="106">
        <v>0</v>
      </c>
      <c r="AC235" s="105">
        <v>0</v>
      </c>
      <c r="AD235" s="104">
        <v>0</v>
      </c>
      <c r="AE235" s="104">
        <v>0</v>
      </c>
      <c r="AF235" s="107">
        <v>46265</v>
      </c>
    </row>
    <row r="236" spans="1:33" x14ac:dyDescent="0.25">
      <c r="A236" s="90">
        <v>1010</v>
      </c>
      <c r="B236" s="91" t="s">
        <v>1189</v>
      </c>
      <c r="C236" s="29">
        <v>10070063</v>
      </c>
      <c r="D236" s="92" t="s">
        <v>506</v>
      </c>
      <c r="E236" s="93" t="s">
        <v>270</v>
      </c>
      <c r="F236" s="93" t="s">
        <v>230</v>
      </c>
      <c r="G236" s="109">
        <v>332.20000000000005</v>
      </c>
      <c r="H236" s="109">
        <v>12378.859999999999</v>
      </c>
      <c r="I236" s="95">
        <v>0</v>
      </c>
      <c r="J236" s="95">
        <v>0</v>
      </c>
      <c r="K236" s="95">
        <v>0</v>
      </c>
      <c r="L236" s="95">
        <v>0</v>
      </c>
      <c r="M236" s="96">
        <v>0</v>
      </c>
      <c r="N236" s="97">
        <v>0</v>
      </c>
      <c r="O236" s="98">
        <v>0</v>
      </c>
      <c r="P236" s="33"/>
      <c r="Q236" s="99" t="s">
        <v>1198</v>
      </c>
      <c r="R236" s="100"/>
      <c r="S236" s="101">
        <v>-0.10321305839148369</v>
      </c>
      <c r="T236" s="102">
        <v>1</v>
      </c>
      <c r="U236" s="103">
        <v>0</v>
      </c>
      <c r="V236" s="103">
        <v>0</v>
      </c>
      <c r="W236" s="104">
        <v>0</v>
      </c>
      <c r="X236" s="19"/>
      <c r="Y236" s="103">
        <v>0</v>
      </c>
      <c r="Z236" s="103">
        <v>0</v>
      </c>
      <c r="AA236" s="105">
        <v>0</v>
      </c>
      <c r="AB236" s="106">
        <v>0</v>
      </c>
      <c r="AC236" s="105">
        <v>0</v>
      </c>
      <c r="AD236" s="104">
        <v>0</v>
      </c>
      <c r="AE236" s="104">
        <v>0</v>
      </c>
      <c r="AF236" s="107">
        <v>46265</v>
      </c>
    </row>
    <row r="237" spans="1:33" x14ac:dyDescent="0.25">
      <c r="A237" s="90">
        <v>1056</v>
      </c>
      <c r="B237" s="91" t="s">
        <v>1188</v>
      </c>
      <c r="C237" s="29">
        <v>10070064</v>
      </c>
      <c r="D237" s="92" t="s">
        <v>507</v>
      </c>
      <c r="E237" s="93" t="s">
        <v>270</v>
      </c>
      <c r="F237" s="93" t="s">
        <v>230</v>
      </c>
      <c r="G237" s="109">
        <v>607.14</v>
      </c>
      <c r="H237" s="109">
        <v>25039.210000000003</v>
      </c>
      <c r="I237" s="95">
        <v>0</v>
      </c>
      <c r="J237" s="95">
        <v>0</v>
      </c>
      <c r="K237" s="95">
        <v>0</v>
      </c>
      <c r="L237" s="95">
        <v>0</v>
      </c>
      <c r="M237" s="96">
        <v>0</v>
      </c>
      <c r="N237" s="97">
        <v>0</v>
      </c>
      <c r="O237" s="98">
        <v>0</v>
      </c>
      <c r="P237" s="33"/>
      <c r="Q237" s="99" t="s">
        <v>1198</v>
      </c>
      <c r="R237" s="100"/>
      <c r="S237" s="101">
        <v>-5.2819957179160042E-2</v>
      </c>
      <c r="T237" s="102">
        <v>8</v>
      </c>
      <c r="U237" s="103">
        <v>0</v>
      </c>
      <c r="V237" s="103">
        <v>0</v>
      </c>
      <c r="W237" s="104">
        <v>0</v>
      </c>
      <c r="X237" s="19"/>
      <c r="Y237" s="103">
        <v>0</v>
      </c>
      <c r="Z237" s="103">
        <v>0</v>
      </c>
      <c r="AA237" s="105">
        <v>0</v>
      </c>
      <c r="AB237" s="106">
        <v>0</v>
      </c>
      <c r="AC237" s="105">
        <v>0</v>
      </c>
      <c r="AD237" s="104">
        <v>0</v>
      </c>
      <c r="AE237" s="104">
        <v>0</v>
      </c>
      <c r="AF237" s="107">
        <v>46265</v>
      </c>
    </row>
    <row r="238" spans="1:33" x14ac:dyDescent="0.25">
      <c r="A238" s="90">
        <v>1007</v>
      </c>
      <c r="B238" s="91" t="s">
        <v>497</v>
      </c>
      <c r="C238" s="29">
        <v>10070067</v>
      </c>
      <c r="D238" s="92" t="s">
        <v>508</v>
      </c>
      <c r="E238" s="93" t="s">
        <v>275</v>
      </c>
      <c r="F238" s="93" t="s">
        <v>231</v>
      </c>
      <c r="G238" s="109">
        <v>1481.4000000000003</v>
      </c>
      <c r="H238" s="109">
        <v>60064.990000000005</v>
      </c>
      <c r="I238" s="95">
        <v>0</v>
      </c>
      <c r="J238" s="95">
        <v>0</v>
      </c>
      <c r="K238" s="95">
        <v>0</v>
      </c>
      <c r="L238" s="95">
        <v>0</v>
      </c>
      <c r="M238" s="96">
        <v>0</v>
      </c>
      <c r="N238" s="97">
        <v>0</v>
      </c>
      <c r="O238" s="98">
        <v>0</v>
      </c>
      <c r="P238" s="33"/>
      <c r="Q238" s="99" t="s">
        <v>1198</v>
      </c>
      <c r="R238" s="100"/>
      <c r="S238" s="101">
        <v>0</v>
      </c>
      <c r="T238" s="102">
        <v>0</v>
      </c>
      <c r="U238" s="103">
        <v>0</v>
      </c>
      <c r="V238" s="103">
        <v>0</v>
      </c>
      <c r="W238" s="104">
        <v>0</v>
      </c>
      <c r="X238" s="19"/>
      <c r="Y238" s="103">
        <v>0</v>
      </c>
      <c r="Z238" s="103">
        <v>0</v>
      </c>
      <c r="AA238" s="105">
        <v>0</v>
      </c>
      <c r="AB238" s="106">
        <v>0</v>
      </c>
      <c r="AC238" s="105">
        <v>0</v>
      </c>
      <c r="AD238" s="104">
        <v>0</v>
      </c>
      <c r="AE238" s="104">
        <v>0</v>
      </c>
      <c r="AF238" s="107">
        <v>46265</v>
      </c>
    </row>
    <row r="239" spans="1:33" x14ac:dyDescent="0.25">
      <c r="A239" s="90">
        <v>1007</v>
      </c>
      <c r="B239" s="91" t="s">
        <v>497</v>
      </c>
      <c r="C239" s="29">
        <v>10070072</v>
      </c>
      <c r="D239" s="92" t="s">
        <v>509</v>
      </c>
      <c r="E239" s="93" t="s">
        <v>275</v>
      </c>
      <c r="F239" s="93" t="s">
        <v>231</v>
      </c>
      <c r="G239" s="109">
        <v>292.20000000000005</v>
      </c>
      <c r="H239" s="109">
        <v>11304.74</v>
      </c>
      <c r="I239" s="95">
        <v>0</v>
      </c>
      <c r="J239" s="95">
        <v>0</v>
      </c>
      <c r="K239" s="95">
        <v>0</v>
      </c>
      <c r="L239" s="95">
        <v>0</v>
      </c>
      <c r="M239" s="96">
        <v>0</v>
      </c>
      <c r="N239" s="97">
        <v>0</v>
      </c>
      <c r="O239" s="98">
        <v>0</v>
      </c>
      <c r="P239" s="33"/>
      <c r="Q239" s="99" t="s">
        <v>1198</v>
      </c>
      <c r="R239" s="100"/>
      <c r="S239" s="101">
        <v>0</v>
      </c>
      <c r="T239" s="102">
        <v>1</v>
      </c>
      <c r="U239" s="103">
        <v>0</v>
      </c>
      <c r="V239" s="103">
        <v>0</v>
      </c>
      <c r="W239" s="104">
        <v>0</v>
      </c>
      <c r="X239" s="19"/>
      <c r="Y239" s="103">
        <v>0</v>
      </c>
      <c r="Z239" s="103">
        <v>0</v>
      </c>
      <c r="AA239" s="105">
        <v>0</v>
      </c>
      <c r="AB239" s="106">
        <v>0</v>
      </c>
      <c r="AC239" s="105">
        <v>0</v>
      </c>
      <c r="AD239" s="104">
        <v>0</v>
      </c>
      <c r="AE239" s="104">
        <v>0</v>
      </c>
      <c r="AF239" s="107">
        <v>46265</v>
      </c>
    </row>
    <row r="240" spans="1:33" x14ac:dyDescent="0.25">
      <c r="A240" s="90">
        <v>1007</v>
      </c>
      <c r="B240" s="91" t="s">
        <v>497</v>
      </c>
      <c r="C240" s="29">
        <v>10070074</v>
      </c>
      <c r="D240" s="92" t="s">
        <v>510</v>
      </c>
      <c r="E240" s="93" t="s">
        <v>275</v>
      </c>
      <c r="F240" s="93" t="s">
        <v>231</v>
      </c>
      <c r="G240" s="109">
        <v>217.09999999999997</v>
      </c>
      <c r="H240" s="109">
        <v>8729.33</v>
      </c>
      <c r="I240" s="95">
        <v>0</v>
      </c>
      <c r="J240" s="95">
        <v>0</v>
      </c>
      <c r="K240" s="95">
        <v>0</v>
      </c>
      <c r="L240" s="95">
        <v>0</v>
      </c>
      <c r="M240" s="96">
        <v>0</v>
      </c>
      <c r="N240" s="97">
        <v>0</v>
      </c>
      <c r="O240" s="98">
        <v>0</v>
      </c>
      <c r="P240" s="33"/>
      <c r="Q240" s="99" t="s">
        <v>1198</v>
      </c>
      <c r="R240" s="100"/>
      <c r="S240" s="101">
        <v>0</v>
      </c>
      <c r="T240" s="102">
        <v>0</v>
      </c>
      <c r="U240" s="103">
        <v>0</v>
      </c>
      <c r="V240" s="103">
        <v>0</v>
      </c>
      <c r="W240" s="104">
        <v>0</v>
      </c>
      <c r="X240" s="19"/>
      <c r="Y240" s="103">
        <v>0</v>
      </c>
      <c r="Z240" s="103">
        <v>0</v>
      </c>
      <c r="AA240" s="105">
        <v>0</v>
      </c>
      <c r="AB240" s="106">
        <v>0</v>
      </c>
      <c r="AC240" s="105">
        <v>0</v>
      </c>
      <c r="AD240" s="104">
        <v>0</v>
      </c>
      <c r="AE240" s="104">
        <v>0</v>
      </c>
      <c r="AF240" s="107">
        <v>46265</v>
      </c>
      <c r="AG240" s="108"/>
    </row>
    <row r="241" spans="1:33" x14ac:dyDescent="0.25">
      <c r="A241" s="90">
        <v>1007</v>
      </c>
      <c r="B241" s="91" t="s">
        <v>497</v>
      </c>
      <c r="C241" s="29">
        <v>10070077</v>
      </c>
      <c r="D241" s="92" t="s">
        <v>511</v>
      </c>
      <c r="E241" s="93" t="s">
        <v>270</v>
      </c>
      <c r="F241" s="93" t="s">
        <v>230</v>
      </c>
      <c r="G241" s="109">
        <v>563</v>
      </c>
      <c r="H241" s="109">
        <v>22099.520000000004</v>
      </c>
      <c r="I241" s="95">
        <v>0</v>
      </c>
      <c r="J241" s="95">
        <v>0</v>
      </c>
      <c r="K241" s="95">
        <v>500</v>
      </c>
      <c r="L241" s="95">
        <v>0</v>
      </c>
      <c r="M241" s="96">
        <v>0</v>
      </c>
      <c r="N241" s="97">
        <v>0</v>
      </c>
      <c r="O241" s="98">
        <v>0</v>
      </c>
      <c r="P241" s="33"/>
      <c r="Q241" s="99" t="s">
        <v>1198</v>
      </c>
      <c r="R241" s="100"/>
      <c r="S241" s="101">
        <v>-5.9599937012206304E-2</v>
      </c>
      <c r="T241" s="102">
        <v>5</v>
      </c>
      <c r="U241" s="103">
        <v>0</v>
      </c>
      <c r="V241" s="103">
        <v>0</v>
      </c>
      <c r="W241" s="104">
        <v>0</v>
      </c>
      <c r="X241" s="19"/>
      <c r="Y241" s="103">
        <v>500</v>
      </c>
      <c r="Z241" s="103">
        <v>0</v>
      </c>
      <c r="AA241" s="105">
        <v>0</v>
      </c>
      <c r="AB241" s="106">
        <v>500</v>
      </c>
      <c r="AC241" s="105">
        <v>500</v>
      </c>
      <c r="AD241" s="104">
        <v>0</v>
      </c>
      <c r="AE241" s="104">
        <v>0</v>
      </c>
      <c r="AF241" s="107">
        <v>46265</v>
      </c>
    </row>
    <row r="242" spans="1:33" x14ac:dyDescent="0.25">
      <c r="A242" s="90">
        <v>1007</v>
      </c>
      <c r="B242" s="91" t="s">
        <v>497</v>
      </c>
      <c r="C242" s="29">
        <v>10070078</v>
      </c>
      <c r="D242" s="92" t="s">
        <v>512</v>
      </c>
      <c r="E242" s="93" t="s">
        <v>270</v>
      </c>
      <c r="F242" s="93" t="s">
        <v>230</v>
      </c>
      <c r="G242" s="109">
        <v>684.3</v>
      </c>
      <c r="H242" s="109">
        <v>24529.31</v>
      </c>
      <c r="I242" s="95">
        <v>0</v>
      </c>
      <c r="J242" s="95">
        <v>0</v>
      </c>
      <c r="K242" s="95">
        <v>0</v>
      </c>
      <c r="L242" s="95">
        <v>0</v>
      </c>
      <c r="M242" s="96">
        <v>0</v>
      </c>
      <c r="N242" s="97">
        <v>0</v>
      </c>
      <c r="O242" s="98">
        <v>0</v>
      </c>
      <c r="P242" s="33"/>
      <c r="Q242" s="99" t="s">
        <v>1198</v>
      </c>
      <c r="R242" s="100"/>
      <c r="S242" s="101">
        <v>-5.1375273091660723E-3</v>
      </c>
      <c r="T242" s="102">
        <v>1</v>
      </c>
      <c r="U242" s="103">
        <v>0</v>
      </c>
      <c r="V242" s="103">
        <v>0</v>
      </c>
      <c r="W242" s="104">
        <v>0</v>
      </c>
      <c r="X242" s="19"/>
      <c r="Y242" s="103">
        <v>0</v>
      </c>
      <c r="Z242" s="103">
        <v>0</v>
      </c>
      <c r="AA242" s="105">
        <v>0</v>
      </c>
      <c r="AB242" s="106">
        <v>0</v>
      </c>
      <c r="AC242" s="105">
        <v>0</v>
      </c>
      <c r="AD242" s="104">
        <v>0</v>
      </c>
      <c r="AE242" s="104">
        <v>0</v>
      </c>
      <c r="AF242" s="107">
        <v>46265</v>
      </c>
      <c r="AG242" s="108"/>
    </row>
    <row r="243" spans="1:33" x14ac:dyDescent="0.25">
      <c r="A243" s="90">
        <v>1007</v>
      </c>
      <c r="B243" s="91" t="s">
        <v>497</v>
      </c>
      <c r="C243" s="29">
        <v>10070079</v>
      </c>
      <c r="D243" s="92" t="s">
        <v>513</v>
      </c>
      <c r="E243" s="93" t="s">
        <v>275</v>
      </c>
      <c r="F243" s="93" t="s">
        <v>231</v>
      </c>
      <c r="G243" s="109">
        <v>50</v>
      </c>
      <c r="H243" s="109">
        <v>2495.1999999999998</v>
      </c>
      <c r="I243" s="95">
        <v>0</v>
      </c>
      <c r="J243" s="95">
        <v>0</v>
      </c>
      <c r="K243" s="95">
        <v>0</v>
      </c>
      <c r="L243" s="95">
        <v>0</v>
      </c>
      <c r="M243" s="96">
        <v>0</v>
      </c>
      <c r="N243" s="97">
        <v>0</v>
      </c>
      <c r="O243" s="98">
        <v>0</v>
      </c>
      <c r="P243" s="33"/>
      <c r="Q243" s="99" t="s">
        <v>1198</v>
      </c>
      <c r="R243" s="100"/>
      <c r="S243" s="101">
        <v>0</v>
      </c>
      <c r="T243" s="102">
        <v>0</v>
      </c>
      <c r="U243" s="103">
        <v>0</v>
      </c>
      <c r="V243" s="103">
        <v>0</v>
      </c>
      <c r="W243" s="104">
        <v>0</v>
      </c>
      <c r="X243" s="19"/>
      <c r="Y243" s="103">
        <v>0</v>
      </c>
      <c r="Z243" s="103">
        <v>0</v>
      </c>
      <c r="AA243" s="105">
        <v>0</v>
      </c>
      <c r="AB243" s="106">
        <v>0</v>
      </c>
      <c r="AC243" s="105">
        <v>0</v>
      </c>
      <c r="AD243" s="104">
        <v>0</v>
      </c>
      <c r="AE243" s="104">
        <v>0</v>
      </c>
      <c r="AF243" s="107">
        <v>46265</v>
      </c>
      <c r="AG243" s="108"/>
    </row>
    <row r="244" spans="1:33" x14ac:dyDescent="0.25">
      <c r="A244" s="90">
        <v>1007</v>
      </c>
      <c r="B244" s="91" t="s">
        <v>497</v>
      </c>
      <c r="C244" s="29">
        <v>10070080</v>
      </c>
      <c r="D244" s="92" t="s">
        <v>514</v>
      </c>
      <c r="E244" s="93" t="s">
        <v>275</v>
      </c>
      <c r="F244" s="93" t="s">
        <v>230</v>
      </c>
      <c r="G244" s="109">
        <v>1195.5</v>
      </c>
      <c r="H244" s="109">
        <v>49621.729999999996</v>
      </c>
      <c r="I244" s="95">
        <v>0</v>
      </c>
      <c r="J244" s="95">
        <v>0</v>
      </c>
      <c r="K244" s="95">
        <v>0</v>
      </c>
      <c r="L244" s="95">
        <v>0</v>
      </c>
      <c r="M244" s="96">
        <v>0</v>
      </c>
      <c r="N244" s="97">
        <v>0</v>
      </c>
      <c r="O244" s="98">
        <v>0</v>
      </c>
      <c r="P244" s="33"/>
      <c r="Q244" s="99" t="s">
        <v>1198</v>
      </c>
      <c r="R244" s="100"/>
      <c r="S244" s="101">
        <v>-3.7558545419516837E-2</v>
      </c>
      <c r="T244" s="102">
        <v>9</v>
      </c>
      <c r="U244" s="103">
        <v>0</v>
      </c>
      <c r="V244" s="103">
        <v>0</v>
      </c>
      <c r="W244" s="104">
        <v>0</v>
      </c>
      <c r="X244" s="19"/>
      <c r="Y244" s="103">
        <v>0</v>
      </c>
      <c r="Z244" s="103">
        <v>0</v>
      </c>
      <c r="AA244" s="105">
        <v>0</v>
      </c>
      <c r="AB244" s="106">
        <v>0</v>
      </c>
      <c r="AC244" s="105">
        <v>0</v>
      </c>
      <c r="AD244" s="104">
        <v>0</v>
      </c>
      <c r="AE244" s="104">
        <v>0</v>
      </c>
      <c r="AF244" s="107">
        <v>46265</v>
      </c>
    </row>
    <row r="245" spans="1:33" x14ac:dyDescent="0.25">
      <c r="A245" s="90">
        <v>1055</v>
      </c>
      <c r="B245" s="91" t="s">
        <v>106</v>
      </c>
      <c r="C245" s="29">
        <v>10080001</v>
      </c>
      <c r="D245" s="92" t="s">
        <v>515</v>
      </c>
      <c r="E245" s="93" t="s">
        <v>275</v>
      </c>
      <c r="F245" s="93" t="s">
        <v>231</v>
      </c>
      <c r="G245" s="109">
        <v>273.10000000000002</v>
      </c>
      <c r="H245" s="109">
        <v>11010.9</v>
      </c>
      <c r="I245" s="95">
        <v>0</v>
      </c>
      <c r="J245" s="95">
        <v>0</v>
      </c>
      <c r="K245" s="95">
        <v>0</v>
      </c>
      <c r="L245" s="95">
        <v>0</v>
      </c>
      <c r="M245" s="96">
        <v>0</v>
      </c>
      <c r="N245" s="97">
        <v>0</v>
      </c>
      <c r="O245" s="98">
        <v>0</v>
      </c>
      <c r="P245" s="33"/>
      <c r="Q245" s="99" t="s">
        <v>1198</v>
      </c>
      <c r="R245" s="100"/>
      <c r="S245" s="101">
        <v>0</v>
      </c>
      <c r="T245" s="102">
        <v>0</v>
      </c>
      <c r="U245" s="103">
        <v>0</v>
      </c>
      <c r="V245" s="103">
        <v>0</v>
      </c>
      <c r="W245" s="104">
        <v>0</v>
      </c>
      <c r="X245" s="19"/>
      <c r="Y245" s="103">
        <v>0</v>
      </c>
      <c r="Z245" s="103">
        <v>0</v>
      </c>
      <c r="AA245" s="105">
        <v>0</v>
      </c>
      <c r="AB245" s="106">
        <v>0</v>
      </c>
      <c r="AC245" s="105">
        <v>0</v>
      </c>
      <c r="AD245" s="104">
        <v>0</v>
      </c>
      <c r="AE245" s="104">
        <v>0</v>
      </c>
      <c r="AF245" s="107">
        <v>46265</v>
      </c>
    </row>
    <row r="246" spans="1:33" x14ac:dyDescent="0.25">
      <c r="A246" s="90">
        <v>1008</v>
      </c>
      <c r="B246" s="91" t="s">
        <v>1190</v>
      </c>
      <c r="C246" s="29">
        <v>10080002</v>
      </c>
      <c r="D246" s="92" t="s">
        <v>516</v>
      </c>
      <c r="E246" s="93" t="s">
        <v>270</v>
      </c>
      <c r="F246" s="93" t="s">
        <v>231</v>
      </c>
      <c r="G246" s="109">
        <v>263.64999999999998</v>
      </c>
      <c r="H246" s="109">
        <v>10312.9</v>
      </c>
      <c r="I246" s="95">
        <v>0</v>
      </c>
      <c r="J246" s="95">
        <v>0</v>
      </c>
      <c r="K246" s="95">
        <v>0</v>
      </c>
      <c r="L246" s="95">
        <v>0</v>
      </c>
      <c r="M246" s="96">
        <v>0</v>
      </c>
      <c r="N246" s="97">
        <v>0</v>
      </c>
      <c r="O246" s="98">
        <v>0</v>
      </c>
      <c r="P246" s="33"/>
      <c r="Q246" s="99" t="s">
        <v>1198</v>
      </c>
      <c r="R246" s="100"/>
      <c r="S246" s="101">
        <v>0</v>
      </c>
      <c r="T246" s="102">
        <v>0</v>
      </c>
      <c r="U246" s="103">
        <v>0</v>
      </c>
      <c r="V246" s="103">
        <v>0</v>
      </c>
      <c r="W246" s="104">
        <v>0</v>
      </c>
      <c r="X246" s="19"/>
      <c r="Y246" s="103">
        <v>0</v>
      </c>
      <c r="Z246" s="103">
        <v>0</v>
      </c>
      <c r="AA246" s="105">
        <v>0</v>
      </c>
      <c r="AB246" s="106">
        <v>0</v>
      </c>
      <c r="AC246" s="105">
        <v>0</v>
      </c>
      <c r="AD246" s="104">
        <v>0</v>
      </c>
      <c r="AE246" s="104">
        <v>0</v>
      </c>
      <c r="AF246" s="107">
        <v>46265</v>
      </c>
      <c r="AG246" s="108"/>
    </row>
    <row r="247" spans="1:33" x14ac:dyDescent="0.25">
      <c r="A247" s="90">
        <v>1008</v>
      </c>
      <c r="B247" s="91" t="s">
        <v>1190</v>
      </c>
      <c r="C247" s="29">
        <v>10080004</v>
      </c>
      <c r="D247" s="92" t="s">
        <v>517</v>
      </c>
      <c r="E247" s="93" t="s">
        <v>275</v>
      </c>
      <c r="F247" s="93" t="s">
        <v>231</v>
      </c>
      <c r="G247" s="109">
        <v>5</v>
      </c>
      <c r="H247" s="109">
        <v>201.39</v>
      </c>
      <c r="I247" s="95">
        <v>0</v>
      </c>
      <c r="J247" s="95">
        <v>0</v>
      </c>
      <c r="K247" s="95">
        <v>0</v>
      </c>
      <c r="L247" s="95">
        <v>0</v>
      </c>
      <c r="M247" s="96">
        <v>0</v>
      </c>
      <c r="N247" s="97">
        <v>0</v>
      </c>
      <c r="O247" s="98">
        <v>0</v>
      </c>
      <c r="P247" s="33"/>
      <c r="Q247" s="99" t="s">
        <v>1198</v>
      </c>
      <c r="R247" s="100"/>
      <c r="S247" s="101">
        <v>0</v>
      </c>
      <c r="T247" s="102">
        <v>0</v>
      </c>
      <c r="U247" s="103">
        <v>0</v>
      </c>
      <c r="V247" s="103">
        <v>0</v>
      </c>
      <c r="W247" s="104">
        <v>0</v>
      </c>
      <c r="X247" s="19"/>
      <c r="Y247" s="103">
        <v>0</v>
      </c>
      <c r="Z247" s="103">
        <v>0</v>
      </c>
      <c r="AA247" s="105">
        <v>0</v>
      </c>
      <c r="AB247" s="106">
        <v>0</v>
      </c>
      <c r="AC247" s="105">
        <v>0</v>
      </c>
      <c r="AD247" s="104">
        <v>0</v>
      </c>
      <c r="AE247" s="104">
        <v>0</v>
      </c>
      <c r="AF247" s="107">
        <v>46265</v>
      </c>
      <c r="AG247" s="108"/>
    </row>
    <row r="248" spans="1:33" x14ac:dyDescent="0.25">
      <c r="A248" s="90">
        <v>1008</v>
      </c>
      <c r="B248" s="91" t="s">
        <v>1190</v>
      </c>
      <c r="C248" s="29">
        <v>10080006</v>
      </c>
      <c r="D248" s="92" t="s">
        <v>518</v>
      </c>
      <c r="E248" s="93" t="s">
        <v>275</v>
      </c>
      <c r="F248" s="93" t="s">
        <v>231</v>
      </c>
      <c r="G248" s="109">
        <v>98.199999999999989</v>
      </c>
      <c r="H248" s="109">
        <v>3461.09</v>
      </c>
      <c r="I248" s="95">
        <v>0</v>
      </c>
      <c r="J248" s="95">
        <v>0</v>
      </c>
      <c r="K248" s="95">
        <v>0</v>
      </c>
      <c r="L248" s="95">
        <v>0</v>
      </c>
      <c r="M248" s="96">
        <v>0</v>
      </c>
      <c r="N248" s="97">
        <v>0</v>
      </c>
      <c r="O248" s="98">
        <v>0</v>
      </c>
      <c r="P248" s="33"/>
      <c r="Q248" s="99" t="s">
        <v>1198</v>
      </c>
      <c r="R248" s="100"/>
      <c r="S248" s="101">
        <v>0</v>
      </c>
      <c r="T248" s="102">
        <v>0</v>
      </c>
      <c r="U248" s="103">
        <v>0</v>
      </c>
      <c r="V248" s="103">
        <v>0</v>
      </c>
      <c r="W248" s="104">
        <v>0</v>
      </c>
      <c r="X248" s="19"/>
      <c r="Y248" s="103">
        <v>0</v>
      </c>
      <c r="Z248" s="103">
        <v>0</v>
      </c>
      <c r="AA248" s="105">
        <v>0</v>
      </c>
      <c r="AB248" s="106">
        <v>0</v>
      </c>
      <c r="AC248" s="105">
        <v>0</v>
      </c>
      <c r="AD248" s="104">
        <v>0</v>
      </c>
      <c r="AE248" s="104">
        <v>0</v>
      </c>
      <c r="AF248" s="107">
        <v>46265</v>
      </c>
    </row>
    <row r="249" spans="1:33" x14ac:dyDescent="0.25">
      <c r="A249" s="90">
        <v>1008</v>
      </c>
      <c r="B249" s="91" t="s">
        <v>1190</v>
      </c>
      <c r="C249" s="29">
        <v>10080007</v>
      </c>
      <c r="D249" s="92" t="s">
        <v>519</v>
      </c>
      <c r="E249" s="93" t="s">
        <v>275</v>
      </c>
      <c r="F249" s="93" t="s">
        <v>231</v>
      </c>
      <c r="G249" s="109">
        <v>727.94999999999993</v>
      </c>
      <c r="H249" s="109">
        <v>26117.599999999999</v>
      </c>
      <c r="I249" s="95">
        <v>0</v>
      </c>
      <c r="J249" s="95">
        <v>0</v>
      </c>
      <c r="K249" s="95">
        <v>0</v>
      </c>
      <c r="L249" s="95">
        <v>0</v>
      </c>
      <c r="M249" s="96">
        <v>0</v>
      </c>
      <c r="N249" s="97">
        <v>0</v>
      </c>
      <c r="O249" s="98">
        <v>0</v>
      </c>
      <c r="P249" s="33"/>
      <c r="Q249" s="99" t="s">
        <v>1198</v>
      </c>
      <c r="R249" s="100"/>
      <c r="S249" s="101">
        <v>0</v>
      </c>
      <c r="T249" s="102">
        <v>0</v>
      </c>
      <c r="U249" s="103">
        <v>0</v>
      </c>
      <c r="V249" s="103">
        <v>0</v>
      </c>
      <c r="W249" s="104">
        <v>0</v>
      </c>
      <c r="X249" s="19"/>
      <c r="Y249" s="103">
        <v>0</v>
      </c>
      <c r="Z249" s="103">
        <v>0</v>
      </c>
      <c r="AA249" s="105">
        <v>0</v>
      </c>
      <c r="AB249" s="106">
        <v>0</v>
      </c>
      <c r="AC249" s="105">
        <v>0</v>
      </c>
      <c r="AD249" s="104">
        <v>0</v>
      </c>
      <c r="AE249" s="104">
        <v>0</v>
      </c>
      <c r="AF249" s="107">
        <v>46265</v>
      </c>
    </row>
    <row r="250" spans="1:33" x14ac:dyDescent="0.25">
      <c r="A250" s="90">
        <v>1008</v>
      </c>
      <c r="B250" s="91" t="s">
        <v>1190</v>
      </c>
      <c r="C250" s="29">
        <v>10080013</v>
      </c>
      <c r="D250" s="92" t="s">
        <v>520</v>
      </c>
      <c r="E250" s="93" t="s">
        <v>275</v>
      </c>
      <c r="F250" s="93" t="s">
        <v>231</v>
      </c>
      <c r="G250" s="109">
        <v>230.85000000000002</v>
      </c>
      <c r="H250" s="109">
        <v>9223.9699999999993</v>
      </c>
      <c r="I250" s="95">
        <v>0</v>
      </c>
      <c r="J250" s="95">
        <v>0</v>
      </c>
      <c r="K250" s="95">
        <v>0</v>
      </c>
      <c r="L250" s="95">
        <v>0</v>
      </c>
      <c r="M250" s="96">
        <v>0</v>
      </c>
      <c r="N250" s="97">
        <v>0</v>
      </c>
      <c r="O250" s="98">
        <v>0</v>
      </c>
      <c r="P250" s="33"/>
      <c r="Q250" s="99" t="s">
        <v>1198</v>
      </c>
      <c r="R250" s="100"/>
      <c r="S250" s="101">
        <v>0</v>
      </c>
      <c r="T250" s="102">
        <v>0</v>
      </c>
      <c r="U250" s="103">
        <v>0</v>
      </c>
      <c r="V250" s="103">
        <v>0</v>
      </c>
      <c r="W250" s="104">
        <v>0</v>
      </c>
      <c r="X250" s="19"/>
      <c r="Y250" s="103">
        <v>0</v>
      </c>
      <c r="Z250" s="103">
        <v>0</v>
      </c>
      <c r="AA250" s="105">
        <v>0</v>
      </c>
      <c r="AB250" s="106">
        <v>0</v>
      </c>
      <c r="AC250" s="105">
        <v>0</v>
      </c>
      <c r="AD250" s="104">
        <v>0</v>
      </c>
      <c r="AE250" s="104">
        <v>0</v>
      </c>
      <c r="AF250" s="107">
        <v>46265</v>
      </c>
    </row>
    <row r="251" spans="1:33" x14ac:dyDescent="0.25">
      <c r="A251" s="90">
        <v>1008</v>
      </c>
      <c r="B251" s="91" t="s">
        <v>1190</v>
      </c>
      <c r="C251" s="29">
        <v>10080015</v>
      </c>
      <c r="D251" s="92" t="s">
        <v>521</v>
      </c>
      <c r="E251" s="93" t="s">
        <v>270</v>
      </c>
      <c r="F251" s="93" t="s">
        <v>230</v>
      </c>
      <c r="G251" s="109">
        <v>707.95</v>
      </c>
      <c r="H251" s="109">
        <v>26685.67</v>
      </c>
      <c r="I251" s="95">
        <v>0</v>
      </c>
      <c r="J251" s="95">
        <v>0</v>
      </c>
      <c r="K251" s="95">
        <v>0</v>
      </c>
      <c r="L251" s="95">
        <v>0</v>
      </c>
      <c r="M251" s="96">
        <v>0</v>
      </c>
      <c r="N251" s="97">
        <v>0</v>
      </c>
      <c r="O251" s="98">
        <v>0</v>
      </c>
      <c r="P251" s="33"/>
      <c r="Q251" s="99" t="s">
        <v>1198</v>
      </c>
      <c r="R251" s="100"/>
      <c r="S251" s="101">
        <v>-7.1203008955743686E-3</v>
      </c>
      <c r="T251" s="102">
        <v>3</v>
      </c>
      <c r="U251" s="103">
        <v>0</v>
      </c>
      <c r="V251" s="103">
        <v>0</v>
      </c>
      <c r="W251" s="104">
        <v>0</v>
      </c>
      <c r="X251" s="19"/>
      <c r="Y251" s="103">
        <v>0</v>
      </c>
      <c r="Z251" s="103">
        <v>0</v>
      </c>
      <c r="AA251" s="105">
        <v>0</v>
      </c>
      <c r="AB251" s="106">
        <v>0</v>
      </c>
      <c r="AC251" s="105">
        <v>0</v>
      </c>
      <c r="AD251" s="104">
        <v>0</v>
      </c>
      <c r="AE251" s="104">
        <v>0</v>
      </c>
      <c r="AF251" s="107">
        <v>46265</v>
      </c>
    </row>
    <row r="252" spans="1:33" x14ac:dyDescent="0.25">
      <c r="A252" s="90">
        <v>1008</v>
      </c>
      <c r="B252" s="91" t="s">
        <v>1190</v>
      </c>
      <c r="C252" s="29">
        <v>10080016</v>
      </c>
      <c r="D252" s="92" t="s">
        <v>522</v>
      </c>
      <c r="E252" s="93" t="s">
        <v>270</v>
      </c>
      <c r="F252" s="93" t="s">
        <v>230</v>
      </c>
      <c r="G252" s="109">
        <v>108.95</v>
      </c>
      <c r="H252" s="109">
        <v>4125.3100000000004</v>
      </c>
      <c r="I252" s="95">
        <v>0</v>
      </c>
      <c r="J252" s="95">
        <v>0</v>
      </c>
      <c r="K252" s="95">
        <v>500</v>
      </c>
      <c r="L252" s="95">
        <v>0</v>
      </c>
      <c r="M252" s="96">
        <v>0</v>
      </c>
      <c r="N252" s="97">
        <v>0</v>
      </c>
      <c r="O252" s="98">
        <v>0</v>
      </c>
      <c r="P252" s="33"/>
      <c r="Q252" s="99" t="s">
        <v>1198</v>
      </c>
      <c r="R252" s="100"/>
      <c r="S252" s="101">
        <v>-1.1587008006670395E-3</v>
      </c>
      <c r="T252" s="102">
        <v>4</v>
      </c>
      <c r="U252" s="103">
        <v>0</v>
      </c>
      <c r="V252" s="103">
        <v>0</v>
      </c>
      <c r="W252" s="104">
        <v>0</v>
      </c>
      <c r="X252" s="19"/>
      <c r="Y252" s="103">
        <v>500</v>
      </c>
      <c r="Z252" s="103">
        <v>0</v>
      </c>
      <c r="AA252" s="105">
        <v>0</v>
      </c>
      <c r="AB252" s="106">
        <v>500</v>
      </c>
      <c r="AC252" s="105">
        <v>500</v>
      </c>
      <c r="AD252" s="104">
        <v>0</v>
      </c>
      <c r="AE252" s="104">
        <v>0</v>
      </c>
      <c r="AF252" s="107">
        <v>46265</v>
      </c>
    </row>
    <row r="253" spans="1:33" x14ac:dyDescent="0.25">
      <c r="A253" s="90">
        <v>1008</v>
      </c>
      <c r="B253" s="91" t="s">
        <v>1190</v>
      </c>
      <c r="C253" s="29">
        <v>10080022</v>
      </c>
      <c r="D253" s="92" t="s">
        <v>523</v>
      </c>
      <c r="E253" s="93" t="s">
        <v>270</v>
      </c>
      <c r="F253" s="93" t="s">
        <v>230</v>
      </c>
      <c r="G253" s="109">
        <v>182.70000000000002</v>
      </c>
      <c r="H253" s="109">
        <v>8021.1499999999987</v>
      </c>
      <c r="I253" s="95">
        <v>0</v>
      </c>
      <c r="J253" s="95">
        <v>0</v>
      </c>
      <c r="K253" s="95">
        <v>0</v>
      </c>
      <c r="L253" s="95">
        <v>0</v>
      </c>
      <c r="M253" s="96">
        <v>-51</v>
      </c>
      <c r="N253" s="97" t="s">
        <v>331</v>
      </c>
      <c r="O253" s="98">
        <v>-51</v>
      </c>
      <c r="P253" s="33" t="s">
        <v>524</v>
      </c>
      <c r="Q253" s="99" t="s">
        <v>1198</v>
      </c>
      <c r="R253" s="100"/>
      <c r="S253" s="101">
        <v>-2.2122762945462913E-2</v>
      </c>
      <c r="T253" s="102">
        <v>7</v>
      </c>
      <c r="U253" s="103">
        <v>0</v>
      </c>
      <c r="V253" s="103">
        <v>0</v>
      </c>
      <c r="W253" s="104">
        <v>0</v>
      </c>
      <c r="X253" s="19"/>
      <c r="Y253" s="103">
        <v>0</v>
      </c>
      <c r="Z253" s="103">
        <v>0</v>
      </c>
      <c r="AA253" s="105">
        <v>0</v>
      </c>
      <c r="AB253" s="106">
        <v>0</v>
      </c>
      <c r="AC253" s="105">
        <v>0</v>
      </c>
      <c r="AD253" s="104">
        <v>0</v>
      </c>
      <c r="AE253" s="104">
        <v>-51</v>
      </c>
      <c r="AF253" s="107">
        <v>46265</v>
      </c>
    </row>
    <row r="254" spans="1:33" x14ac:dyDescent="0.25">
      <c r="A254" s="90">
        <v>1008</v>
      </c>
      <c r="B254" s="91" t="s">
        <v>1190</v>
      </c>
      <c r="C254" s="29">
        <v>10080024</v>
      </c>
      <c r="D254" s="92" t="s">
        <v>525</v>
      </c>
      <c r="E254" s="93" t="s">
        <v>275</v>
      </c>
      <c r="F254" s="93" t="s">
        <v>231</v>
      </c>
      <c r="G254" s="109">
        <v>3185.3999999999996</v>
      </c>
      <c r="H254" s="109">
        <v>129129.83</v>
      </c>
      <c r="I254" s="95">
        <v>0</v>
      </c>
      <c r="J254" s="95">
        <v>0</v>
      </c>
      <c r="K254" s="95">
        <v>0</v>
      </c>
      <c r="L254" s="95">
        <v>0</v>
      </c>
      <c r="M254" s="96">
        <v>0</v>
      </c>
      <c r="N254" s="97">
        <v>0</v>
      </c>
      <c r="O254" s="98">
        <v>0</v>
      </c>
      <c r="P254" s="33"/>
      <c r="Q254" s="99" t="s">
        <v>1198</v>
      </c>
      <c r="R254" s="100"/>
      <c r="S254" s="101">
        <v>0</v>
      </c>
      <c r="T254" s="102">
        <v>0</v>
      </c>
      <c r="U254" s="103">
        <v>0</v>
      </c>
      <c r="V254" s="103">
        <v>0</v>
      </c>
      <c r="W254" s="104">
        <v>0</v>
      </c>
      <c r="X254" s="19"/>
      <c r="Y254" s="103">
        <v>0</v>
      </c>
      <c r="Z254" s="103">
        <v>0</v>
      </c>
      <c r="AA254" s="105">
        <v>0</v>
      </c>
      <c r="AB254" s="106">
        <v>0</v>
      </c>
      <c r="AC254" s="105">
        <v>0</v>
      </c>
      <c r="AD254" s="104">
        <v>0</v>
      </c>
      <c r="AE254" s="104">
        <v>0</v>
      </c>
      <c r="AF254" s="107">
        <v>46265</v>
      </c>
    </row>
    <row r="255" spans="1:33" x14ac:dyDescent="0.25">
      <c r="A255" s="90">
        <v>1008</v>
      </c>
      <c r="B255" s="91" t="s">
        <v>1190</v>
      </c>
      <c r="C255" s="29">
        <v>10080025</v>
      </c>
      <c r="D255" s="92" t="s">
        <v>526</v>
      </c>
      <c r="E255" s="93" t="s">
        <v>270</v>
      </c>
      <c r="F255" s="93" t="s">
        <v>230</v>
      </c>
      <c r="G255" s="109">
        <v>680.75</v>
      </c>
      <c r="H255" s="109">
        <v>25020.130000000005</v>
      </c>
      <c r="I255" s="95">
        <v>0</v>
      </c>
      <c r="J255" s="95">
        <v>0</v>
      </c>
      <c r="K255" s="95">
        <v>0</v>
      </c>
      <c r="L255" s="95">
        <v>0</v>
      </c>
      <c r="M255" s="96">
        <v>-1282</v>
      </c>
      <c r="N255" s="97" t="s">
        <v>331</v>
      </c>
      <c r="O255" s="98">
        <v>-1282</v>
      </c>
      <c r="P255" s="33" t="s">
        <v>527</v>
      </c>
      <c r="Q255" s="99" t="s">
        <v>1198</v>
      </c>
      <c r="R255" s="100"/>
      <c r="S255" s="101">
        <v>-0.10664053304279378</v>
      </c>
      <c r="T255" s="102">
        <v>23</v>
      </c>
      <c r="U255" s="103">
        <v>0</v>
      </c>
      <c r="V255" s="103">
        <v>0</v>
      </c>
      <c r="W255" s="104">
        <v>0</v>
      </c>
      <c r="X255" s="19"/>
      <c r="Y255" s="103">
        <v>0</v>
      </c>
      <c r="Z255" s="103">
        <v>0</v>
      </c>
      <c r="AA255" s="105">
        <v>0</v>
      </c>
      <c r="AB255" s="106">
        <v>0</v>
      </c>
      <c r="AC255" s="105">
        <v>0</v>
      </c>
      <c r="AD255" s="104">
        <v>0</v>
      </c>
      <c r="AE255" s="104">
        <v>-1282</v>
      </c>
      <c r="AF255" s="107">
        <v>46265</v>
      </c>
    </row>
    <row r="256" spans="1:33" x14ac:dyDescent="0.25">
      <c r="A256" s="90">
        <v>1008</v>
      </c>
      <c r="B256" s="91" t="s">
        <v>1190</v>
      </c>
      <c r="C256" s="29">
        <v>10080032</v>
      </c>
      <c r="D256" s="92" t="s">
        <v>528</v>
      </c>
      <c r="E256" s="93" t="s">
        <v>270</v>
      </c>
      <c r="F256" s="93" t="s">
        <v>230</v>
      </c>
      <c r="G256" s="109">
        <v>296.05</v>
      </c>
      <c r="H256" s="109">
        <v>12924.25</v>
      </c>
      <c r="I256" s="95">
        <v>0</v>
      </c>
      <c r="J256" s="95">
        <v>0</v>
      </c>
      <c r="K256" s="95">
        <v>0</v>
      </c>
      <c r="L256" s="95">
        <v>0</v>
      </c>
      <c r="M256" s="96">
        <v>0</v>
      </c>
      <c r="N256" s="97">
        <v>0</v>
      </c>
      <c r="O256" s="98">
        <v>0</v>
      </c>
      <c r="P256" s="33"/>
      <c r="Q256" s="99" t="s">
        <v>1198</v>
      </c>
      <c r="R256" s="100"/>
      <c r="S256" s="101">
        <v>-3.0502350233089049E-2</v>
      </c>
      <c r="T256" s="102">
        <v>11</v>
      </c>
      <c r="U256" s="103">
        <v>0</v>
      </c>
      <c r="V256" s="103">
        <v>0</v>
      </c>
      <c r="W256" s="104">
        <v>0</v>
      </c>
      <c r="X256" s="19"/>
      <c r="Y256" s="103">
        <v>0</v>
      </c>
      <c r="Z256" s="103">
        <v>0</v>
      </c>
      <c r="AA256" s="105">
        <v>0</v>
      </c>
      <c r="AB256" s="106">
        <v>0</v>
      </c>
      <c r="AC256" s="105">
        <v>0</v>
      </c>
      <c r="AD256" s="104">
        <v>0</v>
      </c>
      <c r="AE256" s="104">
        <v>0</v>
      </c>
      <c r="AF256" s="107">
        <v>46265</v>
      </c>
    </row>
    <row r="257" spans="1:33" x14ac:dyDescent="0.25">
      <c r="A257" s="90">
        <v>1008</v>
      </c>
      <c r="B257" s="91" t="s">
        <v>1190</v>
      </c>
      <c r="C257" s="29">
        <v>10080037</v>
      </c>
      <c r="D257" s="92" t="s">
        <v>529</v>
      </c>
      <c r="E257" s="93" t="s">
        <v>275</v>
      </c>
      <c r="F257" s="93" t="s">
        <v>231</v>
      </c>
      <c r="G257" s="109">
        <v>44.25</v>
      </c>
      <c r="H257" s="109">
        <v>2361.7199999999998</v>
      </c>
      <c r="I257" s="95">
        <v>0</v>
      </c>
      <c r="J257" s="95">
        <v>0</v>
      </c>
      <c r="K257" s="95">
        <v>0</v>
      </c>
      <c r="L257" s="95">
        <v>0</v>
      </c>
      <c r="M257" s="96">
        <v>0</v>
      </c>
      <c r="N257" s="97">
        <v>0</v>
      </c>
      <c r="O257" s="98">
        <v>0</v>
      </c>
      <c r="P257" s="33"/>
      <c r="Q257" s="99" t="s">
        <v>1198</v>
      </c>
      <c r="R257" s="100"/>
      <c r="S257" s="101">
        <v>0</v>
      </c>
      <c r="T257" s="102">
        <v>0</v>
      </c>
      <c r="U257" s="103">
        <v>0</v>
      </c>
      <c r="V257" s="103">
        <v>0</v>
      </c>
      <c r="W257" s="104">
        <v>0</v>
      </c>
      <c r="X257" s="19"/>
      <c r="Y257" s="103">
        <v>0</v>
      </c>
      <c r="Z257" s="103">
        <v>0</v>
      </c>
      <c r="AA257" s="105">
        <v>0</v>
      </c>
      <c r="AB257" s="106">
        <v>0</v>
      </c>
      <c r="AC257" s="105">
        <v>0</v>
      </c>
      <c r="AD257" s="104">
        <v>0</v>
      </c>
      <c r="AE257" s="104">
        <v>0</v>
      </c>
      <c r="AF257" s="107">
        <v>46265</v>
      </c>
      <c r="AG257" s="108"/>
    </row>
    <row r="258" spans="1:33" x14ac:dyDescent="0.25">
      <c r="A258" s="90">
        <v>1008</v>
      </c>
      <c r="B258" s="91" t="s">
        <v>1190</v>
      </c>
      <c r="C258" s="29">
        <v>10080039</v>
      </c>
      <c r="D258" s="92" t="s">
        <v>530</v>
      </c>
      <c r="E258" s="93" t="s">
        <v>275</v>
      </c>
      <c r="F258" s="93" t="s">
        <v>231</v>
      </c>
      <c r="G258" s="109">
        <v>6522.9000000000015</v>
      </c>
      <c r="H258" s="109">
        <v>259218.58999999997</v>
      </c>
      <c r="I258" s="95">
        <v>0</v>
      </c>
      <c r="J258" s="95">
        <v>0</v>
      </c>
      <c r="K258" s="95">
        <v>0</v>
      </c>
      <c r="L258" s="95">
        <v>0</v>
      </c>
      <c r="M258" s="96">
        <v>0</v>
      </c>
      <c r="N258" s="97">
        <v>0</v>
      </c>
      <c r="O258" s="98">
        <v>0</v>
      </c>
      <c r="P258" s="33"/>
      <c r="Q258" s="99" t="s">
        <v>1198</v>
      </c>
      <c r="R258" s="100"/>
      <c r="S258" s="101">
        <v>0</v>
      </c>
      <c r="T258" s="102">
        <v>0</v>
      </c>
      <c r="U258" s="103">
        <v>0</v>
      </c>
      <c r="V258" s="103">
        <v>0</v>
      </c>
      <c r="W258" s="104">
        <v>0</v>
      </c>
      <c r="X258" s="19"/>
      <c r="Y258" s="103">
        <v>0</v>
      </c>
      <c r="Z258" s="103">
        <v>0</v>
      </c>
      <c r="AA258" s="105">
        <v>0</v>
      </c>
      <c r="AB258" s="106">
        <v>0</v>
      </c>
      <c r="AC258" s="105">
        <v>0</v>
      </c>
      <c r="AD258" s="104">
        <v>0</v>
      </c>
      <c r="AE258" s="104">
        <v>0</v>
      </c>
      <c r="AF258" s="107">
        <v>46265</v>
      </c>
    </row>
    <row r="259" spans="1:33" x14ac:dyDescent="0.25">
      <c r="A259" s="90">
        <v>1008</v>
      </c>
      <c r="B259" s="91" t="s">
        <v>1190</v>
      </c>
      <c r="C259" s="29">
        <v>10080040</v>
      </c>
      <c r="D259" s="92" t="s">
        <v>531</v>
      </c>
      <c r="E259" s="93" t="s">
        <v>275</v>
      </c>
      <c r="F259" s="93" t="s">
        <v>231</v>
      </c>
      <c r="G259" s="109">
        <v>563.1</v>
      </c>
      <c r="H259" s="109">
        <v>22792.26</v>
      </c>
      <c r="I259" s="95">
        <v>0</v>
      </c>
      <c r="J259" s="95">
        <v>0</v>
      </c>
      <c r="K259" s="95">
        <v>0</v>
      </c>
      <c r="L259" s="95">
        <v>0</v>
      </c>
      <c r="M259" s="96">
        <v>0</v>
      </c>
      <c r="N259" s="97">
        <v>0</v>
      </c>
      <c r="O259" s="98">
        <v>0</v>
      </c>
      <c r="P259" s="33"/>
      <c r="Q259" s="99" t="s">
        <v>1198</v>
      </c>
      <c r="R259" s="100"/>
      <c r="S259" s="101">
        <v>0</v>
      </c>
      <c r="T259" s="102">
        <v>0</v>
      </c>
      <c r="U259" s="103">
        <v>0</v>
      </c>
      <c r="V259" s="103">
        <v>0</v>
      </c>
      <c r="W259" s="104">
        <v>0</v>
      </c>
      <c r="X259" s="19"/>
      <c r="Y259" s="103">
        <v>0</v>
      </c>
      <c r="Z259" s="103">
        <v>0</v>
      </c>
      <c r="AA259" s="105">
        <v>0</v>
      </c>
      <c r="AB259" s="106">
        <v>0</v>
      </c>
      <c r="AC259" s="105">
        <v>0</v>
      </c>
      <c r="AD259" s="104">
        <v>0</v>
      </c>
      <c r="AE259" s="104">
        <v>0</v>
      </c>
      <c r="AF259" s="107">
        <v>46265</v>
      </c>
    </row>
    <row r="260" spans="1:33" x14ac:dyDescent="0.25">
      <c r="A260" s="90">
        <v>1008</v>
      </c>
      <c r="B260" s="91" t="s">
        <v>1190</v>
      </c>
      <c r="C260" s="29">
        <v>10080041</v>
      </c>
      <c r="D260" s="92" t="s">
        <v>532</v>
      </c>
      <c r="E260" s="93" t="s">
        <v>275</v>
      </c>
      <c r="F260" s="93" t="s">
        <v>231</v>
      </c>
      <c r="G260" s="109">
        <v>91.7</v>
      </c>
      <c r="H260" s="109">
        <v>3718.85</v>
      </c>
      <c r="I260" s="95">
        <v>0</v>
      </c>
      <c r="J260" s="95">
        <v>0</v>
      </c>
      <c r="K260" s="95">
        <v>0</v>
      </c>
      <c r="L260" s="95">
        <v>0</v>
      </c>
      <c r="M260" s="96">
        <v>0</v>
      </c>
      <c r="N260" s="97">
        <v>0</v>
      </c>
      <c r="O260" s="98">
        <v>0</v>
      </c>
      <c r="P260" s="33"/>
      <c r="Q260" s="99" t="s">
        <v>1198</v>
      </c>
      <c r="R260" s="100"/>
      <c r="S260" s="101">
        <v>0</v>
      </c>
      <c r="T260" s="102">
        <v>0</v>
      </c>
      <c r="U260" s="103">
        <v>0</v>
      </c>
      <c r="V260" s="103">
        <v>0</v>
      </c>
      <c r="W260" s="104">
        <v>0</v>
      </c>
      <c r="X260" s="19"/>
      <c r="Y260" s="103">
        <v>0</v>
      </c>
      <c r="Z260" s="103">
        <v>0</v>
      </c>
      <c r="AA260" s="105">
        <v>0</v>
      </c>
      <c r="AB260" s="106">
        <v>0</v>
      </c>
      <c r="AC260" s="105">
        <v>0</v>
      </c>
      <c r="AD260" s="104">
        <v>0</v>
      </c>
      <c r="AE260" s="104">
        <v>0</v>
      </c>
      <c r="AF260" s="107">
        <v>46265</v>
      </c>
      <c r="AG260" s="108"/>
    </row>
    <row r="261" spans="1:33" x14ac:dyDescent="0.25">
      <c r="A261" s="90">
        <v>1008</v>
      </c>
      <c r="B261" s="91" t="s">
        <v>1190</v>
      </c>
      <c r="C261" s="29">
        <v>10080048</v>
      </c>
      <c r="D261" s="92" t="s">
        <v>533</v>
      </c>
      <c r="E261" s="93" t="s">
        <v>270</v>
      </c>
      <c r="F261" s="93" t="s">
        <v>230</v>
      </c>
      <c r="G261" s="109">
        <v>60.4</v>
      </c>
      <c r="H261" s="109">
        <v>2471.7000000000003</v>
      </c>
      <c r="I261" s="95">
        <v>0</v>
      </c>
      <c r="J261" s="95">
        <v>0</v>
      </c>
      <c r="K261" s="95">
        <v>453</v>
      </c>
      <c r="L261" s="95">
        <v>0</v>
      </c>
      <c r="M261" s="96">
        <v>0</v>
      </c>
      <c r="N261" s="97" t="s">
        <v>331</v>
      </c>
      <c r="O261" s="98">
        <v>0</v>
      </c>
      <c r="P261" s="33" t="s">
        <v>534</v>
      </c>
      <c r="Q261" s="99" t="s">
        <v>1198</v>
      </c>
      <c r="R261" s="100"/>
      <c r="S261" s="101">
        <v>-1.118258688352141E-2</v>
      </c>
      <c r="T261" s="102">
        <v>4</v>
      </c>
      <c r="U261" s="103">
        <v>0</v>
      </c>
      <c r="V261" s="103">
        <v>0</v>
      </c>
      <c r="W261" s="104">
        <v>0</v>
      </c>
      <c r="X261" s="19"/>
      <c r="Y261" s="103">
        <v>500</v>
      </c>
      <c r="Z261" s="103">
        <v>0</v>
      </c>
      <c r="AA261" s="105">
        <v>0</v>
      </c>
      <c r="AB261" s="106">
        <v>500</v>
      </c>
      <c r="AC261" s="105">
        <v>500</v>
      </c>
      <c r="AD261" s="104">
        <v>0</v>
      </c>
      <c r="AE261" s="104">
        <v>0</v>
      </c>
      <c r="AF261" s="107">
        <v>46265</v>
      </c>
      <c r="AG261" s="108"/>
    </row>
    <row r="262" spans="1:33" x14ac:dyDescent="0.25">
      <c r="A262" s="90">
        <v>1008</v>
      </c>
      <c r="B262" s="91" t="s">
        <v>1190</v>
      </c>
      <c r="C262" s="29">
        <v>10080052</v>
      </c>
      <c r="D262" s="92" t="s">
        <v>535</v>
      </c>
      <c r="E262" s="93" t="s">
        <v>270</v>
      </c>
      <c r="F262" s="93" t="s">
        <v>230</v>
      </c>
      <c r="G262" s="109">
        <v>582.95000000000005</v>
      </c>
      <c r="H262" s="109">
        <v>22564.109999999997</v>
      </c>
      <c r="I262" s="95">
        <v>0</v>
      </c>
      <c r="J262" s="95">
        <v>0</v>
      </c>
      <c r="K262" s="95">
        <v>0</v>
      </c>
      <c r="L262" s="95">
        <v>0</v>
      </c>
      <c r="M262" s="96">
        <v>0</v>
      </c>
      <c r="N262" s="97">
        <v>0</v>
      </c>
      <c r="O262" s="98">
        <v>0</v>
      </c>
      <c r="P262" s="33"/>
      <c r="Q262" s="99" t="s">
        <v>1198</v>
      </c>
      <c r="R262" s="100"/>
      <c r="S262" s="101">
        <v>-1.3264870628622239E-2</v>
      </c>
      <c r="T262" s="102">
        <v>4</v>
      </c>
      <c r="U262" s="103">
        <v>0</v>
      </c>
      <c r="V262" s="103">
        <v>0</v>
      </c>
      <c r="W262" s="104">
        <v>0</v>
      </c>
      <c r="X262" s="19"/>
      <c r="Y262" s="103">
        <v>0</v>
      </c>
      <c r="Z262" s="103">
        <v>0</v>
      </c>
      <c r="AA262" s="105">
        <v>0</v>
      </c>
      <c r="AB262" s="106">
        <v>0</v>
      </c>
      <c r="AC262" s="105">
        <v>0</v>
      </c>
      <c r="AD262" s="104">
        <v>0</v>
      </c>
      <c r="AE262" s="104">
        <v>0</v>
      </c>
      <c r="AF262" s="107">
        <v>46265</v>
      </c>
    </row>
    <row r="263" spans="1:33" x14ac:dyDescent="0.25">
      <c r="A263" s="90">
        <v>1008</v>
      </c>
      <c r="B263" s="91" t="s">
        <v>1190</v>
      </c>
      <c r="C263" s="29">
        <v>10080054</v>
      </c>
      <c r="D263" s="92" t="s">
        <v>536</v>
      </c>
      <c r="E263" s="93" t="s">
        <v>275</v>
      </c>
      <c r="F263" s="93" t="s">
        <v>231</v>
      </c>
      <c r="G263" s="109">
        <v>795.45</v>
      </c>
      <c r="H263" s="109">
        <v>30466.28</v>
      </c>
      <c r="I263" s="95">
        <v>0</v>
      </c>
      <c r="J263" s="95">
        <v>0</v>
      </c>
      <c r="K263" s="95">
        <v>0</v>
      </c>
      <c r="L263" s="95">
        <v>0</v>
      </c>
      <c r="M263" s="96">
        <v>0</v>
      </c>
      <c r="N263" s="97">
        <v>0</v>
      </c>
      <c r="O263" s="98">
        <v>0</v>
      </c>
      <c r="P263" s="33"/>
      <c r="Q263" s="99" t="s">
        <v>1198</v>
      </c>
      <c r="R263" s="100"/>
      <c r="S263" s="101">
        <v>0</v>
      </c>
      <c r="T263" s="102">
        <v>0</v>
      </c>
      <c r="U263" s="103">
        <v>0</v>
      </c>
      <c r="V263" s="103">
        <v>0</v>
      </c>
      <c r="W263" s="104">
        <v>0</v>
      </c>
      <c r="X263" s="19"/>
      <c r="Y263" s="103">
        <v>0</v>
      </c>
      <c r="Z263" s="103">
        <v>0</v>
      </c>
      <c r="AA263" s="105">
        <v>0</v>
      </c>
      <c r="AB263" s="106">
        <v>0</v>
      </c>
      <c r="AC263" s="105">
        <v>0</v>
      </c>
      <c r="AD263" s="104">
        <v>0</v>
      </c>
      <c r="AE263" s="104">
        <v>0</v>
      </c>
      <c r="AF263" s="107">
        <v>46265</v>
      </c>
      <c r="AG263" s="108"/>
    </row>
    <row r="264" spans="1:33" x14ac:dyDescent="0.25">
      <c r="A264" s="90">
        <v>1008</v>
      </c>
      <c r="B264" s="91" t="s">
        <v>1190</v>
      </c>
      <c r="C264" s="29">
        <v>10080055</v>
      </c>
      <c r="D264" s="92" t="s">
        <v>537</v>
      </c>
      <c r="E264" s="93" t="s">
        <v>270</v>
      </c>
      <c r="F264" s="93" t="s">
        <v>230</v>
      </c>
      <c r="G264" s="109">
        <v>352.6</v>
      </c>
      <c r="H264" s="109">
        <v>13847.63</v>
      </c>
      <c r="I264" s="95">
        <v>0</v>
      </c>
      <c r="J264" s="95">
        <v>0</v>
      </c>
      <c r="K264" s="95">
        <v>0</v>
      </c>
      <c r="L264" s="95">
        <v>0</v>
      </c>
      <c r="M264" s="96">
        <v>6</v>
      </c>
      <c r="N264" s="97">
        <v>0</v>
      </c>
      <c r="O264" s="98">
        <v>0</v>
      </c>
      <c r="P264" s="33"/>
      <c r="Q264" s="99" t="s">
        <v>1198</v>
      </c>
      <c r="R264" s="100"/>
      <c r="S264" s="101">
        <v>3.9212486179934563E-4</v>
      </c>
      <c r="T264" s="102">
        <v>9</v>
      </c>
      <c r="U264" s="103">
        <v>0</v>
      </c>
      <c r="V264" s="103">
        <v>0</v>
      </c>
      <c r="W264" s="104">
        <v>0</v>
      </c>
      <c r="X264" s="19"/>
      <c r="Y264" s="103">
        <v>0</v>
      </c>
      <c r="Z264" s="103">
        <v>0</v>
      </c>
      <c r="AA264" s="105">
        <v>0</v>
      </c>
      <c r="AB264" s="106">
        <v>0</v>
      </c>
      <c r="AC264" s="105">
        <v>0</v>
      </c>
      <c r="AD264" s="104">
        <v>0</v>
      </c>
      <c r="AE264" s="104">
        <v>0</v>
      </c>
      <c r="AF264" s="107">
        <v>46265</v>
      </c>
      <c r="AG264" s="108"/>
    </row>
    <row r="265" spans="1:33" x14ac:dyDescent="0.25">
      <c r="A265" s="90">
        <v>1008</v>
      </c>
      <c r="B265" s="91" t="s">
        <v>1190</v>
      </c>
      <c r="C265" s="29">
        <v>10080061</v>
      </c>
      <c r="D265" s="92" t="s">
        <v>538</v>
      </c>
      <c r="E265" s="93" t="s">
        <v>275</v>
      </c>
      <c r="F265" s="93" t="s">
        <v>230</v>
      </c>
      <c r="G265" s="109">
        <v>160.35</v>
      </c>
      <c r="H265" s="109">
        <v>5883.6299999999992</v>
      </c>
      <c r="I265" s="95">
        <v>0</v>
      </c>
      <c r="J265" s="95">
        <v>0</v>
      </c>
      <c r="K265" s="95">
        <v>0</v>
      </c>
      <c r="L265" s="95">
        <v>0</v>
      </c>
      <c r="M265" s="96">
        <v>2</v>
      </c>
      <c r="N265" s="97">
        <v>0</v>
      </c>
      <c r="O265" s="98">
        <v>0</v>
      </c>
      <c r="P265" s="33"/>
      <c r="Q265" s="99" t="s">
        <v>1198</v>
      </c>
      <c r="R265" s="100"/>
      <c r="S265" s="101">
        <v>3.1443173686967823E-4</v>
      </c>
      <c r="T265" s="102">
        <v>1</v>
      </c>
      <c r="U265" s="103">
        <v>0</v>
      </c>
      <c r="V265" s="103">
        <v>0</v>
      </c>
      <c r="W265" s="104">
        <v>0</v>
      </c>
      <c r="X265" s="19"/>
      <c r="Y265" s="103">
        <v>0</v>
      </c>
      <c r="Z265" s="103">
        <v>0</v>
      </c>
      <c r="AA265" s="105">
        <v>0</v>
      </c>
      <c r="AB265" s="106">
        <v>0</v>
      </c>
      <c r="AC265" s="105">
        <v>0</v>
      </c>
      <c r="AD265" s="104">
        <v>0</v>
      </c>
      <c r="AE265" s="104">
        <v>0</v>
      </c>
      <c r="AF265" s="107">
        <v>46265</v>
      </c>
    </row>
    <row r="266" spans="1:33" x14ac:dyDescent="0.25">
      <c r="A266" s="90">
        <v>1008</v>
      </c>
      <c r="B266" s="91" t="s">
        <v>1190</v>
      </c>
      <c r="C266" s="29">
        <v>10080065</v>
      </c>
      <c r="D266" s="92" t="s">
        <v>539</v>
      </c>
      <c r="E266" s="93" t="s">
        <v>270</v>
      </c>
      <c r="F266" s="93" t="s">
        <v>230</v>
      </c>
      <c r="G266" s="109">
        <v>377.09999999999997</v>
      </c>
      <c r="H266" s="109">
        <v>14103.34</v>
      </c>
      <c r="I266" s="95">
        <v>0</v>
      </c>
      <c r="J266" s="95">
        <v>0</v>
      </c>
      <c r="K266" s="95">
        <v>500</v>
      </c>
      <c r="L266" s="95">
        <v>0</v>
      </c>
      <c r="M266" s="96">
        <v>1</v>
      </c>
      <c r="N266" s="97">
        <v>0</v>
      </c>
      <c r="O266" s="98">
        <v>1</v>
      </c>
      <c r="P266" s="33"/>
      <c r="Q266" s="99" t="s">
        <v>1198</v>
      </c>
      <c r="R266" s="100"/>
      <c r="S266" s="101">
        <v>-2.7959334455526376E-2</v>
      </c>
      <c r="T266" s="102">
        <v>2</v>
      </c>
      <c r="U266" s="103">
        <v>0</v>
      </c>
      <c r="V266" s="103">
        <v>0</v>
      </c>
      <c r="W266" s="104">
        <v>0</v>
      </c>
      <c r="X266" s="19"/>
      <c r="Y266" s="103">
        <v>500</v>
      </c>
      <c r="Z266" s="103">
        <v>0</v>
      </c>
      <c r="AA266" s="105">
        <v>0</v>
      </c>
      <c r="AB266" s="106">
        <v>500</v>
      </c>
      <c r="AC266" s="105">
        <v>500</v>
      </c>
      <c r="AD266" s="104">
        <v>0</v>
      </c>
      <c r="AE266" s="104">
        <v>0</v>
      </c>
      <c r="AF266" s="107">
        <v>46265</v>
      </c>
      <c r="AG266" s="108"/>
    </row>
    <row r="267" spans="1:33" x14ac:dyDescent="0.25">
      <c r="A267" s="90">
        <v>1008</v>
      </c>
      <c r="B267" s="91" t="s">
        <v>1190</v>
      </c>
      <c r="C267" s="29">
        <v>10080067</v>
      </c>
      <c r="D267" s="92" t="s">
        <v>540</v>
      </c>
      <c r="E267" s="93" t="s">
        <v>270</v>
      </c>
      <c r="F267" s="93" t="s">
        <v>230</v>
      </c>
      <c r="G267" s="109">
        <v>123.49999999999999</v>
      </c>
      <c r="H267" s="109">
        <v>4976.43</v>
      </c>
      <c r="I267" s="95">
        <v>0</v>
      </c>
      <c r="J267" s="95">
        <v>0</v>
      </c>
      <c r="K267" s="95">
        <v>349</v>
      </c>
      <c r="L267" s="95">
        <v>0</v>
      </c>
      <c r="M267" s="96">
        <v>342</v>
      </c>
      <c r="N267" s="97" t="s">
        <v>331</v>
      </c>
      <c r="O267" s="98">
        <v>-1</v>
      </c>
      <c r="P267" s="33" t="s">
        <v>541</v>
      </c>
      <c r="Q267" s="99" t="s">
        <v>1198</v>
      </c>
      <c r="R267" s="100"/>
      <c r="S267" s="101">
        <v>6.892893098064283E-2</v>
      </c>
      <c r="T267" s="102">
        <v>4</v>
      </c>
      <c r="U267" s="103">
        <v>0</v>
      </c>
      <c r="V267" s="103">
        <v>0</v>
      </c>
      <c r="W267" s="104">
        <v>0</v>
      </c>
      <c r="X267" s="19"/>
      <c r="Y267" s="103">
        <v>500</v>
      </c>
      <c r="Z267" s="103">
        <v>0</v>
      </c>
      <c r="AA267" s="105">
        <v>0</v>
      </c>
      <c r="AB267" s="106">
        <v>500</v>
      </c>
      <c r="AC267" s="105">
        <v>500</v>
      </c>
      <c r="AD267" s="104">
        <v>0</v>
      </c>
      <c r="AE267" s="104">
        <v>0</v>
      </c>
      <c r="AF267" s="107">
        <v>46265</v>
      </c>
    </row>
    <row r="268" spans="1:33" x14ac:dyDescent="0.25">
      <c r="A268" s="90">
        <v>1008</v>
      </c>
      <c r="B268" s="91" t="s">
        <v>1190</v>
      </c>
      <c r="C268" s="29">
        <v>10080073</v>
      </c>
      <c r="D268" s="92" t="s">
        <v>542</v>
      </c>
      <c r="E268" s="93" t="s">
        <v>275</v>
      </c>
      <c r="F268" s="93" t="s">
        <v>231</v>
      </c>
      <c r="G268" s="109">
        <v>1506.8000000000002</v>
      </c>
      <c r="H268" s="109">
        <v>60001.47</v>
      </c>
      <c r="I268" s="95">
        <v>0</v>
      </c>
      <c r="J268" s="95">
        <v>0</v>
      </c>
      <c r="K268" s="95">
        <v>0</v>
      </c>
      <c r="L268" s="95">
        <v>0</v>
      </c>
      <c r="M268" s="96">
        <v>0</v>
      </c>
      <c r="N268" s="97">
        <v>0</v>
      </c>
      <c r="O268" s="98">
        <v>0</v>
      </c>
      <c r="P268" s="33"/>
      <c r="Q268" s="99" t="s">
        <v>1198</v>
      </c>
      <c r="R268" s="100"/>
      <c r="S268" s="101">
        <v>0</v>
      </c>
      <c r="T268" s="102">
        <v>0</v>
      </c>
      <c r="U268" s="103">
        <v>0</v>
      </c>
      <c r="V268" s="103">
        <v>0</v>
      </c>
      <c r="W268" s="104">
        <v>0</v>
      </c>
      <c r="X268" s="19"/>
      <c r="Y268" s="103">
        <v>0</v>
      </c>
      <c r="Z268" s="103">
        <v>0</v>
      </c>
      <c r="AA268" s="105">
        <v>0</v>
      </c>
      <c r="AB268" s="106">
        <v>0</v>
      </c>
      <c r="AC268" s="105">
        <v>0</v>
      </c>
      <c r="AD268" s="104">
        <v>0</v>
      </c>
      <c r="AE268" s="104">
        <v>0</v>
      </c>
      <c r="AF268" s="107">
        <v>46265</v>
      </c>
    </row>
    <row r="269" spans="1:33" x14ac:dyDescent="0.25">
      <c r="A269" s="90">
        <v>1008</v>
      </c>
      <c r="B269" s="91" t="s">
        <v>1190</v>
      </c>
      <c r="C269" s="29">
        <v>10080076</v>
      </c>
      <c r="D269" s="92" t="s">
        <v>543</v>
      </c>
      <c r="E269" s="93" t="s">
        <v>275</v>
      </c>
      <c r="F269" s="93" t="s">
        <v>231</v>
      </c>
      <c r="G269" s="109">
        <v>120.74999999999999</v>
      </c>
      <c r="H269" s="109">
        <v>4536.1899999999996</v>
      </c>
      <c r="I269" s="95">
        <v>0</v>
      </c>
      <c r="J269" s="95">
        <v>0</v>
      </c>
      <c r="K269" s="95">
        <v>0</v>
      </c>
      <c r="L269" s="95">
        <v>0</v>
      </c>
      <c r="M269" s="96">
        <v>0</v>
      </c>
      <c r="N269" s="97">
        <v>0</v>
      </c>
      <c r="O269" s="98">
        <v>0</v>
      </c>
      <c r="P269" s="33"/>
      <c r="Q269" s="99" t="s">
        <v>1198</v>
      </c>
      <c r="R269" s="100"/>
      <c r="S269" s="101">
        <v>0</v>
      </c>
      <c r="T269" s="102">
        <v>0</v>
      </c>
      <c r="U269" s="103">
        <v>0</v>
      </c>
      <c r="V269" s="103">
        <v>0</v>
      </c>
      <c r="W269" s="104">
        <v>0</v>
      </c>
      <c r="X269" s="19"/>
      <c r="Y269" s="103">
        <v>0</v>
      </c>
      <c r="Z269" s="103">
        <v>0</v>
      </c>
      <c r="AA269" s="105">
        <v>0</v>
      </c>
      <c r="AB269" s="106">
        <v>0</v>
      </c>
      <c r="AC269" s="105">
        <v>0</v>
      </c>
      <c r="AD269" s="104">
        <v>0</v>
      </c>
      <c r="AE269" s="104">
        <v>0</v>
      </c>
      <c r="AF269" s="107">
        <v>46265</v>
      </c>
    </row>
    <row r="270" spans="1:33" x14ac:dyDescent="0.25">
      <c r="A270" s="90">
        <v>1008</v>
      </c>
      <c r="B270" s="91" t="s">
        <v>1190</v>
      </c>
      <c r="C270" s="29">
        <v>10080077</v>
      </c>
      <c r="D270" s="92" t="s">
        <v>544</v>
      </c>
      <c r="E270" s="93" t="s">
        <v>270</v>
      </c>
      <c r="F270" s="93" t="s">
        <v>230</v>
      </c>
      <c r="G270" s="109">
        <v>53.4</v>
      </c>
      <c r="H270" s="109">
        <v>2146.5100000000002</v>
      </c>
      <c r="I270" s="95">
        <v>0</v>
      </c>
      <c r="J270" s="95">
        <v>0</v>
      </c>
      <c r="K270" s="95">
        <v>0</v>
      </c>
      <c r="L270" s="95">
        <v>0</v>
      </c>
      <c r="M270" s="96">
        <v>0</v>
      </c>
      <c r="N270" s="97">
        <v>0</v>
      </c>
      <c r="O270" s="98">
        <v>0</v>
      </c>
      <c r="P270" s="33"/>
      <c r="Q270" s="99" t="s">
        <v>1198</v>
      </c>
      <c r="R270" s="100"/>
      <c r="S270" s="101">
        <v>-7.0393336159625024E-3</v>
      </c>
      <c r="T270" s="102">
        <v>1</v>
      </c>
      <c r="U270" s="103">
        <v>0</v>
      </c>
      <c r="V270" s="103">
        <v>0</v>
      </c>
      <c r="W270" s="104">
        <v>0</v>
      </c>
      <c r="X270" s="19"/>
      <c r="Y270" s="103">
        <v>0</v>
      </c>
      <c r="Z270" s="103">
        <v>0</v>
      </c>
      <c r="AA270" s="105">
        <v>0</v>
      </c>
      <c r="AB270" s="106">
        <v>0</v>
      </c>
      <c r="AC270" s="105">
        <v>0</v>
      </c>
      <c r="AD270" s="104">
        <v>0</v>
      </c>
      <c r="AE270" s="104">
        <v>0</v>
      </c>
      <c r="AF270" s="107">
        <v>46265</v>
      </c>
    </row>
    <row r="271" spans="1:33" x14ac:dyDescent="0.25">
      <c r="A271" s="90">
        <v>1008</v>
      </c>
      <c r="B271" s="91" t="s">
        <v>1190</v>
      </c>
      <c r="C271" s="29">
        <v>10080078</v>
      </c>
      <c r="D271" s="92" t="s">
        <v>545</v>
      </c>
      <c r="E271" s="93" t="s">
        <v>275</v>
      </c>
      <c r="F271" s="93" t="s">
        <v>231</v>
      </c>
      <c r="G271" s="109">
        <v>25.35</v>
      </c>
      <c r="H271" s="109">
        <v>925.23</v>
      </c>
      <c r="I271" s="95">
        <v>0</v>
      </c>
      <c r="J271" s="95">
        <v>0</v>
      </c>
      <c r="K271" s="95">
        <v>0</v>
      </c>
      <c r="L271" s="95">
        <v>0</v>
      </c>
      <c r="M271" s="96">
        <v>0</v>
      </c>
      <c r="N271" s="97">
        <v>0</v>
      </c>
      <c r="O271" s="98">
        <v>0</v>
      </c>
      <c r="P271" s="33"/>
      <c r="Q271" s="99" t="s">
        <v>1198</v>
      </c>
      <c r="R271" s="100"/>
      <c r="S271" s="101">
        <v>0</v>
      </c>
      <c r="T271" s="102">
        <v>0</v>
      </c>
      <c r="U271" s="103">
        <v>0</v>
      </c>
      <c r="V271" s="103">
        <v>0</v>
      </c>
      <c r="W271" s="104">
        <v>0</v>
      </c>
      <c r="X271" s="19"/>
      <c r="Y271" s="103">
        <v>0</v>
      </c>
      <c r="Z271" s="103">
        <v>0</v>
      </c>
      <c r="AA271" s="105">
        <v>0</v>
      </c>
      <c r="AB271" s="106">
        <v>0</v>
      </c>
      <c r="AC271" s="105">
        <v>0</v>
      </c>
      <c r="AD271" s="104">
        <v>0</v>
      </c>
      <c r="AE271" s="104">
        <v>0</v>
      </c>
      <c r="AF271" s="107">
        <v>46265</v>
      </c>
    </row>
    <row r="272" spans="1:33" x14ac:dyDescent="0.25">
      <c r="A272" s="90">
        <v>1008</v>
      </c>
      <c r="B272" s="91" t="s">
        <v>1190</v>
      </c>
      <c r="C272" s="29">
        <v>10080080</v>
      </c>
      <c r="D272" s="92" t="s">
        <v>546</v>
      </c>
      <c r="E272" s="93" t="s">
        <v>275</v>
      </c>
      <c r="F272" s="93" t="s">
        <v>231</v>
      </c>
      <c r="G272" s="109">
        <v>129.30000000000001</v>
      </c>
      <c r="H272" s="109">
        <v>5014.2599999999993</v>
      </c>
      <c r="I272" s="95">
        <v>0</v>
      </c>
      <c r="J272" s="95">
        <v>0</v>
      </c>
      <c r="K272" s="95">
        <v>0</v>
      </c>
      <c r="L272" s="95">
        <v>0</v>
      </c>
      <c r="M272" s="96">
        <v>0</v>
      </c>
      <c r="N272" s="97">
        <v>0</v>
      </c>
      <c r="O272" s="98">
        <v>0</v>
      </c>
      <c r="P272" s="33"/>
      <c r="Q272" s="99" t="s">
        <v>1198</v>
      </c>
      <c r="R272" s="100"/>
      <c r="S272" s="101">
        <v>0</v>
      </c>
      <c r="T272" s="102">
        <v>0</v>
      </c>
      <c r="U272" s="103">
        <v>0</v>
      </c>
      <c r="V272" s="103">
        <v>0</v>
      </c>
      <c r="W272" s="104">
        <v>0</v>
      </c>
      <c r="X272" s="19"/>
      <c r="Y272" s="103">
        <v>0</v>
      </c>
      <c r="Z272" s="103">
        <v>0</v>
      </c>
      <c r="AA272" s="105">
        <v>0</v>
      </c>
      <c r="AB272" s="106">
        <v>0</v>
      </c>
      <c r="AC272" s="105">
        <v>0</v>
      </c>
      <c r="AD272" s="104">
        <v>0</v>
      </c>
      <c r="AE272" s="104">
        <v>0</v>
      </c>
      <c r="AF272" s="107">
        <v>46265</v>
      </c>
    </row>
    <row r="273" spans="1:33" x14ac:dyDescent="0.25">
      <c r="A273" s="90">
        <v>1008</v>
      </c>
      <c r="B273" s="91" t="s">
        <v>1190</v>
      </c>
      <c r="C273" s="29">
        <v>10080083</v>
      </c>
      <c r="D273" s="92" t="s">
        <v>547</v>
      </c>
      <c r="E273" s="93" t="s">
        <v>275</v>
      </c>
      <c r="F273" s="93" t="s">
        <v>231</v>
      </c>
      <c r="G273" s="109">
        <v>127.10000000000001</v>
      </c>
      <c r="H273" s="109">
        <v>4706.8999999999996</v>
      </c>
      <c r="I273" s="95">
        <v>0</v>
      </c>
      <c r="J273" s="95">
        <v>0</v>
      </c>
      <c r="K273" s="95">
        <v>0</v>
      </c>
      <c r="L273" s="95">
        <v>0</v>
      </c>
      <c r="M273" s="96">
        <v>0</v>
      </c>
      <c r="N273" s="97">
        <v>0</v>
      </c>
      <c r="O273" s="98">
        <v>0</v>
      </c>
      <c r="P273" s="33"/>
      <c r="Q273" s="99" t="s">
        <v>1198</v>
      </c>
      <c r="R273" s="100"/>
      <c r="S273" s="101">
        <v>0</v>
      </c>
      <c r="T273" s="102">
        <v>0</v>
      </c>
      <c r="U273" s="103">
        <v>0</v>
      </c>
      <c r="V273" s="103">
        <v>0</v>
      </c>
      <c r="W273" s="104">
        <v>0</v>
      </c>
      <c r="X273" s="19"/>
      <c r="Y273" s="103">
        <v>0</v>
      </c>
      <c r="Z273" s="103">
        <v>0</v>
      </c>
      <c r="AA273" s="105">
        <v>0</v>
      </c>
      <c r="AB273" s="106">
        <v>0</v>
      </c>
      <c r="AC273" s="105">
        <v>0</v>
      </c>
      <c r="AD273" s="104">
        <v>0</v>
      </c>
      <c r="AE273" s="104">
        <v>0</v>
      </c>
      <c r="AF273" s="107">
        <v>46265</v>
      </c>
    </row>
    <row r="274" spans="1:33" x14ac:dyDescent="0.25">
      <c r="A274" s="90">
        <v>1008</v>
      </c>
      <c r="B274" s="91" t="s">
        <v>1190</v>
      </c>
      <c r="C274" s="29">
        <v>10080086</v>
      </c>
      <c r="D274" s="92" t="s">
        <v>548</v>
      </c>
      <c r="E274" s="93" t="s">
        <v>270</v>
      </c>
      <c r="F274" s="93" t="s">
        <v>230</v>
      </c>
      <c r="G274" s="109">
        <v>423.09999999999997</v>
      </c>
      <c r="H274" s="109">
        <v>15833.789999999999</v>
      </c>
      <c r="I274" s="95">
        <v>0</v>
      </c>
      <c r="J274" s="95">
        <v>0</v>
      </c>
      <c r="K274" s="95">
        <v>500</v>
      </c>
      <c r="L274" s="95">
        <v>0</v>
      </c>
      <c r="M274" s="96">
        <v>116</v>
      </c>
      <c r="N274" s="97">
        <v>0</v>
      </c>
      <c r="O274" s="98">
        <v>0</v>
      </c>
      <c r="P274" s="33"/>
      <c r="Q274" s="99" t="s">
        <v>1198</v>
      </c>
      <c r="R274" s="100"/>
      <c r="S274" s="101">
        <v>7.3627350116427029E-3</v>
      </c>
      <c r="T274" s="102">
        <v>3</v>
      </c>
      <c r="U274" s="103">
        <v>0</v>
      </c>
      <c r="V274" s="103">
        <v>0</v>
      </c>
      <c r="W274" s="104">
        <v>0</v>
      </c>
      <c r="X274" s="19"/>
      <c r="Y274" s="103">
        <v>500</v>
      </c>
      <c r="Z274" s="103">
        <v>0</v>
      </c>
      <c r="AA274" s="105">
        <v>0</v>
      </c>
      <c r="AB274" s="106">
        <v>500</v>
      </c>
      <c r="AC274" s="105">
        <v>500</v>
      </c>
      <c r="AD274" s="104">
        <v>0</v>
      </c>
      <c r="AE274" s="104">
        <v>0</v>
      </c>
      <c r="AF274" s="107">
        <v>46265</v>
      </c>
    </row>
    <row r="275" spans="1:33" x14ac:dyDescent="0.25">
      <c r="A275" s="90">
        <v>1008</v>
      </c>
      <c r="B275" s="91" t="s">
        <v>1190</v>
      </c>
      <c r="C275" s="29">
        <v>10080087</v>
      </c>
      <c r="D275" s="92" t="s">
        <v>549</v>
      </c>
      <c r="E275" s="93" t="s">
        <v>270</v>
      </c>
      <c r="F275" s="93" t="s">
        <v>230</v>
      </c>
      <c r="G275" s="109">
        <v>480.95000000000005</v>
      </c>
      <c r="H275" s="109">
        <v>19773.019999999997</v>
      </c>
      <c r="I275" s="95">
        <v>0</v>
      </c>
      <c r="J275" s="95">
        <v>0</v>
      </c>
      <c r="K275" s="95">
        <v>0</v>
      </c>
      <c r="L275" s="95">
        <v>0</v>
      </c>
      <c r="M275" s="96">
        <v>383</v>
      </c>
      <c r="N275" s="97">
        <v>0</v>
      </c>
      <c r="O275" s="98">
        <v>0</v>
      </c>
      <c r="P275" s="33"/>
      <c r="Q275" s="99" t="s">
        <v>1198</v>
      </c>
      <c r="R275" s="100"/>
      <c r="S275" s="101">
        <v>1.9360219126870741E-2</v>
      </c>
      <c r="T275" s="102">
        <v>4</v>
      </c>
      <c r="U275" s="103">
        <v>0</v>
      </c>
      <c r="V275" s="103">
        <v>0</v>
      </c>
      <c r="W275" s="104">
        <v>0</v>
      </c>
      <c r="X275" s="19"/>
      <c r="Y275" s="103">
        <v>0</v>
      </c>
      <c r="Z275" s="103">
        <v>0</v>
      </c>
      <c r="AA275" s="105">
        <v>0</v>
      </c>
      <c r="AB275" s="106">
        <v>0</v>
      </c>
      <c r="AC275" s="105">
        <v>0</v>
      </c>
      <c r="AD275" s="104">
        <v>0</v>
      </c>
      <c r="AE275" s="104">
        <v>0</v>
      </c>
      <c r="AF275" s="107">
        <v>46265</v>
      </c>
    </row>
    <row r="276" spans="1:33" x14ac:dyDescent="0.25">
      <c r="A276" s="90">
        <v>1008</v>
      </c>
      <c r="B276" s="91" t="s">
        <v>1190</v>
      </c>
      <c r="C276" s="29">
        <v>10080088</v>
      </c>
      <c r="D276" s="92" t="s">
        <v>550</v>
      </c>
      <c r="E276" s="93" t="s">
        <v>270</v>
      </c>
      <c r="F276" s="93" t="s">
        <v>230</v>
      </c>
      <c r="G276" s="109">
        <v>440.3</v>
      </c>
      <c r="H276" s="109">
        <v>15293.810000000001</v>
      </c>
      <c r="I276" s="95">
        <v>0</v>
      </c>
      <c r="J276" s="95">
        <v>0</v>
      </c>
      <c r="K276" s="95">
        <v>0</v>
      </c>
      <c r="L276" s="95">
        <v>0</v>
      </c>
      <c r="M276" s="96">
        <v>-469</v>
      </c>
      <c r="N276" s="97" t="s">
        <v>331</v>
      </c>
      <c r="O276" s="98">
        <v>-469</v>
      </c>
      <c r="P276" s="33" t="s">
        <v>551</v>
      </c>
      <c r="Q276" s="99" t="s">
        <v>1198</v>
      </c>
      <c r="R276" s="100"/>
      <c r="S276" s="101">
        <v>-3.0559422406842843E-2</v>
      </c>
      <c r="T276" s="102">
        <v>7</v>
      </c>
      <c r="U276" s="103">
        <v>0</v>
      </c>
      <c r="V276" s="103">
        <v>0</v>
      </c>
      <c r="W276" s="104">
        <v>0</v>
      </c>
      <c r="X276" s="19"/>
      <c r="Y276" s="103">
        <v>0</v>
      </c>
      <c r="Z276" s="103">
        <v>0</v>
      </c>
      <c r="AA276" s="105">
        <v>0</v>
      </c>
      <c r="AB276" s="106">
        <v>0</v>
      </c>
      <c r="AC276" s="105">
        <v>0</v>
      </c>
      <c r="AD276" s="104">
        <v>0</v>
      </c>
      <c r="AE276" s="104">
        <v>-469</v>
      </c>
      <c r="AF276" s="107">
        <v>46265</v>
      </c>
    </row>
    <row r="277" spans="1:33" x14ac:dyDescent="0.25">
      <c r="A277" s="90">
        <v>1008</v>
      </c>
      <c r="B277" s="91" t="s">
        <v>1190</v>
      </c>
      <c r="C277" s="29">
        <v>10080090</v>
      </c>
      <c r="D277" s="92" t="s">
        <v>552</v>
      </c>
      <c r="E277" s="93" t="s">
        <v>275</v>
      </c>
      <c r="F277" s="93" t="s">
        <v>231</v>
      </c>
      <c r="G277" s="109">
        <v>402.9</v>
      </c>
      <c r="H277" s="109">
        <v>15343.07</v>
      </c>
      <c r="I277" s="95">
        <v>0</v>
      </c>
      <c r="J277" s="95">
        <v>0</v>
      </c>
      <c r="K277" s="95">
        <v>0</v>
      </c>
      <c r="L277" s="95">
        <v>0</v>
      </c>
      <c r="M277" s="96">
        <v>0</v>
      </c>
      <c r="N277" s="97">
        <v>0</v>
      </c>
      <c r="O277" s="98">
        <v>0</v>
      </c>
      <c r="P277" s="33"/>
      <c r="Q277" s="99" t="s">
        <v>1198</v>
      </c>
      <c r="R277" s="100"/>
      <c r="S277" s="101">
        <v>0</v>
      </c>
      <c r="T277" s="102">
        <v>0</v>
      </c>
      <c r="U277" s="103">
        <v>0</v>
      </c>
      <c r="V277" s="103">
        <v>0</v>
      </c>
      <c r="W277" s="104">
        <v>0</v>
      </c>
      <c r="X277" s="19"/>
      <c r="Y277" s="103">
        <v>0</v>
      </c>
      <c r="Z277" s="103">
        <v>0</v>
      </c>
      <c r="AA277" s="105">
        <v>0</v>
      </c>
      <c r="AB277" s="106">
        <v>0</v>
      </c>
      <c r="AC277" s="105">
        <v>0</v>
      </c>
      <c r="AD277" s="104">
        <v>0</v>
      </c>
      <c r="AE277" s="104">
        <v>0</v>
      </c>
      <c r="AF277" s="107">
        <v>46265</v>
      </c>
    </row>
    <row r="278" spans="1:33" x14ac:dyDescent="0.25">
      <c r="A278" s="90">
        <v>1008</v>
      </c>
      <c r="B278" s="91" t="s">
        <v>1190</v>
      </c>
      <c r="C278" s="29">
        <v>10080093</v>
      </c>
      <c r="D278" s="92" t="s">
        <v>553</v>
      </c>
      <c r="E278" s="93" t="s">
        <v>270</v>
      </c>
      <c r="F278" s="93" t="s">
        <v>230</v>
      </c>
      <c r="G278" s="109">
        <v>343.1</v>
      </c>
      <c r="H278" s="109">
        <v>12945.79</v>
      </c>
      <c r="I278" s="95">
        <v>0</v>
      </c>
      <c r="J278" s="95">
        <v>0</v>
      </c>
      <c r="K278" s="95">
        <v>0</v>
      </c>
      <c r="L278" s="95">
        <v>0</v>
      </c>
      <c r="M278" s="96">
        <v>0</v>
      </c>
      <c r="N278" s="97">
        <v>0</v>
      </c>
      <c r="O278" s="98">
        <v>0</v>
      </c>
      <c r="P278" s="33"/>
      <c r="Q278" s="99" t="s">
        <v>1198</v>
      </c>
      <c r="R278" s="100"/>
      <c r="S278" s="101">
        <v>-9.8024145301280866E-4</v>
      </c>
      <c r="T278" s="102">
        <v>1</v>
      </c>
      <c r="U278" s="103">
        <v>0</v>
      </c>
      <c r="V278" s="103">
        <v>0</v>
      </c>
      <c r="W278" s="104">
        <v>0</v>
      </c>
      <c r="X278" s="19"/>
      <c r="Y278" s="103">
        <v>0</v>
      </c>
      <c r="Z278" s="103">
        <v>0</v>
      </c>
      <c r="AA278" s="105">
        <v>0</v>
      </c>
      <c r="AB278" s="106">
        <v>0</v>
      </c>
      <c r="AC278" s="105">
        <v>0</v>
      </c>
      <c r="AD278" s="104">
        <v>0</v>
      </c>
      <c r="AE278" s="104">
        <v>0</v>
      </c>
      <c r="AF278" s="107">
        <v>46265</v>
      </c>
    </row>
    <row r="279" spans="1:33" x14ac:dyDescent="0.25">
      <c r="A279" s="90">
        <v>1008</v>
      </c>
      <c r="B279" s="91" t="s">
        <v>1190</v>
      </c>
      <c r="C279" s="29">
        <v>10080097</v>
      </c>
      <c r="D279" s="92" t="s">
        <v>554</v>
      </c>
      <c r="E279" s="93" t="s">
        <v>275</v>
      </c>
      <c r="F279" s="93" t="s">
        <v>231</v>
      </c>
      <c r="G279" s="109">
        <v>100.15</v>
      </c>
      <c r="H279" s="109">
        <v>4052.49</v>
      </c>
      <c r="I279" s="95">
        <v>0</v>
      </c>
      <c r="J279" s="95">
        <v>0</v>
      </c>
      <c r="K279" s="95">
        <v>0</v>
      </c>
      <c r="L279" s="95">
        <v>0</v>
      </c>
      <c r="M279" s="96">
        <v>0</v>
      </c>
      <c r="N279" s="97">
        <v>0</v>
      </c>
      <c r="O279" s="98">
        <v>0</v>
      </c>
      <c r="P279" s="33"/>
      <c r="Q279" s="99" t="s">
        <v>1198</v>
      </c>
      <c r="R279" s="100"/>
      <c r="S279" s="101">
        <v>0</v>
      </c>
      <c r="T279" s="102">
        <v>0</v>
      </c>
      <c r="U279" s="103">
        <v>0</v>
      </c>
      <c r="V279" s="103">
        <v>0</v>
      </c>
      <c r="W279" s="104">
        <v>0</v>
      </c>
      <c r="X279" s="19"/>
      <c r="Y279" s="103">
        <v>0</v>
      </c>
      <c r="Z279" s="103">
        <v>0</v>
      </c>
      <c r="AA279" s="105">
        <v>0</v>
      </c>
      <c r="AB279" s="106">
        <v>0</v>
      </c>
      <c r="AC279" s="105">
        <v>0</v>
      </c>
      <c r="AD279" s="104">
        <v>0</v>
      </c>
      <c r="AE279" s="104">
        <v>0</v>
      </c>
      <c r="AF279" s="107">
        <v>46265</v>
      </c>
    </row>
    <row r="280" spans="1:33" x14ac:dyDescent="0.25">
      <c r="A280" s="90">
        <v>1008</v>
      </c>
      <c r="B280" s="91" t="s">
        <v>1190</v>
      </c>
      <c r="C280" s="29">
        <v>10080099</v>
      </c>
      <c r="D280" s="92" t="s">
        <v>555</v>
      </c>
      <c r="E280" s="93" t="s">
        <v>270</v>
      </c>
      <c r="F280" s="93" t="s">
        <v>230</v>
      </c>
      <c r="G280" s="109">
        <v>45.900000000000006</v>
      </c>
      <c r="H280" s="109">
        <v>1820.71</v>
      </c>
      <c r="I280" s="95">
        <v>0</v>
      </c>
      <c r="J280" s="95">
        <v>0</v>
      </c>
      <c r="K280" s="95">
        <v>0</v>
      </c>
      <c r="L280" s="95">
        <v>0</v>
      </c>
      <c r="M280" s="96">
        <v>11</v>
      </c>
      <c r="N280" s="97">
        <v>0</v>
      </c>
      <c r="O280" s="98">
        <v>0</v>
      </c>
      <c r="P280" s="33"/>
      <c r="Q280" s="99" t="s">
        <v>1198</v>
      </c>
      <c r="R280" s="100"/>
      <c r="S280" s="101">
        <v>6.0800456964590389E-3</v>
      </c>
      <c r="T280" s="102">
        <v>1</v>
      </c>
      <c r="U280" s="103">
        <v>0</v>
      </c>
      <c r="V280" s="103">
        <v>0</v>
      </c>
      <c r="W280" s="104">
        <v>0</v>
      </c>
      <c r="X280" s="19"/>
      <c r="Y280" s="103">
        <v>0</v>
      </c>
      <c r="Z280" s="103">
        <v>0</v>
      </c>
      <c r="AA280" s="105">
        <v>0</v>
      </c>
      <c r="AB280" s="106">
        <v>0</v>
      </c>
      <c r="AC280" s="105">
        <v>0</v>
      </c>
      <c r="AD280" s="104">
        <v>0</v>
      </c>
      <c r="AE280" s="104">
        <v>0</v>
      </c>
      <c r="AF280" s="107">
        <v>46265</v>
      </c>
    </row>
    <row r="281" spans="1:33" x14ac:dyDescent="0.25">
      <c r="A281" s="90">
        <v>1008</v>
      </c>
      <c r="B281" s="91" t="s">
        <v>1190</v>
      </c>
      <c r="C281" s="29">
        <v>10080107</v>
      </c>
      <c r="D281" s="92" t="s">
        <v>556</v>
      </c>
      <c r="E281" s="93" t="s">
        <v>275</v>
      </c>
      <c r="F281" s="93" t="s">
        <v>231</v>
      </c>
      <c r="G281" s="109">
        <v>911.05000000000007</v>
      </c>
      <c r="H281" s="109">
        <v>33280.050000000003</v>
      </c>
      <c r="I281" s="95">
        <v>0</v>
      </c>
      <c r="J281" s="95">
        <v>0</v>
      </c>
      <c r="K281" s="95">
        <v>0</v>
      </c>
      <c r="L281" s="95">
        <v>0</v>
      </c>
      <c r="M281" s="96">
        <v>0</v>
      </c>
      <c r="N281" s="97">
        <v>0</v>
      </c>
      <c r="O281" s="98">
        <v>0</v>
      </c>
      <c r="P281" s="33"/>
      <c r="Q281" s="99" t="s">
        <v>1198</v>
      </c>
      <c r="R281" s="100"/>
      <c r="S281" s="101">
        <v>0</v>
      </c>
      <c r="T281" s="102">
        <v>0</v>
      </c>
      <c r="U281" s="103">
        <v>0</v>
      </c>
      <c r="V281" s="103">
        <v>0</v>
      </c>
      <c r="W281" s="104">
        <v>0</v>
      </c>
      <c r="X281" s="19"/>
      <c r="Y281" s="103">
        <v>0</v>
      </c>
      <c r="Z281" s="103">
        <v>0</v>
      </c>
      <c r="AA281" s="105">
        <v>0</v>
      </c>
      <c r="AB281" s="106">
        <v>0</v>
      </c>
      <c r="AC281" s="105">
        <v>0</v>
      </c>
      <c r="AD281" s="104">
        <v>0</v>
      </c>
      <c r="AE281" s="104">
        <v>0</v>
      </c>
      <c r="AF281" s="107">
        <v>46265</v>
      </c>
    </row>
    <row r="282" spans="1:33" x14ac:dyDescent="0.25">
      <c r="A282" s="90">
        <v>1008</v>
      </c>
      <c r="B282" s="91" t="s">
        <v>1190</v>
      </c>
      <c r="C282" s="29">
        <v>10080112</v>
      </c>
      <c r="D282" s="92" t="s">
        <v>557</v>
      </c>
      <c r="E282" s="93" t="s">
        <v>275</v>
      </c>
      <c r="F282" s="93" t="s">
        <v>231</v>
      </c>
      <c r="G282" s="109">
        <v>1129.05</v>
      </c>
      <c r="H282" s="109">
        <v>46432.799999999996</v>
      </c>
      <c r="I282" s="95">
        <v>0</v>
      </c>
      <c r="J282" s="95">
        <v>0</v>
      </c>
      <c r="K282" s="95">
        <v>0</v>
      </c>
      <c r="L282" s="95">
        <v>0</v>
      </c>
      <c r="M282" s="96">
        <v>0</v>
      </c>
      <c r="N282" s="97">
        <v>0</v>
      </c>
      <c r="O282" s="98">
        <v>0</v>
      </c>
      <c r="P282" s="33"/>
      <c r="Q282" s="99" t="s">
        <v>1198</v>
      </c>
      <c r="R282" s="100"/>
      <c r="S282" s="101">
        <v>0</v>
      </c>
      <c r="T282" s="102">
        <v>0</v>
      </c>
      <c r="U282" s="103">
        <v>0</v>
      </c>
      <c r="V282" s="103">
        <v>0</v>
      </c>
      <c r="W282" s="104">
        <v>0</v>
      </c>
      <c r="X282" s="19"/>
      <c r="Y282" s="103">
        <v>0</v>
      </c>
      <c r="Z282" s="103">
        <v>0</v>
      </c>
      <c r="AA282" s="105">
        <v>0</v>
      </c>
      <c r="AB282" s="106">
        <v>0</v>
      </c>
      <c r="AC282" s="105">
        <v>0</v>
      </c>
      <c r="AD282" s="104">
        <v>0</v>
      </c>
      <c r="AE282" s="104">
        <v>0</v>
      </c>
      <c r="AF282" s="107">
        <v>46265</v>
      </c>
    </row>
    <row r="283" spans="1:33" x14ac:dyDescent="0.25">
      <c r="A283" s="90">
        <v>1008</v>
      </c>
      <c r="B283" s="91" t="s">
        <v>1190</v>
      </c>
      <c r="C283" s="29">
        <v>10080113</v>
      </c>
      <c r="D283" s="92" t="s">
        <v>558</v>
      </c>
      <c r="E283" s="93" t="s">
        <v>275</v>
      </c>
      <c r="F283" s="93" t="s">
        <v>231</v>
      </c>
      <c r="G283" s="109">
        <v>306.54999999999995</v>
      </c>
      <c r="H283" s="109">
        <v>11626.72</v>
      </c>
      <c r="I283" s="95">
        <v>0</v>
      </c>
      <c r="J283" s="95">
        <v>0</v>
      </c>
      <c r="K283" s="95">
        <v>0</v>
      </c>
      <c r="L283" s="95">
        <v>0</v>
      </c>
      <c r="M283" s="96">
        <v>0</v>
      </c>
      <c r="N283" s="97">
        <v>0</v>
      </c>
      <c r="O283" s="98">
        <v>0</v>
      </c>
      <c r="P283" s="33"/>
      <c r="Q283" s="99" t="s">
        <v>1198</v>
      </c>
      <c r="R283" s="100"/>
      <c r="S283" s="101">
        <v>0</v>
      </c>
      <c r="T283" s="102">
        <v>0</v>
      </c>
      <c r="U283" s="103">
        <v>0</v>
      </c>
      <c r="V283" s="103">
        <v>0</v>
      </c>
      <c r="W283" s="104">
        <v>0</v>
      </c>
      <c r="X283" s="19"/>
      <c r="Y283" s="103">
        <v>0</v>
      </c>
      <c r="Z283" s="103">
        <v>0</v>
      </c>
      <c r="AA283" s="105">
        <v>0</v>
      </c>
      <c r="AB283" s="106">
        <v>0</v>
      </c>
      <c r="AC283" s="105">
        <v>0</v>
      </c>
      <c r="AD283" s="104">
        <v>0</v>
      </c>
      <c r="AE283" s="104">
        <v>0</v>
      </c>
      <c r="AF283" s="107">
        <v>46265</v>
      </c>
      <c r="AG283" s="108"/>
    </row>
    <row r="284" spans="1:33" x14ac:dyDescent="0.25">
      <c r="A284" s="90">
        <v>1008</v>
      </c>
      <c r="B284" s="91" t="s">
        <v>1190</v>
      </c>
      <c r="C284" s="29">
        <v>10080115</v>
      </c>
      <c r="D284" s="92" t="s">
        <v>559</v>
      </c>
      <c r="E284" s="93" t="s">
        <v>270</v>
      </c>
      <c r="F284" s="93" t="s">
        <v>230</v>
      </c>
      <c r="G284" s="109">
        <v>142.90000000000003</v>
      </c>
      <c r="H284" s="109">
        <v>5455.15</v>
      </c>
      <c r="I284" s="95">
        <v>0</v>
      </c>
      <c r="J284" s="95">
        <v>0</v>
      </c>
      <c r="K284" s="95">
        <v>0</v>
      </c>
      <c r="L284" s="95">
        <v>0</v>
      </c>
      <c r="M284" s="96">
        <v>8</v>
      </c>
      <c r="N284" s="97">
        <v>0</v>
      </c>
      <c r="O284" s="98">
        <v>0</v>
      </c>
      <c r="P284" s="33"/>
      <c r="Q284" s="99" t="s">
        <v>1198</v>
      </c>
      <c r="R284" s="100"/>
      <c r="S284" s="101">
        <v>1.5178317736450411E-3</v>
      </c>
      <c r="T284" s="102">
        <v>1</v>
      </c>
      <c r="U284" s="103">
        <v>0</v>
      </c>
      <c r="V284" s="103">
        <v>0</v>
      </c>
      <c r="W284" s="104">
        <v>0</v>
      </c>
      <c r="X284" s="19"/>
      <c r="Y284" s="103">
        <v>0</v>
      </c>
      <c r="Z284" s="103">
        <v>0</v>
      </c>
      <c r="AA284" s="105">
        <v>0</v>
      </c>
      <c r="AB284" s="106">
        <v>0</v>
      </c>
      <c r="AC284" s="105">
        <v>0</v>
      </c>
      <c r="AD284" s="104">
        <v>0</v>
      </c>
      <c r="AE284" s="104">
        <v>0</v>
      </c>
      <c r="AF284" s="107">
        <v>46265</v>
      </c>
    </row>
    <row r="285" spans="1:33" x14ac:dyDescent="0.25">
      <c r="A285" s="90">
        <v>1008</v>
      </c>
      <c r="B285" s="91" t="s">
        <v>1190</v>
      </c>
      <c r="C285" s="29">
        <v>10080119</v>
      </c>
      <c r="D285" s="92" t="s">
        <v>560</v>
      </c>
      <c r="E285" s="93" t="s">
        <v>270</v>
      </c>
      <c r="F285" s="93" t="s">
        <v>230</v>
      </c>
      <c r="G285" s="109">
        <v>193.4</v>
      </c>
      <c r="H285" s="109">
        <v>7525.1900000000005</v>
      </c>
      <c r="I285" s="95">
        <v>0</v>
      </c>
      <c r="J285" s="95">
        <v>0</v>
      </c>
      <c r="K285" s="95">
        <v>0</v>
      </c>
      <c r="L285" s="95">
        <v>0</v>
      </c>
      <c r="M285" s="96">
        <v>0</v>
      </c>
      <c r="N285" s="97">
        <v>0</v>
      </c>
      <c r="O285" s="98">
        <v>0</v>
      </c>
      <c r="P285" s="33"/>
      <c r="Q285" s="99" t="s">
        <v>1198</v>
      </c>
      <c r="R285" s="100"/>
      <c r="S285" s="101">
        <v>-0.10601459896693646</v>
      </c>
      <c r="T285" s="102">
        <v>12</v>
      </c>
      <c r="U285" s="103">
        <v>0</v>
      </c>
      <c r="V285" s="103">
        <v>0</v>
      </c>
      <c r="W285" s="104">
        <v>0</v>
      </c>
      <c r="X285" s="19"/>
      <c r="Y285" s="103">
        <v>0</v>
      </c>
      <c r="Z285" s="103">
        <v>0</v>
      </c>
      <c r="AA285" s="105">
        <v>0</v>
      </c>
      <c r="AB285" s="106">
        <v>0</v>
      </c>
      <c r="AC285" s="105">
        <v>0</v>
      </c>
      <c r="AD285" s="104">
        <v>0</v>
      </c>
      <c r="AE285" s="104">
        <v>0</v>
      </c>
      <c r="AF285" s="107">
        <v>46265</v>
      </c>
    </row>
    <row r="286" spans="1:33" x14ac:dyDescent="0.25">
      <c r="A286" s="90">
        <v>1008</v>
      </c>
      <c r="B286" s="91" t="s">
        <v>1190</v>
      </c>
      <c r="C286" s="29">
        <v>10080120</v>
      </c>
      <c r="D286" s="92" t="s">
        <v>561</v>
      </c>
      <c r="E286" s="93" t="s">
        <v>270</v>
      </c>
      <c r="F286" s="93" t="s">
        <v>230</v>
      </c>
      <c r="G286" s="109">
        <v>519.59999999999991</v>
      </c>
      <c r="H286" s="109">
        <v>20278.409999999996</v>
      </c>
      <c r="I286" s="95">
        <v>0</v>
      </c>
      <c r="J286" s="95">
        <v>0</v>
      </c>
      <c r="K286" s="95">
        <v>0</v>
      </c>
      <c r="L286" s="95">
        <v>0</v>
      </c>
      <c r="M286" s="96">
        <v>0</v>
      </c>
      <c r="N286" s="97">
        <v>0</v>
      </c>
      <c r="O286" s="98">
        <v>0</v>
      </c>
      <c r="P286" s="33"/>
      <c r="Q286" s="99" t="s">
        <v>1198</v>
      </c>
      <c r="R286" s="100"/>
      <c r="S286" s="101">
        <v>-9.3503386113605851E-3</v>
      </c>
      <c r="T286" s="102">
        <v>11</v>
      </c>
      <c r="U286" s="103">
        <v>0</v>
      </c>
      <c r="V286" s="103">
        <v>0</v>
      </c>
      <c r="W286" s="104">
        <v>0</v>
      </c>
      <c r="X286" s="19"/>
      <c r="Y286" s="103">
        <v>0</v>
      </c>
      <c r="Z286" s="103">
        <v>0</v>
      </c>
      <c r="AA286" s="105">
        <v>0</v>
      </c>
      <c r="AB286" s="106">
        <v>0</v>
      </c>
      <c r="AC286" s="105">
        <v>0</v>
      </c>
      <c r="AD286" s="104">
        <v>0</v>
      </c>
      <c r="AE286" s="104">
        <v>0</v>
      </c>
      <c r="AF286" s="107">
        <v>46265</v>
      </c>
    </row>
    <row r="287" spans="1:33" x14ac:dyDescent="0.25">
      <c r="A287" s="90">
        <v>1008</v>
      </c>
      <c r="B287" s="91" t="s">
        <v>1190</v>
      </c>
      <c r="C287" s="29">
        <v>10080122</v>
      </c>
      <c r="D287" s="92" t="s">
        <v>562</v>
      </c>
      <c r="E287" s="93" t="s">
        <v>270</v>
      </c>
      <c r="F287" s="93" t="s">
        <v>230</v>
      </c>
      <c r="G287" s="109">
        <v>486.19999999999993</v>
      </c>
      <c r="H287" s="109">
        <v>19497.489999999998</v>
      </c>
      <c r="I287" s="95">
        <v>0</v>
      </c>
      <c r="J287" s="95">
        <v>0</v>
      </c>
      <c r="K287" s="95">
        <v>0</v>
      </c>
      <c r="L287" s="95">
        <v>0</v>
      </c>
      <c r="M287" s="96">
        <v>134</v>
      </c>
      <c r="N287" s="97">
        <v>0</v>
      </c>
      <c r="O287" s="98">
        <v>0</v>
      </c>
      <c r="P287" s="33"/>
      <c r="Q287" s="99" t="s">
        <v>1198</v>
      </c>
      <c r="R287" s="100"/>
      <c r="S287" s="101">
        <v>6.8916563106327534E-3</v>
      </c>
      <c r="T287" s="102">
        <v>1</v>
      </c>
      <c r="U287" s="103">
        <v>0</v>
      </c>
      <c r="V287" s="103">
        <v>0</v>
      </c>
      <c r="W287" s="104">
        <v>0</v>
      </c>
      <c r="X287" s="19"/>
      <c r="Y287" s="103">
        <v>0</v>
      </c>
      <c r="Z287" s="103">
        <v>0</v>
      </c>
      <c r="AA287" s="105">
        <v>0</v>
      </c>
      <c r="AB287" s="106">
        <v>0</v>
      </c>
      <c r="AC287" s="105">
        <v>0</v>
      </c>
      <c r="AD287" s="104">
        <v>0</v>
      </c>
      <c r="AE287" s="104">
        <v>0</v>
      </c>
      <c r="AF287" s="107">
        <v>46265</v>
      </c>
    </row>
    <row r="288" spans="1:33" x14ac:dyDescent="0.25">
      <c r="A288" s="90">
        <v>1008</v>
      </c>
      <c r="B288" s="91" t="s">
        <v>1190</v>
      </c>
      <c r="C288" s="29">
        <v>10080124</v>
      </c>
      <c r="D288" s="92" t="s">
        <v>563</v>
      </c>
      <c r="E288" s="93" t="s">
        <v>270</v>
      </c>
      <c r="F288" s="93" t="s">
        <v>230</v>
      </c>
      <c r="G288" s="109">
        <v>174.95000000000002</v>
      </c>
      <c r="H288" s="109">
        <v>7027.5100000000011</v>
      </c>
      <c r="I288" s="95">
        <v>0</v>
      </c>
      <c r="J288" s="95">
        <v>0</v>
      </c>
      <c r="K288" s="95">
        <v>0</v>
      </c>
      <c r="L288" s="95">
        <v>0</v>
      </c>
      <c r="M288" s="96">
        <v>23</v>
      </c>
      <c r="N288" s="97">
        <v>0</v>
      </c>
      <c r="O288" s="98">
        <v>0</v>
      </c>
      <c r="P288" s="33"/>
      <c r="Q288" s="99" t="s">
        <v>1198</v>
      </c>
      <c r="R288" s="100"/>
      <c r="S288" s="101">
        <v>3.1675515225166699E-3</v>
      </c>
      <c r="T288" s="102">
        <v>1</v>
      </c>
      <c r="U288" s="103">
        <v>0</v>
      </c>
      <c r="V288" s="103">
        <v>0</v>
      </c>
      <c r="W288" s="104">
        <v>0</v>
      </c>
      <c r="X288" s="19"/>
      <c r="Y288" s="103">
        <v>0</v>
      </c>
      <c r="Z288" s="103">
        <v>0</v>
      </c>
      <c r="AA288" s="105">
        <v>0</v>
      </c>
      <c r="AB288" s="106">
        <v>0</v>
      </c>
      <c r="AC288" s="105">
        <v>0</v>
      </c>
      <c r="AD288" s="104">
        <v>0</v>
      </c>
      <c r="AE288" s="104">
        <v>0</v>
      </c>
      <c r="AF288" s="107">
        <v>46265</v>
      </c>
    </row>
    <row r="289" spans="1:33" x14ac:dyDescent="0.25">
      <c r="A289" s="90">
        <v>1008</v>
      </c>
      <c r="B289" s="91" t="s">
        <v>1190</v>
      </c>
      <c r="C289" s="29">
        <v>10080126</v>
      </c>
      <c r="D289" s="92" t="s">
        <v>564</v>
      </c>
      <c r="E289" s="93" t="s">
        <v>270</v>
      </c>
      <c r="F289" s="93" t="s">
        <v>230</v>
      </c>
      <c r="G289" s="109">
        <v>150.9</v>
      </c>
      <c r="H289" s="109">
        <v>5716.8899999999994</v>
      </c>
      <c r="I289" s="95">
        <v>0</v>
      </c>
      <c r="J289" s="95">
        <v>0</v>
      </c>
      <c r="K289" s="95">
        <v>0</v>
      </c>
      <c r="L289" s="95">
        <v>0</v>
      </c>
      <c r="M289" s="96">
        <v>29</v>
      </c>
      <c r="N289" s="97">
        <v>0</v>
      </c>
      <c r="O289" s="98">
        <v>0</v>
      </c>
      <c r="P289" s="33"/>
      <c r="Q289" s="99" t="s">
        <v>1198</v>
      </c>
      <c r="R289" s="100"/>
      <c r="S289" s="101">
        <v>5.0237104439650486E-3</v>
      </c>
      <c r="T289" s="102">
        <v>1</v>
      </c>
      <c r="U289" s="103">
        <v>0</v>
      </c>
      <c r="V289" s="103">
        <v>0</v>
      </c>
      <c r="W289" s="104">
        <v>0</v>
      </c>
      <c r="X289" s="19"/>
      <c r="Y289" s="103">
        <v>0</v>
      </c>
      <c r="Z289" s="103">
        <v>0</v>
      </c>
      <c r="AA289" s="105">
        <v>0</v>
      </c>
      <c r="AB289" s="106">
        <v>0</v>
      </c>
      <c r="AC289" s="105">
        <v>0</v>
      </c>
      <c r="AD289" s="104">
        <v>0</v>
      </c>
      <c r="AE289" s="104">
        <v>0</v>
      </c>
      <c r="AF289" s="107">
        <v>46265</v>
      </c>
    </row>
    <row r="290" spans="1:33" x14ac:dyDescent="0.25">
      <c r="A290" s="90">
        <v>1008</v>
      </c>
      <c r="B290" s="91" t="s">
        <v>1190</v>
      </c>
      <c r="C290" s="29">
        <v>10080128</v>
      </c>
      <c r="D290" s="92" t="s">
        <v>565</v>
      </c>
      <c r="E290" s="93" t="s">
        <v>270</v>
      </c>
      <c r="F290" s="93" t="s">
        <v>231</v>
      </c>
      <c r="G290" s="109">
        <v>154.69999999999999</v>
      </c>
      <c r="H290" s="109">
        <v>5940.03</v>
      </c>
      <c r="I290" s="95">
        <v>0</v>
      </c>
      <c r="J290" s="95">
        <v>0</v>
      </c>
      <c r="K290" s="95">
        <v>0</v>
      </c>
      <c r="L290" s="95">
        <v>0</v>
      </c>
      <c r="M290" s="96">
        <v>0</v>
      </c>
      <c r="N290" s="97">
        <v>0</v>
      </c>
      <c r="O290" s="98">
        <v>0</v>
      </c>
      <c r="P290" s="33"/>
      <c r="Q290" s="99" t="s">
        <v>1198</v>
      </c>
      <c r="R290" s="100"/>
      <c r="S290" s="101">
        <v>0</v>
      </c>
      <c r="T290" s="102">
        <v>0</v>
      </c>
      <c r="U290" s="103">
        <v>0</v>
      </c>
      <c r="V290" s="103">
        <v>0</v>
      </c>
      <c r="W290" s="104">
        <v>0</v>
      </c>
      <c r="X290" s="19"/>
      <c r="Y290" s="103">
        <v>0</v>
      </c>
      <c r="Z290" s="103">
        <v>0</v>
      </c>
      <c r="AA290" s="105">
        <v>0</v>
      </c>
      <c r="AB290" s="106">
        <v>0</v>
      </c>
      <c r="AC290" s="105">
        <v>0</v>
      </c>
      <c r="AD290" s="104">
        <v>0</v>
      </c>
      <c r="AE290" s="104">
        <v>0</v>
      </c>
      <c r="AF290" s="107">
        <v>46265</v>
      </c>
    </row>
    <row r="291" spans="1:33" x14ac:dyDescent="0.25">
      <c r="A291" s="90">
        <v>1009</v>
      </c>
      <c r="B291" s="91" t="s">
        <v>1191</v>
      </c>
      <c r="C291" s="29">
        <v>10090001</v>
      </c>
      <c r="D291" s="92" t="s">
        <v>566</v>
      </c>
      <c r="E291" s="93" t="s">
        <v>270</v>
      </c>
      <c r="F291" s="93" t="s">
        <v>231</v>
      </c>
      <c r="G291" s="109">
        <v>437</v>
      </c>
      <c r="H291" s="109">
        <v>19405.57</v>
      </c>
      <c r="I291" s="95">
        <v>0</v>
      </c>
      <c r="J291" s="95">
        <v>0</v>
      </c>
      <c r="K291" s="95">
        <v>0</v>
      </c>
      <c r="L291" s="95">
        <v>0</v>
      </c>
      <c r="M291" s="96">
        <v>0</v>
      </c>
      <c r="N291" s="97">
        <v>0</v>
      </c>
      <c r="O291" s="98">
        <v>0</v>
      </c>
      <c r="P291" s="33"/>
      <c r="Q291" s="99" t="s">
        <v>1198</v>
      </c>
      <c r="R291" s="100"/>
      <c r="S291" s="101">
        <v>0</v>
      </c>
      <c r="T291" s="102">
        <v>0</v>
      </c>
      <c r="U291" s="103">
        <v>0</v>
      </c>
      <c r="V291" s="103">
        <v>0</v>
      </c>
      <c r="W291" s="104">
        <v>0</v>
      </c>
      <c r="X291" s="19"/>
      <c r="Y291" s="103">
        <v>0</v>
      </c>
      <c r="Z291" s="103">
        <v>0</v>
      </c>
      <c r="AA291" s="105">
        <v>0</v>
      </c>
      <c r="AB291" s="106">
        <v>0</v>
      </c>
      <c r="AC291" s="105">
        <v>0</v>
      </c>
      <c r="AD291" s="104">
        <v>0</v>
      </c>
      <c r="AE291" s="104">
        <v>0</v>
      </c>
      <c r="AF291" s="107">
        <v>46265</v>
      </c>
    </row>
    <row r="292" spans="1:33" x14ac:dyDescent="0.25">
      <c r="A292" s="90">
        <v>1009</v>
      </c>
      <c r="B292" s="91" t="s">
        <v>1191</v>
      </c>
      <c r="C292" s="29">
        <v>10090002</v>
      </c>
      <c r="D292" s="92" t="s">
        <v>567</v>
      </c>
      <c r="E292" s="93" t="s">
        <v>270</v>
      </c>
      <c r="F292" s="93" t="s">
        <v>230</v>
      </c>
      <c r="G292" s="109">
        <v>1069.1999999999998</v>
      </c>
      <c r="H292" s="109">
        <v>45204.159999999996</v>
      </c>
      <c r="I292" s="95">
        <v>0</v>
      </c>
      <c r="J292" s="95">
        <v>0</v>
      </c>
      <c r="K292" s="95">
        <v>0</v>
      </c>
      <c r="L292" s="95">
        <v>0</v>
      </c>
      <c r="M292" s="96">
        <v>0</v>
      </c>
      <c r="N292" s="97">
        <v>0</v>
      </c>
      <c r="O292" s="98">
        <v>0</v>
      </c>
      <c r="P292" s="33"/>
      <c r="Q292" s="99" t="s">
        <v>1198</v>
      </c>
      <c r="R292" s="100"/>
      <c r="S292" s="101">
        <v>-0.21586707949002917</v>
      </c>
      <c r="T292" s="102">
        <v>14</v>
      </c>
      <c r="U292" s="103">
        <v>0</v>
      </c>
      <c r="V292" s="103">
        <v>0</v>
      </c>
      <c r="W292" s="104">
        <v>0</v>
      </c>
      <c r="X292" s="19"/>
      <c r="Y292" s="103">
        <v>0</v>
      </c>
      <c r="Z292" s="103">
        <v>0</v>
      </c>
      <c r="AA292" s="105">
        <v>0</v>
      </c>
      <c r="AB292" s="106">
        <v>0</v>
      </c>
      <c r="AC292" s="105">
        <v>0</v>
      </c>
      <c r="AD292" s="104">
        <v>0</v>
      </c>
      <c r="AE292" s="104">
        <v>0</v>
      </c>
      <c r="AF292" s="107">
        <v>46265</v>
      </c>
    </row>
    <row r="293" spans="1:33" x14ac:dyDescent="0.25">
      <c r="A293" s="90">
        <v>1009</v>
      </c>
      <c r="B293" s="91" t="s">
        <v>1191</v>
      </c>
      <c r="C293" s="29">
        <v>10090003</v>
      </c>
      <c r="D293" s="92" t="s">
        <v>568</v>
      </c>
      <c r="E293" s="93" t="s">
        <v>270</v>
      </c>
      <c r="F293" s="93" t="s">
        <v>230</v>
      </c>
      <c r="G293" s="109">
        <v>45.500000000000007</v>
      </c>
      <c r="H293" s="109">
        <v>1578.52</v>
      </c>
      <c r="I293" s="95">
        <v>0</v>
      </c>
      <c r="J293" s="95">
        <v>0</v>
      </c>
      <c r="K293" s="95">
        <v>0</v>
      </c>
      <c r="L293" s="95">
        <v>0</v>
      </c>
      <c r="M293" s="96">
        <v>17</v>
      </c>
      <c r="N293" s="97">
        <v>0</v>
      </c>
      <c r="O293" s="98">
        <v>0</v>
      </c>
      <c r="P293" s="33"/>
      <c r="Q293" s="99" t="s">
        <v>1198</v>
      </c>
      <c r="R293" s="100"/>
      <c r="S293" s="101">
        <v>1.0959633074018673E-2</v>
      </c>
      <c r="T293" s="102">
        <v>3</v>
      </c>
      <c r="U293" s="103">
        <v>0</v>
      </c>
      <c r="V293" s="103">
        <v>0</v>
      </c>
      <c r="W293" s="104">
        <v>0</v>
      </c>
      <c r="X293" s="19"/>
      <c r="Y293" s="103">
        <v>0</v>
      </c>
      <c r="Z293" s="103">
        <v>0</v>
      </c>
      <c r="AA293" s="105">
        <v>0</v>
      </c>
      <c r="AB293" s="106">
        <v>0</v>
      </c>
      <c r="AC293" s="105">
        <v>0</v>
      </c>
      <c r="AD293" s="104">
        <v>0</v>
      </c>
      <c r="AE293" s="104">
        <v>0</v>
      </c>
      <c r="AF293" s="107">
        <v>46265</v>
      </c>
    </row>
    <row r="294" spans="1:33" x14ac:dyDescent="0.25">
      <c r="A294" s="90">
        <v>1009</v>
      </c>
      <c r="B294" s="91" t="s">
        <v>1191</v>
      </c>
      <c r="C294" s="29">
        <v>10090006</v>
      </c>
      <c r="D294" s="92" t="s">
        <v>569</v>
      </c>
      <c r="E294" s="93" t="s">
        <v>270</v>
      </c>
      <c r="F294" s="93" t="s">
        <v>230</v>
      </c>
      <c r="G294" s="109">
        <v>1327.6000000000001</v>
      </c>
      <c r="H294" s="109">
        <v>55913.030000000006</v>
      </c>
      <c r="I294" s="95">
        <v>0</v>
      </c>
      <c r="J294" s="95">
        <v>0</v>
      </c>
      <c r="K294" s="95">
        <v>0</v>
      </c>
      <c r="L294" s="95">
        <v>0</v>
      </c>
      <c r="M294" s="96">
        <v>0</v>
      </c>
      <c r="N294" s="97">
        <v>0</v>
      </c>
      <c r="O294" s="98">
        <v>0</v>
      </c>
      <c r="P294" s="33"/>
      <c r="Q294" s="99" t="s">
        <v>1198</v>
      </c>
      <c r="R294" s="100"/>
      <c r="S294" s="101">
        <v>-2.9086958800122065E-2</v>
      </c>
      <c r="T294" s="102">
        <v>9</v>
      </c>
      <c r="U294" s="103">
        <v>0</v>
      </c>
      <c r="V294" s="103">
        <v>0</v>
      </c>
      <c r="W294" s="104">
        <v>0</v>
      </c>
      <c r="X294" s="19"/>
      <c r="Y294" s="103">
        <v>0</v>
      </c>
      <c r="Z294" s="103">
        <v>0</v>
      </c>
      <c r="AA294" s="105">
        <v>0</v>
      </c>
      <c r="AB294" s="106">
        <v>0</v>
      </c>
      <c r="AC294" s="105">
        <v>0</v>
      </c>
      <c r="AD294" s="104">
        <v>0</v>
      </c>
      <c r="AE294" s="104">
        <v>0</v>
      </c>
      <c r="AF294" s="107">
        <v>46265</v>
      </c>
    </row>
    <row r="295" spans="1:33" x14ac:dyDescent="0.25">
      <c r="A295" s="90">
        <v>1009</v>
      </c>
      <c r="B295" s="91" t="s">
        <v>1191</v>
      </c>
      <c r="C295" s="29">
        <v>10090007</v>
      </c>
      <c r="D295" s="92" t="s">
        <v>570</v>
      </c>
      <c r="E295" s="93" t="s">
        <v>270</v>
      </c>
      <c r="F295" s="93" t="s">
        <v>230</v>
      </c>
      <c r="G295" s="111">
        <v>410.9</v>
      </c>
      <c r="H295" s="111">
        <v>15625.080000000002</v>
      </c>
      <c r="I295" s="95">
        <v>0</v>
      </c>
      <c r="J295" s="95">
        <v>0</v>
      </c>
      <c r="K295" s="95">
        <v>0</v>
      </c>
      <c r="L295" s="95">
        <v>0</v>
      </c>
      <c r="M295" s="96">
        <v>0</v>
      </c>
      <c r="N295" s="97">
        <v>0</v>
      </c>
      <c r="O295" s="98">
        <v>0</v>
      </c>
      <c r="P295" s="33"/>
      <c r="Q295" s="99" t="s">
        <v>1198</v>
      </c>
      <c r="R295" s="100"/>
      <c r="S295" s="101">
        <v>-0.30767522470284908</v>
      </c>
      <c r="T295" s="102">
        <v>5</v>
      </c>
      <c r="U295" s="103">
        <v>0</v>
      </c>
      <c r="V295" s="103">
        <v>0</v>
      </c>
      <c r="W295" s="104">
        <v>0</v>
      </c>
      <c r="X295" s="19"/>
      <c r="Y295" s="103">
        <v>0</v>
      </c>
      <c r="Z295" s="103">
        <v>0</v>
      </c>
      <c r="AA295" s="105">
        <v>0</v>
      </c>
      <c r="AB295" s="106">
        <v>0</v>
      </c>
      <c r="AC295" s="105">
        <v>0</v>
      </c>
      <c r="AD295" s="104">
        <v>0</v>
      </c>
      <c r="AE295" s="104">
        <v>0</v>
      </c>
      <c r="AF295" s="107">
        <v>46265</v>
      </c>
    </row>
    <row r="296" spans="1:33" x14ac:dyDescent="0.25">
      <c r="A296" s="90">
        <v>1009</v>
      </c>
      <c r="B296" s="91" t="s">
        <v>1191</v>
      </c>
      <c r="C296" s="29">
        <v>10090008</v>
      </c>
      <c r="D296" s="92" t="s">
        <v>571</v>
      </c>
      <c r="E296" s="93" t="s">
        <v>270</v>
      </c>
      <c r="F296" s="93" t="s">
        <v>230</v>
      </c>
      <c r="G296" s="109">
        <v>547.1</v>
      </c>
      <c r="H296" s="109">
        <v>22083.699999999997</v>
      </c>
      <c r="I296" s="95">
        <v>0</v>
      </c>
      <c r="J296" s="95">
        <v>0</v>
      </c>
      <c r="K296" s="95">
        <v>0</v>
      </c>
      <c r="L296" s="95">
        <v>0</v>
      </c>
      <c r="M296" s="96">
        <v>106</v>
      </c>
      <c r="N296" s="97">
        <v>0</v>
      </c>
      <c r="O296" s="98">
        <v>-1</v>
      </c>
      <c r="P296" s="33"/>
      <c r="Q296" s="99" t="s">
        <v>1198</v>
      </c>
      <c r="R296" s="100"/>
      <c r="S296" s="101">
        <v>4.8642211223656976E-3</v>
      </c>
      <c r="T296" s="102">
        <v>25</v>
      </c>
      <c r="U296" s="103">
        <v>0</v>
      </c>
      <c r="V296" s="103">
        <v>0</v>
      </c>
      <c r="W296" s="104">
        <v>0</v>
      </c>
      <c r="X296" s="19"/>
      <c r="Y296" s="103">
        <v>0</v>
      </c>
      <c r="Z296" s="103">
        <v>0</v>
      </c>
      <c r="AA296" s="105">
        <v>0</v>
      </c>
      <c r="AB296" s="106">
        <v>0</v>
      </c>
      <c r="AC296" s="105">
        <v>0</v>
      </c>
      <c r="AD296" s="104">
        <v>0</v>
      </c>
      <c r="AE296" s="104">
        <v>0</v>
      </c>
      <c r="AF296" s="107">
        <v>46265</v>
      </c>
      <c r="AG296" s="108"/>
    </row>
    <row r="297" spans="1:33" x14ac:dyDescent="0.25">
      <c r="A297" s="90">
        <v>1009</v>
      </c>
      <c r="B297" s="91" t="s">
        <v>1191</v>
      </c>
      <c r="C297" s="29">
        <v>10090009</v>
      </c>
      <c r="D297" s="92" t="s">
        <v>572</v>
      </c>
      <c r="E297" s="93" t="s">
        <v>270</v>
      </c>
      <c r="F297" s="93" t="s">
        <v>230</v>
      </c>
      <c r="G297" s="109">
        <v>416.2000000000001</v>
      </c>
      <c r="H297" s="109">
        <v>17182.91</v>
      </c>
      <c r="I297" s="95">
        <v>0</v>
      </c>
      <c r="J297" s="95">
        <v>0</v>
      </c>
      <c r="K297" s="95">
        <v>0</v>
      </c>
      <c r="L297" s="95">
        <v>0</v>
      </c>
      <c r="M297" s="96">
        <v>0</v>
      </c>
      <c r="N297" s="97">
        <v>0</v>
      </c>
      <c r="O297" s="98">
        <v>0</v>
      </c>
      <c r="P297" s="33"/>
      <c r="Q297" s="99" t="s">
        <v>1198</v>
      </c>
      <c r="R297" s="100"/>
      <c r="S297" s="101">
        <v>-4.8267144505791081E-2</v>
      </c>
      <c r="T297" s="102">
        <v>10</v>
      </c>
      <c r="U297" s="103">
        <v>0</v>
      </c>
      <c r="V297" s="103">
        <v>0</v>
      </c>
      <c r="W297" s="104">
        <v>0</v>
      </c>
      <c r="X297" s="19"/>
      <c r="Y297" s="103">
        <v>0</v>
      </c>
      <c r="Z297" s="103">
        <v>0</v>
      </c>
      <c r="AA297" s="105">
        <v>0</v>
      </c>
      <c r="AB297" s="106">
        <v>0</v>
      </c>
      <c r="AC297" s="105">
        <v>0</v>
      </c>
      <c r="AD297" s="104">
        <v>0</v>
      </c>
      <c r="AE297" s="104">
        <v>0</v>
      </c>
      <c r="AF297" s="107">
        <v>46265</v>
      </c>
    </row>
    <row r="298" spans="1:33" x14ac:dyDescent="0.25">
      <c r="A298" s="90">
        <v>1009</v>
      </c>
      <c r="B298" s="91" t="s">
        <v>1191</v>
      </c>
      <c r="C298" s="29">
        <v>10090011</v>
      </c>
      <c r="D298" s="92" t="s">
        <v>573</v>
      </c>
      <c r="E298" s="93" t="s">
        <v>275</v>
      </c>
      <c r="F298" s="93" t="s">
        <v>231</v>
      </c>
      <c r="G298" s="111">
        <v>601.5</v>
      </c>
      <c r="H298" s="111">
        <v>23377.010000000002</v>
      </c>
      <c r="I298" s="95">
        <v>0</v>
      </c>
      <c r="J298" s="95">
        <v>0</v>
      </c>
      <c r="K298" s="95">
        <v>0</v>
      </c>
      <c r="L298" s="95">
        <v>0</v>
      </c>
      <c r="M298" s="96">
        <v>0</v>
      </c>
      <c r="N298" s="97">
        <v>0</v>
      </c>
      <c r="O298" s="98">
        <v>0</v>
      </c>
      <c r="P298" s="33"/>
      <c r="Q298" s="99" t="s">
        <v>1198</v>
      </c>
      <c r="R298" s="100"/>
      <c r="S298" s="101">
        <v>0</v>
      </c>
      <c r="T298" s="102">
        <v>0</v>
      </c>
      <c r="U298" s="103">
        <v>0</v>
      </c>
      <c r="V298" s="103">
        <v>0</v>
      </c>
      <c r="W298" s="104">
        <v>0</v>
      </c>
      <c r="X298" s="19"/>
      <c r="Y298" s="103">
        <v>0</v>
      </c>
      <c r="Z298" s="103">
        <v>0</v>
      </c>
      <c r="AA298" s="105">
        <v>0</v>
      </c>
      <c r="AB298" s="106">
        <v>0</v>
      </c>
      <c r="AC298" s="105">
        <v>0</v>
      </c>
      <c r="AD298" s="104">
        <v>0</v>
      </c>
      <c r="AE298" s="104">
        <v>0</v>
      </c>
      <c r="AF298" s="107">
        <v>46265</v>
      </c>
    </row>
    <row r="299" spans="1:33" x14ac:dyDescent="0.25">
      <c r="A299" s="90">
        <v>1009</v>
      </c>
      <c r="B299" s="91" t="s">
        <v>1191</v>
      </c>
      <c r="C299" s="29">
        <v>10090012</v>
      </c>
      <c r="D299" s="92" t="s">
        <v>574</v>
      </c>
      <c r="E299" s="93" t="s">
        <v>275</v>
      </c>
      <c r="F299" s="93" t="s">
        <v>231</v>
      </c>
      <c r="G299" s="109">
        <v>800.1</v>
      </c>
      <c r="H299" s="109">
        <v>31022.35</v>
      </c>
      <c r="I299" s="95">
        <v>0</v>
      </c>
      <c r="J299" s="95">
        <v>0</v>
      </c>
      <c r="K299" s="95">
        <v>0</v>
      </c>
      <c r="L299" s="95">
        <v>0</v>
      </c>
      <c r="M299" s="96">
        <v>0</v>
      </c>
      <c r="N299" s="97">
        <v>0</v>
      </c>
      <c r="O299" s="98">
        <v>0</v>
      </c>
      <c r="P299" s="33"/>
      <c r="Q299" s="99" t="s">
        <v>1198</v>
      </c>
      <c r="R299" s="100"/>
      <c r="S299" s="101">
        <v>0</v>
      </c>
      <c r="T299" s="102">
        <v>0</v>
      </c>
      <c r="U299" s="103">
        <v>0</v>
      </c>
      <c r="V299" s="103">
        <v>0</v>
      </c>
      <c r="W299" s="104">
        <v>0</v>
      </c>
      <c r="X299" s="19"/>
      <c r="Y299" s="103">
        <v>0</v>
      </c>
      <c r="Z299" s="103">
        <v>0</v>
      </c>
      <c r="AA299" s="105">
        <v>0</v>
      </c>
      <c r="AB299" s="106">
        <v>0</v>
      </c>
      <c r="AC299" s="105">
        <v>0</v>
      </c>
      <c r="AD299" s="104">
        <v>0</v>
      </c>
      <c r="AE299" s="104">
        <v>0</v>
      </c>
      <c r="AF299" s="107">
        <v>46265</v>
      </c>
    </row>
    <row r="300" spans="1:33" x14ac:dyDescent="0.25">
      <c r="A300" s="90">
        <v>1009</v>
      </c>
      <c r="B300" s="91" t="s">
        <v>1191</v>
      </c>
      <c r="C300" s="29">
        <v>10090014</v>
      </c>
      <c r="D300" s="92" t="s">
        <v>575</v>
      </c>
      <c r="E300" s="93" t="s">
        <v>275</v>
      </c>
      <c r="F300" s="93" t="s">
        <v>231</v>
      </c>
      <c r="G300" s="109">
        <v>503.8</v>
      </c>
      <c r="H300" s="109">
        <v>20916.75</v>
      </c>
      <c r="I300" s="95">
        <v>0</v>
      </c>
      <c r="J300" s="95">
        <v>0</v>
      </c>
      <c r="K300" s="95">
        <v>0</v>
      </c>
      <c r="L300" s="95">
        <v>0</v>
      </c>
      <c r="M300" s="96">
        <v>0</v>
      </c>
      <c r="N300" s="97">
        <v>0</v>
      </c>
      <c r="O300" s="98">
        <v>0</v>
      </c>
      <c r="P300" s="33"/>
      <c r="Q300" s="99" t="s">
        <v>1198</v>
      </c>
      <c r="R300" s="100"/>
      <c r="S300" s="101">
        <v>0</v>
      </c>
      <c r="T300" s="102">
        <v>0</v>
      </c>
      <c r="U300" s="103">
        <v>0</v>
      </c>
      <c r="V300" s="103">
        <v>0</v>
      </c>
      <c r="W300" s="104">
        <v>0</v>
      </c>
      <c r="X300" s="19"/>
      <c r="Y300" s="103">
        <v>0</v>
      </c>
      <c r="Z300" s="103">
        <v>0</v>
      </c>
      <c r="AA300" s="105">
        <v>0</v>
      </c>
      <c r="AB300" s="106">
        <v>0</v>
      </c>
      <c r="AC300" s="105">
        <v>0</v>
      </c>
      <c r="AD300" s="104">
        <v>0</v>
      </c>
      <c r="AE300" s="104">
        <v>0</v>
      </c>
      <c r="AF300" s="107">
        <v>46265</v>
      </c>
    </row>
    <row r="301" spans="1:33" x14ac:dyDescent="0.25">
      <c r="A301" s="90">
        <v>1009</v>
      </c>
      <c r="B301" s="91" t="s">
        <v>1191</v>
      </c>
      <c r="C301" s="29">
        <v>10090015</v>
      </c>
      <c r="D301" s="92" t="s">
        <v>576</v>
      </c>
      <c r="E301" s="93" t="s">
        <v>270</v>
      </c>
      <c r="F301" s="93" t="s">
        <v>231</v>
      </c>
      <c r="G301" s="109">
        <v>469.19999999999993</v>
      </c>
      <c r="H301" s="109">
        <v>20572.140000000003</v>
      </c>
      <c r="I301" s="95">
        <v>0</v>
      </c>
      <c r="J301" s="95">
        <v>0</v>
      </c>
      <c r="K301" s="95">
        <v>0</v>
      </c>
      <c r="L301" s="95">
        <v>0</v>
      </c>
      <c r="M301" s="96">
        <v>0</v>
      </c>
      <c r="N301" s="97">
        <v>0</v>
      </c>
      <c r="O301" s="98">
        <v>0</v>
      </c>
      <c r="P301" s="33"/>
      <c r="Q301" s="99" t="s">
        <v>1198</v>
      </c>
      <c r="R301" s="100"/>
      <c r="S301" s="101">
        <v>0</v>
      </c>
      <c r="T301" s="102">
        <v>0</v>
      </c>
      <c r="U301" s="103">
        <v>0</v>
      </c>
      <c r="V301" s="103">
        <v>0</v>
      </c>
      <c r="W301" s="104">
        <v>0</v>
      </c>
      <c r="X301" s="19"/>
      <c r="Y301" s="103">
        <v>0</v>
      </c>
      <c r="Z301" s="103">
        <v>0</v>
      </c>
      <c r="AA301" s="105">
        <v>0</v>
      </c>
      <c r="AB301" s="106">
        <v>0</v>
      </c>
      <c r="AC301" s="105">
        <v>0</v>
      </c>
      <c r="AD301" s="104">
        <v>0</v>
      </c>
      <c r="AE301" s="104">
        <v>0</v>
      </c>
      <c r="AF301" s="107">
        <v>46265</v>
      </c>
      <c r="AG301" s="108"/>
    </row>
    <row r="302" spans="1:33" x14ac:dyDescent="0.25">
      <c r="A302" s="90">
        <v>1009</v>
      </c>
      <c r="B302" s="91" t="s">
        <v>1191</v>
      </c>
      <c r="C302" s="29">
        <v>10090017</v>
      </c>
      <c r="D302" s="92" t="s">
        <v>577</v>
      </c>
      <c r="E302" s="93" t="s">
        <v>275</v>
      </c>
      <c r="F302" s="93" t="s">
        <v>231</v>
      </c>
      <c r="G302" s="109">
        <v>3552</v>
      </c>
      <c r="H302" s="109">
        <v>127772.29000000001</v>
      </c>
      <c r="I302" s="95">
        <v>0</v>
      </c>
      <c r="J302" s="95">
        <v>0</v>
      </c>
      <c r="K302" s="95">
        <v>0</v>
      </c>
      <c r="L302" s="95">
        <v>0</v>
      </c>
      <c r="M302" s="96">
        <v>0</v>
      </c>
      <c r="N302" s="97">
        <v>0</v>
      </c>
      <c r="O302" s="98">
        <v>0</v>
      </c>
      <c r="P302" s="33"/>
      <c r="Q302" s="99" t="s">
        <v>1198</v>
      </c>
      <c r="R302" s="100"/>
      <c r="S302" s="101">
        <v>0</v>
      </c>
      <c r="T302" s="102">
        <v>0</v>
      </c>
      <c r="U302" s="103">
        <v>0</v>
      </c>
      <c r="V302" s="103">
        <v>0</v>
      </c>
      <c r="W302" s="104">
        <v>0</v>
      </c>
      <c r="X302" s="19"/>
      <c r="Y302" s="103">
        <v>0</v>
      </c>
      <c r="Z302" s="103">
        <v>0</v>
      </c>
      <c r="AA302" s="105">
        <v>0</v>
      </c>
      <c r="AB302" s="106">
        <v>0</v>
      </c>
      <c r="AC302" s="105">
        <v>0</v>
      </c>
      <c r="AD302" s="104">
        <v>0</v>
      </c>
      <c r="AE302" s="104">
        <v>0</v>
      </c>
      <c r="AF302" s="107">
        <v>46265</v>
      </c>
    </row>
    <row r="303" spans="1:33" x14ac:dyDescent="0.25">
      <c r="A303" s="90">
        <v>1009</v>
      </c>
      <c r="B303" s="91" t="s">
        <v>1191</v>
      </c>
      <c r="C303" s="29">
        <v>10090018</v>
      </c>
      <c r="D303" s="92" t="s">
        <v>578</v>
      </c>
      <c r="E303" s="93" t="s">
        <v>275</v>
      </c>
      <c r="F303" s="93" t="s">
        <v>231</v>
      </c>
      <c r="G303" s="109">
        <v>436.4</v>
      </c>
      <c r="H303" s="109">
        <v>17349.870000000003</v>
      </c>
      <c r="I303" s="95">
        <v>0</v>
      </c>
      <c r="J303" s="95">
        <v>0</v>
      </c>
      <c r="K303" s="95">
        <v>0</v>
      </c>
      <c r="L303" s="95">
        <v>0</v>
      </c>
      <c r="M303" s="96">
        <v>0</v>
      </c>
      <c r="N303" s="97">
        <v>0</v>
      </c>
      <c r="O303" s="98">
        <v>0</v>
      </c>
      <c r="P303" s="33"/>
      <c r="Q303" s="99" t="s">
        <v>1198</v>
      </c>
      <c r="R303" s="100"/>
      <c r="S303" s="101">
        <v>0</v>
      </c>
      <c r="T303" s="102">
        <v>0</v>
      </c>
      <c r="U303" s="103">
        <v>0</v>
      </c>
      <c r="V303" s="103">
        <v>0</v>
      </c>
      <c r="W303" s="104">
        <v>0</v>
      </c>
      <c r="X303" s="19"/>
      <c r="Y303" s="103">
        <v>0</v>
      </c>
      <c r="Z303" s="103">
        <v>0</v>
      </c>
      <c r="AA303" s="105">
        <v>0</v>
      </c>
      <c r="AB303" s="106">
        <v>0</v>
      </c>
      <c r="AC303" s="105">
        <v>0</v>
      </c>
      <c r="AD303" s="104">
        <v>0</v>
      </c>
      <c r="AE303" s="104">
        <v>0</v>
      </c>
      <c r="AF303" s="107">
        <v>46265</v>
      </c>
    </row>
    <row r="304" spans="1:33" x14ac:dyDescent="0.25">
      <c r="A304" s="90">
        <v>1009</v>
      </c>
      <c r="B304" s="91" t="s">
        <v>1191</v>
      </c>
      <c r="C304" s="29">
        <v>10090021</v>
      </c>
      <c r="D304" s="92" t="s">
        <v>579</v>
      </c>
      <c r="E304" s="93" t="s">
        <v>270</v>
      </c>
      <c r="F304" s="93" t="s">
        <v>230</v>
      </c>
      <c r="G304" s="109">
        <v>1102.2</v>
      </c>
      <c r="H304" s="109">
        <v>51305.82</v>
      </c>
      <c r="I304" s="95">
        <v>0</v>
      </c>
      <c r="J304" s="95">
        <v>0</v>
      </c>
      <c r="K304" s="95">
        <v>0</v>
      </c>
      <c r="L304" s="95">
        <v>0</v>
      </c>
      <c r="M304" s="96">
        <v>0</v>
      </c>
      <c r="N304" s="97">
        <v>0</v>
      </c>
      <c r="O304" s="98">
        <v>0</v>
      </c>
      <c r="P304" s="33"/>
      <c r="Q304" s="99" t="s">
        <v>1198</v>
      </c>
      <c r="R304" s="100"/>
      <c r="S304" s="101">
        <v>-0.22387089807744989</v>
      </c>
      <c r="T304" s="102">
        <v>9</v>
      </c>
      <c r="U304" s="103">
        <v>0</v>
      </c>
      <c r="V304" s="103">
        <v>0</v>
      </c>
      <c r="W304" s="104">
        <v>0</v>
      </c>
      <c r="X304" s="19"/>
      <c r="Y304" s="103">
        <v>0</v>
      </c>
      <c r="Z304" s="103">
        <v>0</v>
      </c>
      <c r="AA304" s="105">
        <v>0</v>
      </c>
      <c r="AB304" s="106">
        <v>0</v>
      </c>
      <c r="AC304" s="105">
        <v>0</v>
      </c>
      <c r="AD304" s="104">
        <v>0</v>
      </c>
      <c r="AE304" s="104">
        <v>0</v>
      </c>
      <c r="AF304" s="107">
        <v>46265</v>
      </c>
    </row>
    <row r="305" spans="1:32" x14ac:dyDescent="0.25">
      <c r="A305" s="90">
        <v>1009</v>
      </c>
      <c r="B305" s="91" t="s">
        <v>1191</v>
      </c>
      <c r="C305" s="29">
        <v>10090022</v>
      </c>
      <c r="D305" s="92" t="s">
        <v>580</v>
      </c>
      <c r="E305" s="93" t="s">
        <v>270</v>
      </c>
      <c r="F305" s="93" t="s">
        <v>231</v>
      </c>
      <c r="G305" s="109">
        <v>432.2</v>
      </c>
      <c r="H305" s="109">
        <v>18042.32</v>
      </c>
      <c r="I305" s="95">
        <v>0</v>
      </c>
      <c r="J305" s="95">
        <v>0</v>
      </c>
      <c r="K305" s="95">
        <v>0</v>
      </c>
      <c r="L305" s="95">
        <v>0</v>
      </c>
      <c r="M305" s="96">
        <v>0</v>
      </c>
      <c r="N305" s="97">
        <v>0</v>
      </c>
      <c r="O305" s="98">
        <v>0</v>
      </c>
      <c r="P305" s="33"/>
      <c r="Q305" s="99" t="s">
        <v>1198</v>
      </c>
      <c r="R305" s="100"/>
      <c r="S305" s="101">
        <v>0</v>
      </c>
      <c r="T305" s="102">
        <v>0</v>
      </c>
      <c r="U305" s="103">
        <v>0</v>
      </c>
      <c r="V305" s="103">
        <v>0</v>
      </c>
      <c r="W305" s="104">
        <v>0</v>
      </c>
      <c r="X305" s="19"/>
      <c r="Y305" s="103">
        <v>0</v>
      </c>
      <c r="Z305" s="103">
        <v>0</v>
      </c>
      <c r="AA305" s="105">
        <v>0</v>
      </c>
      <c r="AB305" s="106">
        <v>0</v>
      </c>
      <c r="AC305" s="105">
        <v>0</v>
      </c>
      <c r="AD305" s="104">
        <v>0</v>
      </c>
      <c r="AE305" s="104">
        <v>0</v>
      </c>
      <c r="AF305" s="107">
        <v>46265</v>
      </c>
    </row>
    <row r="306" spans="1:32" x14ac:dyDescent="0.25">
      <c r="A306" s="90">
        <v>1009</v>
      </c>
      <c r="B306" s="91" t="s">
        <v>1191</v>
      </c>
      <c r="C306" s="29">
        <v>10090024</v>
      </c>
      <c r="D306" s="92" t="s">
        <v>581</v>
      </c>
      <c r="E306" s="93" t="s">
        <v>270</v>
      </c>
      <c r="F306" s="93" t="s">
        <v>231</v>
      </c>
      <c r="G306" s="109">
        <v>100.80000000000001</v>
      </c>
      <c r="H306" s="109">
        <v>4067.56</v>
      </c>
      <c r="I306" s="95">
        <v>0</v>
      </c>
      <c r="J306" s="95">
        <v>0</v>
      </c>
      <c r="K306" s="95">
        <v>0</v>
      </c>
      <c r="L306" s="95">
        <v>0</v>
      </c>
      <c r="M306" s="96">
        <v>0</v>
      </c>
      <c r="N306" s="97">
        <v>0</v>
      </c>
      <c r="O306" s="98">
        <v>0</v>
      </c>
      <c r="P306" s="33"/>
      <c r="Q306" s="99" t="s">
        <v>1198</v>
      </c>
      <c r="R306" s="100"/>
      <c r="S306" s="101">
        <v>0</v>
      </c>
      <c r="T306" s="102">
        <v>0</v>
      </c>
      <c r="U306" s="103">
        <v>0</v>
      </c>
      <c r="V306" s="103">
        <v>0</v>
      </c>
      <c r="W306" s="104">
        <v>0</v>
      </c>
      <c r="X306" s="19"/>
      <c r="Y306" s="103">
        <v>0</v>
      </c>
      <c r="Z306" s="103">
        <v>0</v>
      </c>
      <c r="AA306" s="105">
        <v>0</v>
      </c>
      <c r="AB306" s="106">
        <v>0</v>
      </c>
      <c r="AC306" s="105">
        <v>0</v>
      </c>
      <c r="AD306" s="104">
        <v>0</v>
      </c>
      <c r="AE306" s="104">
        <v>0</v>
      </c>
      <c r="AF306" s="107">
        <v>46265</v>
      </c>
    </row>
    <row r="307" spans="1:32" x14ac:dyDescent="0.25">
      <c r="A307" s="90">
        <v>1009</v>
      </c>
      <c r="B307" s="91" t="s">
        <v>1191</v>
      </c>
      <c r="C307" s="29">
        <v>10090025</v>
      </c>
      <c r="D307" s="92" t="s">
        <v>582</v>
      </c>
      <c r="E307" s="93" t="s">
        <v>275</v>
      </c>
      <c r="F307" s="93" t="s">
        <v>231</v>
      </c>
      <c r="G307" s="109">
        <v>468.29999999999995</v>
      </c>
      <c r="H307" s="109">
        <v>18379.490000000005</v>
      </c>
      <c r="I307" s="95">
        <v>0</v>
      </c>
      <c r="J307" s="95">
        <v>0</v>
      </c>
      <c r="K307" s="95">
        <v>0</v>
      </c>
      <c r="L307" s="95">
        <v>0</v>
      </c>
      <c r="M307" s="96">
        <v>0</v>
      </c>
      <c r="N307" s="97">
        <v>0</v>
      </c>
      <c r="O307" s="98">
        <v>0</v>
      </c>
      <c r="P307" s="33"/>
      <c r="Q307" s="99" t="s">
        <v>1198</v>
      </c>
      <c r="R307" s="100"/>
      <c r="S307" s="101">
        <v>0</v>
      </c>
      <c r="T307" s="102">
        <v>0</v>
      </c>
      <c r="U307" s="103">
        <v>0</v>
      </c>
      <c r="V307" s="103">
        <v>0</v>
      </c>
      <c r="W307" s="104">
        <v>0</v>
      </c>
      <c r="X307" s="19"/>
      <c r="Y307" s="103">
        <v>0</v>
      </c>
      <c r="Z307" s="103">
        <v>0</v>
      </c>
      <c r="AA307" s="105">
        <v>0</v>
      </c>
      <c r="AB307" s="106">
        <v>0</v>
      </c>
      <c r="AC307" s="105">
        <v>0</v>
      </c>
      <c r="AD307" s="104">
        <v>0</v>
      </c>
      <c r="AE307" s="104">
        <v>0</v>
      </c>
      <c r="AF307" s="107">
        <v>46265</v>
      </c>
    </row>
    <row r="308" spans="1:32" x14ac:dyDescent="0.25">
      <c r="A308" s="90">
        <v>1009</v>
      </c>
      <c r="B308" s="91" t="s">
        <v>1191</v>
      </c>
      <c r="C308" s="29">
        <v>10090027</v>
      </c>
      <c r="D308" s="92" t="s">
        <v>583</v>
      </c>
      <c r="E308" s="93" t="s">
        <v>275</v>
      </c>
      <c r="F308" s="93" t="s">
        <v>231</v>
      </c>
      <c r="G308" s="109">
        <v>1676.4999999999998</v>
      </c>
      <c r="H308" s="109">
        <v>74997.95</v>
      </c>
      <c r="I308" s="95">
        <v>0</v>
      </c>
      <c r="J308" s="95">
        <v>0</v>
      </c>
      <c r="K308" s="95">
        <v>0</v>
      </c>
      <c r="L308" s="95">
        <v>0</v>
      </c>
      <c r="M308" s="96">
        <v>0</v>
      </c>
      <c r="N308" s="97">
        <v>0</v>
      </c>
      <c r="O308" s="98">
        <v>0</v>
      </c>
      <c r="P308" s="33"/>
      <c r="Q308" s="99" t="s">
        <v>1198</v>
      </c>
      <c r="R308" s="100"/>
      <c r="S308" s="101">
        <v>0</v>
      </c>
      <c r="T308" s="102">
        <v>0</v>
      </c>
      <c r="U308" s="103">
        <v>0</v>
      </c>
      <c r="V308" s="103">
        <v>0</v>
      </c>
      <c r="W308" s="104">
        <v>0</v>
      </c>
      <c r="X308" s="19"/>
      <c r="Y308" s="103">
        <v>0</v>
      </c>
      <c r="Z308" s="103">
        <v>0</v>
      </c>
      <c r="AA308" s="105">
        <v>0</v>
      </c>
      <c r="AB308" s="106">
        <v>0</v>
      </c>
      <c r="AC308" s="105">
        <v>0</v>
      </c>
      <c r="AD308" s="104">
        <v>0</v>
      </c>
      <c r="AE308" s="104">
        <v>0</v>
      </c>
      <c r="AF308" s="107">
        <v>46265</v>
      </c>
    </row>
    <row r="309" spans="1:32" x14ac:dyDescent="0.25">
      <c r="A309" s="90">
        <v>1009</v>
      </c>
      <c r="B309" s="91" t="s">
        <v>1191</v>
      </c>
      <c r="C309" s="29">
        <v>10090029</v>
      </c>
      <c r="D309" s="92" t="s">
        <v>354</v>
      </c>
      <c r="E309" s="93" t="s">
        <v>270</v>
      </c>
      <c r="F309" s="93" t="s">
        <v>230</v>
      </c>
      <c r="G309" s="109">
        <v>492.59999999999997</v>
      </c>
      <c r="H309" s="109">
        <v>21985.559999999994</v>
      </c>
      <c r="I309" s="95">
        <v>0</v>
      </c>
      <c r="J309" s="95">
        <v>0</v>
      </c>
      <c r="K309" s="95">
        <v>0</v>
      </c>
      <c r="L309" s="95">
        <v>0</v>
      </c>
      <c r="M309" s="96">
        <v>0</v>
      </c>
      <c r="N309" s="97">
        <v>0</v>
      </c>
      <c r="O309" s="98">
        <v>0</v>
      </c>
      <c r="P309" s="33"/>
      <c r="Q309" s="99" t="s">
        <v>1198</v>
      </c>
      <c r="R309" s="100"/>
      <c r="S309" s="101">
        <v>-7.8956369544375422E-3</v>
      </c>
      <c r="T309" s="102">
        <v>16</v>
      </c>
      <c r="U309" s="103">
        <v>0</v>
      </c>
      <c r="V309" s="103">
        <v>0</v>
      </c>
      <c r="W309" s="104">
        <v>0</v>
      </c>
      <c r="X309" s="19"/>
      <c r="Y309" s="103">
        <v>0</v>
      </c>
      <c r="Z309" s="103">
        <v>0</v>
      </c>
      <c r="AA309" s="105">
        <v>0</v>
      </c>
      <c r="AB309" s="106">
        <v>0</v>
      </c>
      <c r="AC309" s="105">
        <v>0</v>
      </c>
      <c r="AD309" s="104">
        <v>0</v>
      </c>
      <c r="AE309" s="104">
        <v>0</v>
      </c>
      <c r="AF309" s="107">
        <v>46265</v>
      </c>
    </row>
    <row r="310" spans="1:32" x14ac:dyDescent="0.25">
      <c r="A310" s="90">
        <v>1009</v>
      </c>
      <c r="B310" s="91" t="s">
        <v>1191</v>
      </c>
      <c r="C310" s="29">
        <v>10090033</v>
      </c>
      <c r="D310" s="92" t="s">
        <v>584</v>
      </c>
      <c r="E310" s="93" t="s">
        <v>270</v>
      </c>
      <c r="F310" s="93" t="s">
        <v>230</v>
      </c>
      <c r="G310" s="109">
        <v>1055</v>
      </c>
      <c r="H310" s="109">
        <v>49611.99</v>
      </c>
      <c r="I310" s="95">
        <v>0</v>
      </c>
      <c r="J310" s="95">
        <v>0</v>
      </c>
      <c r="K310" s="95">
        <v>0</v>
      </c>
      <c r="L310" s="95">
        <v>0</v>
      </c>
      <c r="M310" s="96">
        <v>0</v>
      </c>
      <c r="N310" s="97">
        <v>0</v>
      </c>
      <c r="O310" s="98">
        <v>0</v>
      </c>
      <c r="P310" s="33"/>
      <c r="Q310" s="99" t="s">
        <v>1198</v>
      </c>
      <c r="R310" s="100"/>
      <c r="S310" s="101">
        <v>-3.1386162901347131E-2</v>
      </c>
      <c r="T310" s="102">
        <v>9</v>
      </c>
      <c r="U310" s="103">
        <v>0</v>
      </c>
      <c r="V310" s="103">
        <v>0</v>
      </c>
      <c r="W310" s="104">
        <v>0</v>
      </c>
      <c r="X310" s="19"/>
      <c r="Y310" s="103">
        <v>0</v>
      </c>
      <c r="Z310" s="103">
        <v>0</v>
      </c>
      <c r="AA310" s="105">
        <v>0</v>
      </c>
      <c r="AB310" s="106">
        <v>0</v>
      </c>
      <c r="AC310" s="105">
        <v>0</v>
      </c>
      <c r="AD310" s="104">
        <v>0</v>
      </c>
      <c r="AE310" s="104">
        <v>0</v>
      </c>
      <c r="AF310" s="107">
        <v>46265</v>
      </c>
    </row>
    <row r="311" spans="1:32" x14ac:dyDescent="0.25">
      <c r="A311" s="90">
        <v>1009</v>
      </c>
      <c r="B311" s="91" t="s">
        <v>1191</v>
      </c>
      <c r="C311" s="29">
        <v>10090034</v>
      </c>
      <c r="D311" s="92" t="s">
        <v>585</v>
      </c>
      <c r="E311" s="93" t="s">
        <v>270</v>
      </c>
      <c r="F311" s="93" t="s">
        <v>230</v>
      </c>
      <c r="G311" s="109">
        <v>1116.2</v>
      </c>
      <c r="H311" s="109">
        <v>46314.14</v>
      </c>
      <c r="I311" s="95">
        <v>0</v>
      </c>
      <c r="J311" s="95">
        <v>0</v>
      </c>
      <c r="K311" s="95">
        <v>0</v>
      </c>
      <c r="L311" s="95">
        <v>0</v>
      </c>
      <c r="M311" s="96">
        <v>6</v>
      </c>
      <c r="N311" s="97">
        <v>0</v>
      </c>
      <c r="O311" s="98">
        <v>0</v>
      </c>
      <c r="P311" s="33"/>
      <c r="Q311" s="99" t="s">
        <v>1198</v>
      </c>
      <c r="R311" s="100"/>
      <c r="S311" s="101">
        <v>1.4207324156298155E-4</v>
      </c>
      <c r="T311" s="102">
        <v>1</v>
      </c>
      <c r="U311" s="103">
        <v>0</v>
      </c>
      <c r="V311" s="103">
        <v>0</v>
      </c>
      <c r="W311" s="104">
        <v>0</v>
      </c>
      <c r="X311" s="19"/>
      <c r="Y311" s="103">
        <v>0</v>
      </c>
      <c r="Z311" s="103">
        <v>0</v>
      </c>
      <c r="AA311" s="105">
        <v>0</v>
      </c>
      <c r="AB311" s="106">
        <v>0</v>
      </c>
      <c r="AC311" s="105">
        <v>0</v>
      </c>
      <c r="AD311" s="104">
        <v>0</v>
      </c>
      <c r="AE311" s="104">
        <v>0</v>
      </c>
      <c r="AF311" s="107">
        <v>46265</v>
      </c>
    </row>
    <row r="312" spans="1:32" x14ac:dyDescent="0.25">
      <c r="A312" s="90">
        <v>1009</v>
      </c>
      <c r="B312" s="91" t="s">
        <v>1191</v>
      </c>
      <c r="C312" s="29">
        <v>10090036</v>
      </c>
      <c r="D312" s="92" t="s">
        <v>586</v>
      </c>
      <c r="E312" s="93" t="s">
        <v>270</v>
      </c>
      <c r="F312" s="93" t="s">
        <v>230</v>
      </c>
      <c r="G312" s="109">
        <v>1730.3</v>
      </c>
      <c r="H312" s="109">
        <v>77114.739999999991</v>
      </c>
      <c r="I312" s="95">
        <v>0</v>
      </c>
      <c r="J312" s="95">
        <v>0</v>
      </c>
      <c r="K312" s="95">
        <v>0</v>
      </c>
      <c r="L312" s="95">
        <v>0</v>
      </c>
      <c r="M312" s="96">
        <v>0</v>
      </c>
      <c r="N312" s="97">
        <v>0</v>
      </c>
      <c r="O312" s="98">
        <v>0</v>
      </c>
      <c r="P312" s="33"/>
      <c r="Q312" s="99" t="s">
        <v>1198</v>
      </c>
      <c r="R312" s="100"/>
      <c r="S312" s="101">
        <v>-1.6633655251901223E-2</v>
      </c>
      <c r="T312" s="102">
        <v>42</v>
      </c>
      <c r="U312" s="103">
        <v>0</v>
      </c>
      <c r="V312" s="103">
        <v>0</v>
      </c>
      <c r="W312" s="104">
        <v>0</v>
      </c>
      <c r="X312" s="19"/>
      <c r="Y312" s="103">
        <v>0</v>
      </c>
      <c r="Z312" s="103">
        <v>0</v>
      </c>
      <c r="AA312" s="105">
        <v>0</v>
      </c>
      <c r="AB312" s="106">
        <v>0</v>
      </c>
      <c r="AC312" s="105">
        <v>0</v>
      </c>
      <c r="AD312" s="104">
        <v>0</v>
      </c>
      <c r="AE312" s="104">
        <v>0</v>
      </c>
      <c r="AF312" s="107">
        <v>46265</v>
      </c>
    </row>
    <row r="313" spans="1:32" x14ac:dyDescent="0.25">
      <c r="A313" s="90">
        <v>1009</v>
      </c>
      <c r="B313" s="91" t="s">
        <v>1191</v>
      </c>
      <c r="C313" s="29">
        <v>10090037</v>
      </c>
      <c r="D313" s="92" t="s">
        <v>587</v>
      </c>
      <c r="E313" s="93" t="s">
        <v>270</v>
      </c>
      <c r="F313" s="93" t="s">
        <v>230</v>
      </c>
      <c r="G313" s="109">
        <v>616.4</v>
      </c>
      <c r="H313" s="109">
        <v>33271.269999999997</v>
      </c>
      <c r="I313" s="95">
        <v>0</v>
      </c>
      <c r="J313" s="95">
        <v>0</v>
      </c>
      <c r="K313" s="95">
        <v>0</v>
      </c>
      <c r="L313" s="95">
        <v>0</v>
      </c>
      <c r="M313" s="96">
        <v>0</v>
      </c>
      <c r="N313" s="97">
        <v>0</v>
      </c>
      <c r="O313" s="98">
        <v>0</v>
      </c>
      <c r="P313" s="33"/>
      <c r="Q313" s="99" t="s">
        <v>1198</v>
      </c>
      <c r="R313" s="100"/>
      <c r="S313" s="101">
        <v>-5.2390245397906481E-2</v>
      </c>
      <c r="T313" s="102">
        <v>11</v>
      </c>
      <c r="U313" s="103">
        <v>0</v>
      </c>
      <c r="V313" s="103">
        <v>0</v>
      </c>
      <c r="W313" s="104">
        <v>0</v>
      </c>
      <c r="X313" s="19"/>
      <c r="Y313" s="103">
        <v>0</v>
      </c>
      <c r="Z313" s="103">
        <v>0</v>
      </c>
      <c r="AA313" s="105">
        <v>0</v>
      </c>
      <c r="AB313" s="106">
        <v>0</v>
      </c>
      <c r="AC313" s="105">
        <v>0</v>
      </c>
      <c r="AD313" s="104">
        <v>0</v>
      </c>
      <c r="AE313" s="104">
        <v>0</v>
      </c>
      <c r="AF313" s="107">
        <v>46265</v>
      </c>
    </row>
    <row r="314" spans="1:32" x14ac:dyDescent="0.25">
      <c r="A314" s="90">
        <v>1009</v>
      </c>
      <c r="B314" s="91" t="s">
        <v>1191</v>
      </c>
      <c r="C314" s="29">
        <v>10090039</v>
      </c>
      <c r="D314" s="92" t="s">
        <v>588</v>
      </c>
      <c r="E314" s="93" t="s">
        <v>275</v>
      </c>
      <c r="F314" s="93" t="s">
        <v>230</v>
      </c>
      <c r="G314" s="109">
        <v>274.60000000000002</v>
      </c>
      <c r="H314" s="109">
        <v>10669.28</v>
      </c>
      <c r="I314" s="95">
        <v>0</v>
      </c>
      <c r="J314" s="95">
        <v>0</v>
      </c>
      <c r="K314" s="95">
        <v>0</v>
      </c>
      <c r="L314" s="95">
        <v>0</v>
      </c>
      <c r="M314" s="96">
        <v>1041</v>
      </c>
      <c r="N314" s="97">
        <v>0</v>
      </c>
      <c r="O314" s="98">
        <v>0</v>
      </c>
      <c r="P314" s="33"/>
      <c r="Q314" s="99" t="s">
        <v>1198</v>
      </c>
      <c r="R314" s="100"/>
      <c r="S314" s="101">
        <v>9.7627018880374186E-2</v>
      </c>
      <c r="T314" s="102">
        <v>7</v>
      </c>
      <c r="U314" s="103">
        <v>0</v>
      </c>
      <c r="V314" s="103">
        <v>0</v>
      </c>
      <c r="W314" s="104">
        <v>0</v>
      </c>
      <c r="X314" s="19"/>
      <c r="Y314" s="103">
        <v>0</v>
      </c>
      <c r="Z314" s="103">
        <v>0</v>
      </c>
      <c r="AA314" s="105">
        <v>0</v>
      </c>
      <c r="AB314" s="106">
        <v>0</v>
      </c>
      <c r="AC314" s="105">
        <v>0</v>
      </c>
      <c r="AD314" s="104">
        <v>0</v>
      </c>
      <c r="AE314" s="104">
        <v>0</v>
      </c>
      <c r="AF314" s="107">
        <v>46265</v>
      </c>
    </row>
    <row r="315" spans="1:32" x14ac:dyDescent="0.25">
      <c r="A315" s="90">
        <v>1009</v>
      </c>
      <c r="B315" s="91" t="s">
        <v>1191</v>
      </c>
      <c r="C315" s="29">
        <v>10090041</v>
      </c>
      <c r="D315" s="92" t="s">
        <v>589</v>
      </c>
      <c r="E315" s="93" t="s">
        <v>275</v>
      </c>
      <c r="F315" s="93" t="s">
        <v>231</v>
      </c>
      <c r="G315" s="109">
        <v>258.39999999999998</v>
      </c>
      <c r="H315" s="109">
        <v>8558.32</v>
      </c>
      <c r="I315" s="95">
        <v>0</v>
      </c>
      <c r="J315" s="95">
        <v>0</v>
      </c>
      <c r="K315" s="95">
        <v>0</v>
      </c>
      <c r="L315" s="95">
        <v>0</v>
      </c>
      <c r="M315" s="96">
        <v>0</v>
      </c>
      <c r="N315" s="97">
        <v>0</v>
      </c>
      <c r="O315" s="98">
        <v>0</v>
      </c>
      <c r="P315" s="33"/>
      <c r="Q315" s="99" t="s">
        <v>1198</v>
      </c>
      <c r="R315" s="100"/>
      <c r="S315" s="101">
        <v>0</v>
      </c>
      <c r="T315" s="102">
        <v>0</v>
      </c>
      <c r="U315" s="103">
        <v>0</v>
      </c>
      <c r="V315" s="103">
        <v>0</v>
      </c>
      <c r="W315" s="104">
        <v>0</v>
      </c>
      <c r="X315" s="19"/>
      <c r="Y315" s="103">
        <v>0</v>
      </c>
      <c r="Z315" s="103">
        <v>0</v>
      </c>
      <c r="AA315" s="105">
        <v>0</v>
      </c>
      <c r="AB315" s="106">
        <v>0</v>
      </c>
      <c r="AC315" s="105">
        <v>0</v>
      </c>
      <c r="AD315" s="104">
        <v>0</v>
      </c>
      <c r="AE315" s="104">
        <v>0</v>
      </c>
      <c r="AF315" s="107">
        <v>46265</v>
      </c>
    </row>
    <row r="316" spans="1:32" x14ac:dyDescent="0.25">
      <c r="A316" s="90">
        <v>1009</v>
      </c>
      <c r="B316" s="91" t="s">
        <v>1191</v>
      </c>
      <c r="C316" s="29">
        <v>10090042</v>
      </c>
      <c r="D316" s="92" t="s">
        <v>590</v>
      </c>
      <c r="E316" s="93" t="s">
        <v>270</v>
      </c>
      <c r="F316" s="93" t="s">
        <v>230</v>
      </c>
      <c r="G316" s="109">
        <v>984.9</v>
      </c>
      <c r="H316" s="109">
        <v>44076.899999999994</v>
      </c>
      <c r="I316" s="95">
        <v>0</v>
      </c>
      <c r="J316" s="95">
        <v>0</v>
      </c>
      <c r="K316" s="95">
        <v>0</v>
      </c>
      <c r="L316" s="95">
        <v>0</v>
      </c>
      <c r="M316" s="96">
        <v>0</v>
      </c>
      <c r="N316" s="97">
        <v>0</v>
      </c>
      <c r="O316" s="98">
        <v>0</v>
      </c>
      <c r="P316" s="33"/>
      <c r="Q316" s="99" t="s">
        <v>1198</v>
      </c>
      <c r="R316" s="100"/>
      <c r="S316" s="101">
        <v>-1.4291159314743344E-2</v>
      </c>
      <c r="T316" s="102">
        <v>10</v>
      </c>
      <c r="U316" s="103">
        <v>0</v>
      </c>
      <c r="V316" s="103">
        <v>0</v>
      </c>
      <c r="W316" s="104">
        <v>0</v>
      </c>
      <c r="X316" s="19"/>
      <c r="Y316" s="103">
        <v>0</v>
      </c>
      <c r="Z316" s="103">
        <v>0</v>
      </c>
      <c r="AA316" s="105">
        <v>0</v>
      </c>
      <c r="AB316" s="106">
        <v>0</v>
      </c>
      <c r="AC316" s="105">
        <v>0</v>
      </c>
      <c r="AD316" s="104">
        <v>0</v>
      </c>
      <c r="AE316" s="104">
        <v>0</v>
      </c>
      <c r="AF316" s="107">
        <v>46265</v>
      </c>
    </row>
    <row r="317" spans="1:32" x14ac:dyDescent="0.25">
      <c r="A317" s="90">
        <v>1009</v>
      </c>
      <c r="B317" s="91" t="s">
        <v>1191</v>
      </c>
      <c r="C317" s="29">
        <v>10090045</v>
      </c>
      <c r="D317" s="92" t="s">
        <v>591</v>
      </c>
      <c r="E317" s="93" t="s">
        <v>270</v>
      </c>
      <c r="F317" s="93" t="s">
        <v>230</v>
      </c>
      <c r="G317" s="109">
        <v>57</v>
      </c>
      <c r="H317" s="109">
        <v>2768.31</v>
      </c>
      <c r="I317" s="95">
        <v>0</v>
      </c>
      <c r="J317" s="95">
        <v>0</v>
      </c>
      <c r="K317" s="95">
        <v>0</v>
      </c>
      <c r="L317" s="95">
        <v>0</v>
      </c>
      <c r="M317" s="96">
        <v>0</v>
      </c>
      <c r="N317" s="97">
        <v>0</v>
      </c>
      <c r="O317" s="98">
        <v>0</v>
      </c>
      <c r="P317" s="33"/>
      <c r="Q317" s="99" t="s">
        <v>1198</v>
      </c>
      <c r="R317" s="100"/>
      <c r="S317" s="101">
        <v>-4.9958277794034563E-3</v>
      </c>
      <c r="T317" s="102">
        <v>1</v>
      </c>
      <c r="U317" s="103">
        <v>0</v>
      </c>
      <c r="V317" s="103">
        <v>0</v>
      </c>
      <c r="W317" s="104">
        <v>0</v>
      </c>
      <c r="X317" s="19"/>
      <c r="Y317" s="103">
        <v>0</v>
      </c>
      <c r="Z317" s="103">
        <v>0</v>
      </c>
      <c r="AA317" s="105">
        <v>0</v>
      </c>
      <c r="AB317" s="106">
        <v>0</v>
      </c>
      <c r="AC317" s="105">
        <v>0</v>
      </c>
      <c r="AD317" s="104">
        <v>0</v>
      </c>
      <c r="AE317" s="104">
        <v>0</v>
      </c>
      <c r="AF317" s="107">
        <v>46265</v>
      </c>
    </row>
    <row r="318" spans="1:32" x14ac:dyDescent="0.25">
      <c r="A318" s="90">
        <v>1009</v>
      </c>
      <c r="B318" s="91" t="s">
        <v>1191</v>
      </c>
      <c r="C318" s="29">
        <v>10090046</v>
      </c>
      <c r="D318" s="92" t="s">
        <v>592</v>
      </c>
      <c r="E318" s="93" t="s">
        <v>270</v>
      </c>
      <c r="F318" s="93" t="s">
        <v>230</v>
      </c>
      <c r="G318" s="109">
        <v>370.9</v>
      </c>
      <c r="H318" s="109">
        <v>17526.72</v>
      </c>
      <c r="I318" s="95">
        <v>0</v>
      </c>
      <c r="J318" s="95">
        <v>0</v>
      </c>
      <c r="K318" s="95">
        <v>0</v>
      </c>
      <c r="L318" s="95">
        <v>0</v>
      </c>
      <c r="M318" s="96">
        <v>0</v>
      </c>
      <c r="N318" s="97">
        <v>0</v>
      </c>
      <c r="O318" s="98">
        <v>0</v>
      </c>
      <c r="P318" s="33"/>
      <c r="Q318" s="99" t="s">
        <v>1198</v>
      </c>
      <c r="R318" s="100"/>
      <c r="S318" s="101">
        <v>-6.3110496430592772E-2</v>
      </c>
      <c r="T318" s="102">
        <v>4</v>
      </c>
      <c r="U318" s="103">
        <v>0</v>
      </c>
      <c r="V318" s="103">
        <v>0</v>
      </c>
      <c r="W318" s="104">
        <v>0</v>
      </c>
      <c r="X318" s="19"/>
      <c r="Y318" s="103">
        <v>0</v>
      </c>
      <c r="Z318" s="103">
        <v>0</v>
      </c>
      <c r="AA318" s="105">
        <v>0</v>
      </c>
      <c r="AB318" s="106">
        <v>0</v>
      </c>
      <c r="AC318" s="105">
        <v>0</v>
      </c>
      <c r="AD318" s="104">
        <v>0</v>
      </c>
      <c r="AE318" s="104">
        <v>0</v>
      </c>
      <c r="AF318" s="107">
        <v>46265</v>
      </c>
    </row>
    <row r="319" spans="1:32" x14ac:dyDescent="0.25">
      <c r="A319" s="90">
        <v>1009</v>
      </c>
      <c r="B319" s="91" t="s">
        <v>1191</v>
      </c>
      <c r="C319" s="29">
        <v>10090047</v>
      </c>
      <c r="D319" s="92" t="s">
        <v>593</v>
      </c>
      <c r="E319" s="93" t="s">
        <v>270</v>
      </c>
      <c r="F319" s="93" t="s">
        <v>230</v>
      </c>
      <c r="G319" s="109">
        <v>315.10000000000002</v>
      </c>
      <c r="H319" s="109">
        <v>13831.939999999999</v>
      </c>
      <c r="I319" s="95">
        <v>0</v>
      </c>
      <c r="J319" s="95">
        <v>0</v>
      </c>
      <c r="K319" s="95">
        <v>0</v>
      </c>
      <c r="L319" s="95">
        <v>0</v>
      </c>
      <c r="M319" s="96">
        <v>0</v>
      </c>
      <c r="N319" s="97">
        <v>0</v>
      </c>
      <c r="O319" s="98">
        <v>0</v>
      </c>
      <c r="P319" s="33"/>
      <c r="Q319" s="99" t="s">
        <v>1198</v>
      </c>
      <c r="R319" s="100"/>
      <c r="S319" s="101">
        <v>-3.1062887780022305E-2</v>
      </c>
      <c r="T319" s="102">
        <v>16</v>
      </c>
      <c r="U319" s="103">
        <v>0</v>
      </c>
      <c r="V319" s="103">
        <v>0</v>
      </c>
      <c r="W319" s="104">
        <v>0</v>
      </c>
      <c r="X319" s="19"/>
      <c r="Y319" s="103">
        <v>0</v>
      </c>
      <c r="Z319" s="103">
        <v>0</v>
      </c>
      <c r="AA319" s="105">
        <v>0</v>
      </c>
      <c r="AB319" s="106">
        <v>0</v>
      </c>
      <c r="AC319" s="105">
        <v>0</v>
      </c>
      <c r="AD319" s="104">
        <v>0</v>
      </c>
      <c r="AE319" s="104">
        <v>0</v>
      </c>
      <c r="AF319" s="107">
        <v>46265</v>
      </c>
    </row>
    <row r="320" spans="1:32" x14ac:dyDescent="0.25">
      <c r="A320" s="90">
        <v>1009</v>
      </c>
      <c r="B320" s="91" t="s">
        <v>1191</v>
      </c>
      <c r="C320" s="29">
        <v>10090049</v>
      </c>
      <c r="D320" s="92" t="s">
        <v>594</v>
      </c>
      <c r="E320" s="93" t="s">
        <v>270</v>
      </c>
      <c r="F320" s="93" t="s">
        <v>230</v>
      </c>
      <c r="G320" s="109">
        <v>625.29999999999995</v>
      </c>
      <c r="H320" s="109">
        <v>31767.01</v>
      </c>
      <c r="I320" s="95">
        <v>0</v>
      </c>
      <c r="J320" s="95">
        <v>0</v>
      </c>
      <c r="K320" s="95">
        <v>0</v>
      </c>
      <c r="L320" s="95">
        <v>0</v>
      </c>
      <c r="M320" s="96">
        <v>0</v>
      </c>
      <c r="N320" s="97">
        <v>0</v>
      </c>
      <c r="O320" s="98">
        <v>0</v>
      </c>
      <c r="P320" s="33"/>
      <c r="Q320" s="99" t="s">
        <v>1198</v>
      </c>
      <c r="R320" s="100"/>
      <c r="S320" s="101">
        <v>-0.10266373826180041</v>
      </c>
      <c r="T320" s="102">
        <v>12</v>
      </c>
      <c r="U320" s="103">
        <v>0</v>
      </c>
      <c r="V320" s="103">
        <v>0</v>
      </c>
      <c r="W320" s="104">
        <v>0</v>
      </c>
      <c r="X320" s="19"/>
      <c r="Y320" s="103">
        <v>0</v>
      </c>
      <c r="Z320" s="103">
        <v>0</v>
      </c>
      <c r="AA320" s="105">
        <v>0</v>
      </c>
      <c r="AB320" s="106">
        <v>0</v>
      </c>
      <c r="AC320" s="105">
        <v>0</v>
      </c>
      <c r="AD320" s="104">
        <v>0</v>
      </c>
      <c r="AE320" s="104">
        <v>0</v>
      </c>
      <c r="AF320" s="107">
        <v>46265</v>
      </c>
    </row>
    <row r="321" spans="1:32" x14ac:dyDescent="0.25">
      <c r="A321" s="90">
        <v>1009</v>
      </c>
      <c r="B321" s="91" t="s">
        <v>1191</v>
      </c>
      <c r="C321" s="29">
        <v>10090055</v>
      </c>
      <c r="D321" s="92" t="s">
        <v>595</v>
      </c>
      <c r="E321" s="93" t="s">
        <v>275</v>
      </c>
      <c r="F321" s="93" t="s">
        <v>231</v>
      </c>
      <c r="G321" s="109">
        <v>250.3</v>
      </c>
      <c r="H321" s="109">
        <v>10419.969999999999</v>
      </c>
      <c r="I321" s="95">
        <v>0</v>
      </c>
      <c r="J321" s="95">
        <v>0</v>
      </c>
      <c r="K321" s="95">
        <v>0</v>
      </c>
      <c r="L321" s="95">
        <v>0</v>
      </c>
      <c r="M321" s="96">
        <v>0</v>
      </c>
      <c r="N321" s="97">
        <v>0</v>
      </c>
      <c r="O321" s="98">
        <v>0</v>
      </c>
      <c r="P321" s="33"/>
      <c r="Q321" s="99" t="s">
        <v>1198</v>
      </c>
      <c r="R321" s="100"/>
      <c r="S321" s="101">
        <v>0</v>
      </c>
      <c r="T321" s="102">
        <v>0</v>
      </c>
      <c r="U321" s="103">
        <v>0</v>
      </c>
      <c r="V321" s="103">
        <v>0</v>
      </c>
      <c r="W321" s="104">
        <v>0</v>
      </c>
      <c r="X321" s="19"/>
      <c r="Y321" s="103">
        <v>0</v>
      </c>
      <c r="Z321" s="103">
        <v>0</v>
      </c>
      <c r="AA321" s="105">
        <v>0</v>
      </c>
      <c r="AB321" s="106">
        <v>0</v>
      </c>
      <c r="AC321" s="105">
        <v>0</v>
      </c>
      <c r="AD321" s="104">
        <v>0</v>
      </c>
      <c r="AE321" s="104">
        <v>0</v>
      </c>
      <c r="AF321" s="107">
        <v>46265</v>
      </c>
    </row>
    <row r="322" spans="1:32" x14ac:dyDescent="0.25">
      <c r="A322" s="90">
        <v>1009</v>
      </c>
      <c r="B322" s="91" t="s">
        <v>1191</v>
      </c>
      <c r="C322" s="29">
        <v>10090056</v>
      </c>
      <c r="D322" s="92" t="s">
        <v>596</v>
      </c>
      <c r="E322" s="93" t="s">
        <v>270</v>
      </c>
      <c r="F322" s="93" t="s">
        <v>230</v>
      </c>
      <c r="G322" s="109">
        <v>202.5</v>
      </c>
      <c r="H322" s="109">
        <v>9095.7400000000016</v>
      </c>
      <c r="I322" s="95">
        <v>0</v>
      </c>
      <c r="J322" s="95">
        <v>0</v>
      </c>
      <c r="K322" s="95">
        <v>0</v>
      </c>
      <c r="L322" s="95">
        <v>0</v>
      </c>
      <c r="M322" s="96">
        <v>0</v>
      </c>
      <c r="N322" s="97">
        <v>0</v>
      </c>
      <c r="O322" s="98">
        <v>0</v>
      </c>
      <c r="P322" s="33"/>
      <c r="Q322" s="99" t="s">
        <v>1198</v>
      </c>
      <c r="R322" s="100"/>
      <c r="S322" s="101">
        <v>-0.33839907473168729</v>
      </c>
      <c r="T322" s="102">
        <v>4</v>
      </c>
      <c r="U322" s="103">
        <v>0</v>
      </c>
      <c r="V322" s="103">
        <v>0</v>
      </c>
      <c r="W322" s="104">
        <v>0</v>
      </c>
      <c r="X322" s="19"/>
      <c r="Y322" s="103">
        <v>0</v>
      </c>
      <c r="Z322" s="103">
        <v>0</v>
      </c>
      <c r="AA322" s="105">
        <v>0</v>
      </c>
      <c r="AB322" s="106">
        <v>0</v>
      </c>
      <c r="AC322" s="105">
        <v>0</v>
      </c>
      <c r="AD322" s="104">
        <v>0</v>
      </c>
      <c r="AE322" s="104">
        <v>0</v>
      </c>
      <c r="AF322" s="107">
        <v>46265</v>
      </c>
    </row>
    <row r="323" spans="1:32" x14ac:dyDescent="0.25">
      <c r="A323" s="90">
        <v>1009</v>
      </c>
      <c r="B323" s="91" t="s">
        <v>1191</v>
      </c>
      <c r="C323" s="29">
        <v>10090058</v>
      </c>
      <c r="D323" s="92" t="s">
        <v>597</v>
      </c>
      <c r="E323" s="93" t="s">
        <v>270</v>
      </c>
      <c r="F323" s="93" t="s">
        <v>230</v>
      </c>
      <c r="G323" s="109">
        <v>578.70000000000005</v>
      </c>
      <c r="H323" s="109">
        <v>24964.489999999998</v>
      </c>
      <c r="I323" s="95">
        <v>0</v>
      </c>
      <c r="J323" s="95">
        <v>0</v>
      </c>
      <c r="K323" s="95">
        <v>0</v>
      </c>
      <c r="L323" s="95">
        <v>0</v>
      </c>
      <c r="M323" s="96">
        <v>304</v>
      </c>
      <c r="N323" s="97">
        <v>0</v>
      </c>
      <c r="O323" s="98">
        <v>1</v>
      </c>
      <c r="P323" s="33"/>
      <c r="Q323" s="99" t="s">
        <v>1198</v>
      </c>
      <c r="R323" s="100"/>
      <c r="S323" s="101">
        <v>1.2153663063014701E-2</v>
      </c>
      <c r="T323" s="102">
        <v>3</v>
      </c>
      <c r="U323" s="103">
        <v>0</v>
      </c>
      <c r="V323" s="103">
        <v>0</v>
      </c>
      <c r="W323" s="104">
        <v>0</v>
      </c>
      <c r="X323" s="19"/>
      <c r="Y323" s="103">
        <v>0</v>
      </c>
      <c r="Z323" s="103">
        <v>0</v>
      </c>
      <c r="AA323" s="105">
        <v>0</v>
      </c>
      <c r="AB323" s="106">
        <v>0</v>
      </c>
      <c r="AC323" s="105">
        <v>0</v>
      </c>
      <c r="AD323" s="104">
        <v>0</v>
      </c>
      <c r="AE323" s="104">
        <v>0</v>
      </c>
      <c r="AF323" s="107">
        <v>46265</v>
      </c>
    </row>
    <row r="324" spans="1:32" x14ac:dyDescent="0.25">
      <c r="A324" s="90">
        <v>1009</v>
      </c>
      <c r="B324" s="91" t="s">
        <v>1191</v>
      </c>
      <c r="C324" s="29">
        <v>10090059</v>
      </c>
      <c r="D324" s="92" t="s">
        <v>598</v>
      </c>
      <c r="E324" s="93" t="s">
        <v>270</v>
      </c>
      <c r="F324" s="93" t="s">
        <v>230</v>
      </c>
      <c r="G324" s="109">
        <v>149.80000000000001</v>
      </c>
      <c r="H324" s="109">
        <v>6849.1900000000005</v>
      </c>
      <c r="I324" s="95">
        <v>0</v>
      </c>
      <c r="J324" s="95">
        <v>0</v>
      </c>
      <c r="K324" s="95">
        <v>0</v>
      </c>
      <c r="L324" s="95">
        <v>0</v>
      </c>
      <c r="M324" s="96">
        <v>0</v>
      </c>
      <c r="N324" s="97">
        <v>0</v>
      </c>
      <c r="O324" s="98">
        <v>0</v>
      </c>
      <c r="P324" s="33"/>
      <c r="Q324" s="99" t="s">
        <v>1198</v>
      </c>
      <c r="R324" s="100"/>
      <c r="S324" s="101">
        <v>-1.5629483194363132</v>
      </c>
      <c r="T324" s="102">
        <v>5</v>
      </c>
      <c r="U324" s="103">
        <v>0</v>
      </c>
      <c r="V324" s="103">
        <v>0</v>
      </c>
      <c r="W324" s="104">
        <v>0</v>
      </c>
      <c r="X324" s="19"/>
      <c r="Y324" s="103">
        <v>0</v>
      </c>
      <c r="Z324" s="103">
        <v>0</v>
      </c>
      <c r="AA324" s="105">
        <v>0</v>
      </c>
      <c r="AB324" s="106">
        <v>0</v>
      </c>
      <c r="AC324" s="105">
        <v>0</v>
      </c>
      <c r="AD324" s="104">
        <v>0</v>
      </c>
      <c r="AE324" s="104">
        <v>0</v>
      </c>
      <c r="AF324" s="107">
        <v>46265</v>
      </c>
    </row>
    <row r="325" spans="1:32" x14ac:dyDescent="0.25">
      <c r="A325" s="90">
        <v>1009</v>
      </c>
      <c r="B325" s="91" t="s">
        <v>1191</v>
      </c>
      <c r="C325" s="29">
        <v>10090060</v>
      </c>
      <c r="D325" s="92" t="s">
        <v>599</v>
      </c>
      <c r="E325" s="93" t="s">
        <v>270</v>
      </c>
      <c r="F325" s="93" t="s">
        <v>230</v>
      </c>
      <c r="G325" s="109">
        <v>94.8</v>
      </c>
      <c r="H325" s="109">
        <v>4833.58</v>
      </c>
      <c r="I325" s="95">
        <v>0</v>
      </c>
      <c r="J325" s="95">
        <v>0</v>
      </c>
      <c r="K325" s="95">
        <v>500</v>
      </c>
      <c r="L325" s="95">
        <v>0</v>
      </c>
      <c r="M325" s="96">
        <v>0</v>
      </c>
      <c r="N325" s="97">
        <v>0</v>
      </c>
      <c r="O325" s="98">
        <v>0</v>
      </c>
      <c r="P325" s="33"/>
      <c r="Q325" s="99" t="s">
        <v>1198</v>
      </c>
      <c r="R325" s="100"/>
      <c r="S325" s="101">
        <v>-2.9719172952552692E-2</v>
      </c>
      <c r="T325" s="102">
        <v>1</v>
      </c>
      <c r="U325" s="103">
        <v>0</v>
      </c>
      <c r="V325" s="103">
        <v>0</v>
      </c>
      <c r="W325" s="104">
        <v>0</v>
      </c>
      <c r="X325" s="19"/>
      <c r="Y325" s="103">
        <v>500</v>
      </c>
      <c r="Z325" s="103">
        <v>0</v>
      </c>
      <c r="AA325" s="105">
        <v>0</v>
      </c>
      <c r="AB325" s="106">
        <v>500</v>
      </c>
      <c r="AC325" s="105">
        <v>500</v>
      </c>
      <c r="AD325" s="104">
        <v>0</v>
      </c>
      <c r="AE325" s="104">
        <v>0</v>
      </c>
      <c r="AF325" s="107">
        <v>46265</v>
      </c>
    </row>
    <row r="326" spans="1:32" x14ac:dyDescent="0.25">
      <c r="A326" s="90">
        <v>1009</v>
      </c>
      <c r="B326" s="91" t="s">
        <v>1191</v>
      </c>
      <c r="C326" s="29">
        <v>10090061</v>
      </c>
      <c r="D326" s="92" t="s">
        <v>600</v>
      </c>
      <c r="E326" s="93" t="s">
        <v>270</v>
      </c>
      <c r="F326" s="93" t="s">
        <v>230</v>
      </c>
      <c r="G326" s="109">
        <v>86</v>
      </c>
      <c r="H326" s="109">
        <v>3672</v>
      </c>
      <c r="I326" s="95">
        <v>0</v>
      </c>
      <c r="J326" s="95">
        <v>0</v>
      </c>
      <c r="K326" s="95">
        <v>500</v>
      </c>
      <c r="L326" s="95">
        <v>0</v>
      </c>
      <c r="M326" s="96">
        <v>0</v>
      </c>
      <c r="N326" s="97">
        <v>0</v>
      </c>
      <c r="O326" s="98">
        <v>0</v>
      </c>
      <c r="P326" s="33"/>
      <c r="Q326" s="99" t="s">
        <v>1198</v>
      </c>
      <c r="R326" s="100"/>
      <c r="S326" s="101">
        <v>-1.2384187115644449E-16</v>
      </c>
      <c r="T326" s="102">
        <v>1</v>
      </c>
      <c r="U326" s="103">
        <v>0</v>
      </c>
      <c r="V326" s="103">
        <v>0</v>
      </c>
      <c r="W326" s="104">
        <v>0</v>
      </c>
      <c r="X326" s="19"/>
      <c r="Y326" s="103">
        <v>500</v>
      </c>
      <c r="Z326" s="103">
        <v>0</v>
      </c>
      <c r="AA326" s="105">
        <v>0</v>
      </c>
      <c r="AB326" s="106">
        <v>500</v>
      </c>
      <c r="AC326" s="105">
        <v>500</v>
      </c>
      <c r="AD326" s="104">
        <v>0</v>
      </c>
      <c r="AE326" s="104">
        <v>0</v>
      </c>
      <c r="AF326" s="107">
        <v>46265</v>
      </c>
    </row>
    <row r="327" spans="1:32" x14ac:dyDescent="0.25">
      <c r="A327" s="90">
        <v>1009</v>
      </c>
      <c r="B327" s="91" t="s">
        <v>1191</v>
      </c>
      <c r="C327" s="29">
        <v>10090063</v>
      </c>
      <c r="D327" s="92" t="s">
        <v>601</v>
      </c>
      <c r="E327" s="93" t="s">
        <v>270</v>
      </c>
      <c r="F327" s="93" t="s">
        <v>230</v>
      </c>
      <c r="G327" s="109">
        <v>89.6</v>
      </c>
      <c r="H327" s="109">
        <v>5179.51</v>
      </c>
      <c r="I327" s="95">
        <v>0</v>
      </c>
      <c r="J327" s="95">
        <v>0</v>
      </c>
      <c r="K327" s="95">
        <v>500</v>
      </c>
      <c r="L327" s="95">
        <v>0</v>
      </c>
      <c r="M327" s="96">
        <v>21</v>
      </c>
      <c r="N327" s="97">
        <v>0</v>
      </c>
      <c r="O327" s="98">
        <v>0</v>
      </c>
      <c r="P327" s="33"/>
      <c r="Q327" s="99" t="s">
        <v>1198</v>
      </c>
      <c r="R327" s="100"/>
      <c r="S327" s="101">
        <v>3.9714181457320514E-3</v>
      </c>
      <c r="T327" s="102">
        <v>1</v>
      </c>
      <c r="U327" s="103">
        <v>0</v>
      </c>
      <c r="V327" s="103">
        <v>0</v>
      </c>
      <c r="W327" s="104">
        <v>0</v>
      </c>
      <c r="X327" s="19"/>
      <c r="Y327" s="103">
        <v>500</v>
      </c>
      <c r="Z327" s="103">
        <v>0</v>
      </c>
      <c r="AA327" s="105">
        <v>0</v>
      </c>
      <c r="AB327" s="106">
        <v>500</v>
      </c>
      <c r="AC327" s="105">
        <v>500</v>
      </c>
      <c r="AD327" s="104">
        <v>0</v>
      </c>
      <c r="AE327" s="104">
        <v>0</v>
      </c>
      <c r="AF327" s="107">
        <v>46265</v>
      </c>
    </row>
    <row r="328" spans="1:32" x14ac:dyDescent="0.25">
      <c r="A328" s="90">
        <v>1009</v>
      </c>
      <c r="B328" s="91" t="s">
        <v>1191</v>
      </c>
      <c r="C328" s="29">
        <v>10090064</v>
      </c>
      <c r="D328" s="92" t="s">
        <v>602</v>
      </c>
      <c r="E328" s="93" t="s">
        <v>270</v>
      </c>
      <c r="F328" s="93" t="s">
        <v>230</v>
      </c>
      <c r="G328" s="109">
        <v>433.20000000000005</v>
      </c>
      <c r="H328" s="109">
        <v>21583.510000000002</v>
      </c>
      <c r="I328" s="95">
        <v>0</v>
      </c>
      <c r="J328" s="95">
        <v>0</v>
      </c>
      <c r="K328" s="95">
        <v>0</v>
      </c>
      <c r="L328" s="95">
        <v>0</v>
      </c>
      <c r="M328" s="96">
        <v>0</v>
      </c>
      <c r="N328" s="97">
        <v>0</v>
      </c>
      <c r="O328" s="98">
        <v>0</v>
      </c>
      <c r="P328" s="33"/>
      <c r="Q328" s="99" t="s">
        <v>1198</v>
      </c>
      <c r="R328" s="100"/>
      <c r="S328" s="101">
        <v>-1.3415797523201463E-2</v>
      </c>
      <c r="T328" s="102">
        <v>5</v>
      </c>
      <c r="U328" s="103">
        <v>0</v>
      </c>
      <c r="V328" s="103">
        <v>0</v>
      </c>
      <c r="W328" s="104">
        <v>0</v>
      </c>
      <c r="X328" s="19"/>
      <c r="Y328" s="103">
        <v>0</v>
      </c>
      <c r="Z328" s="103">
        <v>0</v>
      </c>
      <c r="AA328" s="105">
        <v>0</v>
      </c>
      <c r="AB328" s="106">
        <v>0</v>
      </c>
      <c r="AC328" s="105">
        <v>0</v>
      </c>
      <c r="AD328" s="104">
        <v>0</v>
      </c>
      <c r="AE328" s="104">
        <v>0</v>
      </c>
      <c r="AF328" s="107">
        <v>46265</v>
      </c>
    </row>
    <row r="329" spans="1:32" x14ac:dyDescent="0.25">
      <c r="A329" s="90">
        <v>1009</v>
      </c>
      <c r="B329" s="91" t="s">
        <v>1191</v>
      </c>
      <c r="C329" s="29">
        <v>10090065</v>
      </c>
      <c r="D329" s="92" t="s">
        <v>603</v>
      </c>
      <c r="E329" s="93" t="s">
        <v>270</v>
      </c>
      <c r="F329" s="93" t="s">
        <v>230</v>
      </c>
      <c r="G329" s="109">
        <v>692.49999999999989</v>
      </c>
      <c r="H329" s="109">
        <v>29603.170000000006</v>
      </c>
      <c r="I329" s="95">
        <v>0</v>
      </c>
      <c r="J329" s="95">
        <v>0</v>
      </c>
      <c r="K329" s="95">
        <v>0</v>
      </c>
      <c r="L329" s="95">
        <v>0</v>
      </c>
      <c r="M329" s="96">
        <v>0</v>
      </c>
      <c r="N329" s="97">
        <v>0</v>
      </c>
      <c r="O329" s="98">
        <v>0</v>
      </c>
      <c r="P329" s="33"/>
      <c r="Q329" s="99" t="s">
        <v>1198</v>
      </c>
      <c r="R329" s="100"/>
      <c r="S329" s="101">
        <v>-4.2418767990049448E-2</v>
      </c>
      <c r="T329" s="102">
        <v>4</v>
      </c>
      <c r="U329" s="103">
        <v>0</v>
      </c>
      <c r="V329" s="103">
        <v>0</v>
      </c>
      <c r="W329" s="104">
        <v>0</v>
      </c>
      <c r="X329" s="19"/>
      <c r="Y329" s="103">
        <v>0</v>
      </c>
      <c r="Z329" s="103">
        <v>0</v>
      </c>
      <c r="AA329" s="105">
        <v>0</v>
      </c>
      <c r="AB329" s="106">
        <v>0</v>
      </c>
      <c r="AC329" s="105">
        <v>0</v>
      </c>
      <c r="AD329" s="104">
        <v>0</v>
      </c>
      <c r="AE329" s="104">
        <v>0</v>
      </c>
      <c r="AF329" s="107">
        <v>46265</v>
      </c>
    </row>
    <row r="330" spans="1:32" x14ac:dyDescent="0.25">
      <c r="A330" s="90">
        <v>1009</v>
      </c>
      <c r="B330" s="91" t="s">
        <v>1191</v>
      </c>
      <c r="C330" s="29">
        <v>10090069</v>
      </c>
      <c r="D330" s="92" t="s">
        <v>604</v>
      </c>
      <c r="E330" s="93" t="s">
        <v>275</v>
      </c>
      <c r="F330" s="93" t="s">
        <v>231</v>
      </c>
      <c r="G330" s="109">
        <v>571.6</v>
      </c>
      <c r="H330" s="109">
        <v>27679.359999999997</v>
      </c>
      <c r="I330" s="95">
        <v>0</v>
      </c>
      <c r="J330" s="95">
        <v>0</v>
      </c>
      <c r="K330" s="95">
        <v>0</v>
      </c>
      <c r="L330" s="95">
        <v>0</v>
      </c>
      <c r="M330" s="96">
        <v>0</v>
      </c>
      <c r="N330" s="97">
        <v>0</v>
      </c>
      <c r="O330" s="98">
        <v>0</v>
      </c>
      <c r="P330" s="33"/>
      <c r="Q330" s="99" t="s">
        <v>1198</v>
      </c>
      <c r="R330" s="100"/>
      <c r="S330" s="101">
        <v>0</v>
      </c>
      <c r="T330" s="102">
        <v>0</v>
      </c>
      <c r="U330" s="103">
        <v>0</v>
      </c>
      <c r="V330" s="103">
        <v>0</v>
      </c>
      <c r="W330" s="104">
        <v>0</v>
      </c>
      <c r="X330" s="19"/>
      <c r="Y330" s="103">
        <v>0</v>
      </c>
      <c r="Z330" s="103">
        <v>0</v>
      </c>
      <c r="AA330" s="105">
        <v>0</v>
      </c>
      <c r="AB330" s="106">
        <v>0</v>
      </c>
      <c r="AC330" s="105">
        <v>0</v>
      </c>
      <c r="AD330" s="104">
        <v>0</v>
      </c>
      <c r="AE330" s="104">
        <v>0</v>
      </c>
      <c r="AF330" s="107">
        <v>46265</v>
      </c>
    </row>
    <row r="331" spans="1:32" x14ac:dyDescent="0.25">
      <c r="A331" s="90">
        <v>1009</v>
      </c>
      <c r="B331" s="91" t="s">
        <v>1191</v>
      </c>
      <c r="C331" s="29">
        <v>10090072</v>
      </c>
      <c r="D331" s="92" t="s">
        <v>605</v>
      </c>
      <c r="E331" s="93" t="s">
        <v>270</v>
      </c>
      <c r="F331" s="93" t="s">
        <v>230</v>
      </c>
      <c r="G331" s="109">
        <v>239.7</v>
      </c>
      <c r="H331" s="109">
        <v>9587.83</v>
      </c>
      <c r="I331" s="95">
        <v>0</v>
      </c>
      <c r="J331" s="95">
        <v>0</v>
      </c>
      <c r="K331" s="95">
        <v>0</v>
      </c>
      <c r="L331" s="95">
        <v>0</v>
      </c>
      <c r="M331" s="96">
        <v>0</v>
      </c>
      <c r="N331" s="97">
        <v>0</v>
      </c>
      <c r="O331" s="98">
        <v>0</v>
      </c>
      <c r="P331" s="33"/>
      <c r="Q331" s="99" t="s">
        <v>1198</v>
      </c>
      <c r="R331" s="100"/>
      <c r="S331" s="101">
        <v>-7.3937481161014786E-3</v>
      </c>
      <c r="T331" s="102">
        <v>1</v>
      </c>
      <c r="U331" s="103">
        <v>0</v>
      </c>
      <c r="V331" s="103">
        <v>0</v>
      </c>
      <c r="W331" s="104">
        <v>0</v>
      </c>
      <c r="X331" s="19"/>
      <c r="Y331" s="103">
        <v>0</v>
      </c>
      <c r="Z331" s="103">
        <v>0</v>
      </c>
      <c r="AA331" s="105">
        <v>0</v>
      </c>
      <c r="AB331" s="106">
        <v>0</v>
      </c>
      <c r="AC331" s="105">
        <v>0</v>
      </c>
      <c r="AD331" s="104">
        <v>0</v>
      </c>
      <c r="AE331" s="104">
        <v>0</v>
      </c>
      <c r="AF331" s="107">
        <v>46265</v>
      </c>
    </row>
    <row r="332" spans="1:32" x14ac:dyDescent="0.25">
      <c r="A332" s="90">
        <v>1009</v>
      </c>
      <c r="B332" s="91" t="s">
        <v>1191</v>
      </c>
      <c r="C332" s="29">
        <v>10090074</v>
      </c>
      <c r="D332" s="92" t="s">
        <v>606</v>
      </c>
      <c r="E332" s="93" t="s">
        <v>270</v>
      </c>
      <c r="F332" s="93" t="s">
        <v>230</v>
      </c>
      <c r="G332" s="109">
        <v>307.8</v>
      </c>
      <c r="H332" s="109">
        <v>13330.660000000002</v>
      </c>
      <c r="I332" s="95">
        <v>0</v>
      </c>
      <c r="J332" s="95">
        <v>0</v>
      </c>
      <c r="K332" s="95">
        <v>0</v>
      </c>
      <c r="L332" s="95">
        <v>0</v>
      </c>
      <c r="M332" s="96">
        <v>0</v>
      </c>
      <c r="N332" s="97">
        <v>0</v>
      </c>
      <c r="O332" s="98">
        <v>0</v>
      </c>
      <c r="P332" s="33"/>
      <c r="Q332" s="99" t="s">
        <v>1198</v>
      </c>
      <c r="R332" s="100"/>
      <c r="S332" s="101">
        <v>-8.1629116637885621E-2</v>
      </c>
      <c r="T332" s="102">
        <v>3</v>
      </c>
      <c r="U332" s="103">
        <v>0</v>
      </c>
      <c r="V332" s="103">
        <v>0</v>
      </c>
      <c r="W332" s="104">
        <v>0</v>
      </c>
      <c r="X332" s="19"/>
      <c r="Y332" s="103">
        <v>0</v>
      </c>
      <c r="Z332" s="103">
        <v>0</v>
      </c>
      <c r="AA332" s="105">
        <v>0</v>
      </c>
      <c r="AB332" s="106">
        <v>0</v>
      </c>
      <c r="AC332" s="105">
        <v>0</v>
      </c>
      <c r="AD332" s="104">
        <v>0</v>
      </c>
      <c r="AE332" s="104">
        <v>0</v>
      </c>
      <c r="AF332" s="107">
        <v>46265</v>
      </c>
    </row>
    <row r="333" spans="1:32" x14ac:dyDescent="0.25">
      <c r="A333" s="90">
        <v>1009</v>
      </c>
      <c r="B333" s="91" t="s">
        <v>1191</v>
      </c>
      <c r="C333" s="29">
        <v>10090076</v>
      </c>
      <c r="D333" s="92" t="s">
        <v>607</v>
      </c>
      <c r="E333" s="93" t="s">
        <v>275</v>
      </c>
      <c r="F333" s="93" t="s">
        <v>231</v>
      </c>
      <c r="G333" s="109">
        <v>15500</v>
      </c>
      <c r="H333" s="109">
        <v>649990.04</v>
      </c>
      <c r="I333" s="95">
        <v>0</v>
      </c>
      <c r="J333" s="95">
        <v>0</v>
      </c>
      <c r="K333" s="95">
        <v>0</v>
      </c>
      <c r="L333" s="95">
        <v>0</v>
      </c>
      <c r="M333" s="96">
        <v>0</v>
      </c>
      <c r="N333" s="97">
        <v>0</v>
      </c>
      <c r="O333" s="98">
        <v>0</v>
      </c>
      <c r="P333" s="33"/>
      <c r="Q333" s="99" t="s">
        <v>1198</v>
      </c>
      <c r="R333" s="100"/>
      <c r="S333" s="101">
        <v>0</v>
      </c>
      <c r="T333" s="102">
        <v>0</v>
      </c>
      <c r="U333" s="103">
        <v>0</v>
      </c>
      <c r="V333" s="103">
        <v>0</v>
      </c>
      <c r="W333" s="104">
        <v>0</v>
      </c>
      <c r="X333" s="19"/>
      <c r="Y333" s="103">
        <v>0</v>
      </c>
      <c r="Z333" s="103">
        <v>0</v>
      </c>
      <c r="AA333" s="105">
        <v>0</v>
      </c>
      <c r="AB333" s="106">
        <v>0</v>
      </c>
      <c r="AC333" s="105">
        <v>0</v>
      </c>
      <c r="AD333" s="104">
        <v>0</v>
      </c>
      <c r="AE333" s="104">
        <v>0</v>
      </c>
      <c r="AF333" s="107">
        <v>46265</v>
      </c>
    </row>
    <row r="334" spans="1:32" x14ac:dyDescent="0.25">
      <c r="A334" s="90">
        <v>1009</v>
      </c>
      <c r="B334" s="91" t="s">
        <v>1191</v>
      </c>
      <c r="C334" s="29">
        <v>10090077</v>
      </c>
      <c r="D334" s="92" t="s">
        <v>608</v>
      </c>
      <c r="E334" s="93" t="s">
        <v>275</v>
      </c>
      <c r="F334" s="93" t="s">
        <v>231</v>
      </c>
      <c r="G334" s="109">
        <v>17000</v>
      </c>
      <c r="H334" s="109">
        <v>706235.08</v>
      </c>
      <c r="I334" s="95">
        <v>0</v>
      </c>
      <c r="J334" s="95">
        <v>0</v>
      </c>
      <c r="K334" s="95">
        <v>0</v>
      </c>
      <c r="L334" s="95">
        <v>0</v>
      </c>
      <c r="M334" s="96">
        <v>0</v>
      </c>
      <c r="N334" s="97">
        <v>0</v>
      </c>
      <c r="O334" s="98">
        <v>0</v>
      </c>
      <c r="P334" s="33"/>
      <c r="Q334" s="99" t="s">
        <v>1198</v>
      </c>
      <c r="R334" s="100"/>
      <c r="S334" s="101">
        <v>0</v>
      </c>
      <c r="T334" s="102">
        <v>0</v>
      </c>
      <c r="U334" s="103">
        <v>0</v>
      </c>
      <c r="V334" s="103">
        <v>0</v>
      </c>
      <c r="W334" s="104">
        <v>0</v>
      </c>
      <c r="X334" s="19"/>
      <c r="Y334" s="103">
        <v>0</v>
      </c>
      <c r="Z334" s="103">
        <v>0</v>
      </c>
      <c r="AA334" s="105">
        <v>0</v>
      </c>
      <c r="AB334" s="106">
        <v>0</v>
      </c>
      <c r="AC334" s="105">
        <v>0</v>
      </c>
      <c r="AD334" s="104">
        <v>0</v>
      </c>
      <c r="AE334" s="104">
        <v>0</v>
      </c>
      <c r="AF334" s="107">
        <v>46265</v>
      </c>
    </row>
    <row r="335" spans="1:32" x14ac:dyDescent="0.25">
      <c r="A335" s="90">
        <v>1009</v>
      </c>
      <c r="B335" s="91" t="s">
        <v>1191</v>
      </c>
      <c r="C335" s="29">
        <v>10090078</v>
      </c>
      <c r="D335" s="92" t="s">
        <v>609</v>
      </c>
      <c r="E335" s="93" t="s">
        <v>270</v>
      </c>
      <c r="F335" s="93" t="s">
        <v>230</v>
      </c>
      <c r="G335" s="109">
        <v>266.59999999999997</v>
      </c>
      <c r="H335" s="109">
        <v>8617.36</v>
      </c>
      <c r="I335" s="95">
        <v>0</v>
      </c>
      <c r="J335" s="95">
        <v>0</v>
      </c>
      <c r="K335" s="95">
        <v>0</v>
      </c>
      <c r="L335" s="95">
        <v>0</v>
      </c>
      <c r="M335" s="96">
        <v>0</v>
      </c>
      <c r="N335" s="97">
        <v>0</v>
      </c>
      <c r="O335" s="98">
        <v>0</v>
      </c>
      <c r="P335" s="33"/>
      <c r="Q335" s="99" t="s">
        <v>1198</v>
      </c>
      <c r="R335" s="100"/>
      <c r="S335" s="101">
        <v>-6.4563857144183251E-2</v>
      </c>
      <c r="T335" s="102">
        <v>1</v>
      </c>
      <c r="U335" s="103">
        <v>0</v>
      </c>
      <c r="V335" s="103">
        <v>0</v>
      </c>
      <c r="W335" s="104">
        <v>0</v>
      </c>
      <c r="X335" s="19"/>
      <c r="Y335" s="103">
        <v>0</v>
      </c>
      <c r="Z335" s="103">
        <v>0</v>
      </c>
      <c r="AA335" s="105">
        <v>0</v>
      </c>
      <c r="AB335" s="106">
        <v>0</v>
      </c>
      <c r="AC335" s="105">
        <v>0</v>
      </c>
      <c r="AD335" s="104">
        <v>0</v>
      </c>
      <c r="AE335" s="104">
        <v>0</v>
      </c>
      <c r="AF335" s="107">
        <v>46265</v>
      </c>
    </row>
    <row r="336" spans="1:32" x14ac:dyDescent="0.25">
      <c r="A336" s="90">
        <v>1009</v>
      </c>
      <c r="B336" s="91" t="s">
        <v>1191</v>
      </c>
      <c r="C336" s="29">
        <v>10090079</v>
      </c>
      <c r="D336" s="92" t="s">
        <v>610</v>
      </c>
      <c r="E336" s="93" t="s">
        <v>270</v>
      </c>
      <c r="F336" s="93" t="s">
        <v>230</v>
      </c>
      <c r="G336" s="109">
        <v>226.4</v>
      </c>
      <c r="H336" s="109">
        <v>8686.44</v>
      </c>
      <c r="I336" s="95">
        <v>0</v>
      </c>
      <c r="J336" s="95">
        <v>0</v>
      </c>
      <c r="K336" s="95">
        <v>0</v>
      </c>
      <c r="L336" s="95">
        <v>0</v>
      </c>
      <c r="M336" s="96">
        <v>0</v>
      </c>
      <c r="N336" s="97">
        <v>0</v>
      </c>
      <c r="O336" s="98">
        <v>0</v>
      </c>
      <c r="P336" s="33"/>
      <c r="Q336" s="99" t="s">
        <v>1198</v>
      </c>
      <c r="R336" s="100"/>
      <c r="S336" s="101">
        <v>-5.5019087221001933E-2</v>
      </c>
      <c r="T336" s="102">
        <v>1</v>
      </c>
      <c r="U336" s="103">
        <v>0</v>
      </c>
      <c r="V336" s="103">
        <v>0</v>
      </c>
      <c r="W336" s="104">
        <v>0</v>
      </c>
      <c r="X336" s="19"/>
      <c r="Y336" s="103">
        <v>0</v>
      </c>
      <c r="Z336" s="103">
        <v>0</v>
      </c>
      <c r="AA336" s="105">
        <v>0</v>
      </c>
      <c r="AB336" s="106">
        <v>0</v>
      </c>
      <c r="AC336" s="105">
        <v>0</v>
      </c>
      <c r="AD336" s="104">
        <v>0</v>
      </c>
      <c r="AE336" s="104">
        <v>0</v>
      </c>
      <c r="AF336" s="107">
        <v>46265</v>
      </c>
    </row>
    <row r="337" spans="1:32" x14ac:dyDescent="0.25">
      <c r="A337" s="90">
        <v>1009</v>
      </c>
      <c r="B337" s="91" t="s">
        <v>1191</v>
      </c>
      <c r="C337" s="29">
        <v>10090080</v>
      </c>
      <c r="D337" s="92" t="s">
        <v>611</v>
      </c>
      <c r="E337" s="93" t="s">
        <v>270</v>
      </c>
      <c r="F337" s="93" t="s">
        <v>230</v>
      </c>
      <c r="G337" s="109">
        <v>576.29999999999995</v>
      </c>
      <c r="H337" s="109">
        <v>28555</v>
      </c>
      <c r="I337" s="95">
        <v>0</v>
      </c>
      <c r="J337" s="95">
        <v>0</v>
      </c>
      <c r="K337" s="95">
        <v>0</v>
      </c>
      <c r="L337" s="95">
        <v>0</v>
      </c>
      <c r="M337" s="96">
        <v>0</v>
      </c>
      <c r="N337" s="97">
        <v>0</v>
      </c>
      <c r="O337" s="98">
        <v>0</v>
      </c>
      <c r="P337" s="33"/>
      <c r="Q337" s="99" t="s">
        <v>1198</v>
      </c>
      <c r="R337" s="100"/>
      <c r="S337" s="101">
        <v>-6.5783225354578714E-2</v>
      </c>
      <c r="T337" s="102">
        <v>6</v>
      </c>
      <c r="U337" s="103">
        <v>0</v>
      </c>
      <c r="V337" s="103">
        <v>0</v>
      </c>
      <c r="W337" s="104">
        <v>0</v>
      </c>
      <c r="X337" s="19"/>
      <c r="Y337" s="103">
        <v>0</v>
      </c>
      <c r="Z337" s="103">
        <v>0</v>
      </c>
      <c r="AA337" s="105">
        <v>0</v>
      </c>
      <c r="AB337" s="106">
        <v>0</v>
      </c>
      <c r="AC337" s="105">
        <v>0</v>
      </c>
      <c r="AD337" s="104">
        <v>0</v>
      </c>
      <c r="AE337" s="104">
        <v>0</v>
      </c>
      <c r="AF337" s="107">
        <v>46265</v>
      </c>
    </row>
    <row r="338" spans="1:32" x14ac:dyDescent="0.25">
      <c r="A338" s="90">
        <v>1010</v>
      </c>
      <c r="B338" s="91" t="s">
        <v>1189</v>
      </c>
      <c r="C338" s="29">
        <v>10100001</v>
      </c>
      <c r="D338" s="92" t="s">
        <v>612</v>
      </c>
      <c r="E338" s="93" t="s">
        <v>270</v>
      </c>
      <c r="F338" s="93" t="s">
        <v>230</v>
      </c>
      <c r="G338" s="109">
        <v>824.69999999999993</v>
      </c>
      <c r="H338" s="109">
        <v>32983.32</v>
      </c>
      <c r="I338" s="95">
        <v>0</v>
      </c>
      <c r="J338" s="95">
        <v>0</v>
      </c>
      <c r="K338" s="95">
        <v>0</v>
      </c>
      <c r="L338" s="95">
        <v>0</v>
      </c>
      <c r="M338" s="96">
        <v>13</v>
      </c>
      <c r="N338" s="97">
        <v>0</v>
      </c>
      <c r="O338" s="98">
        <v>0</v>
      </c>
      <c r="P338" s="33"/>
      <c r="Q338" s="99" t="s">
        <v>1198</v>
      </c>
      <c r="R338" s="100"/>
      <c r="S338" s="101">
        <v>4.0838823987400795E-4</v>
      </c>
      <c r="T338" s="102">
        <v>11</v>
      </c>
      <c r="U338" s="103">
        <v>0</v>
      </c>
      <c r="V338" s="103">
        <v>0</v>
      </c>
      <c r="W338" s="104">
        <v>0</v>
      </c>
      <c r="X338" s="19"/>
      <c r="Y338" s="103">
        <v>0</v>
      </c>
      <c r="Z338" s="103">
        <v>0</v>
      </c>
      <c r="AA338" s="105">
        <v>0</v>
      </c>
      <c r="AB338" s="106">
        <v>0</v>
      </c>
      <c r="AC338" s="105">
        <v>0</v>
      </c>
      <c r="AD338" s="104">
        <v>0</v>
      </c>
      <c r="AE338" s="104">
        <v>0</v>
      </c>
      <c r="AF338" s="107">
        <v>46265</v>
      </c>
    </row>
    <row r="339" spans="1:32" x14ac:dyDescent="0.25">
      <c r="A339" s="90">
        <v>1010</v>
      </c>
      <c r="B339" s="91" t="s">
        <v>1189</v>
      </c>
      <c r="C339" s="29">
        <v>10100003</v>
      </c>
      <c r="D339" s="92" t="s">
        <v>613</v>
      </c>
      <c r="E339" s="93" t="s">
        <v>270</v>
      </c>
      <c r="F339" s="93" t="s">
        <v>230</v>
      </c>
      <c r="G339" s="109">
        <v>1572</v>
      </c>
      <c r="H339" s="109">
        <v>67626.040000000008</v>
      </c>
      <c r="I339" s="95">
        <v>0</v>
      </c>
      <c r="J339" s="95">
        <v>0</v>
      </c>
      <c r="K339" s="95">
        <v>0</v>
      </c>
      <c r="L339" s="95">
        <v>0</v>
      </c>
      <c r="M339" s="96">
        <v>0</v>
      </c>
      <c r="N339" s="97">
        <v>0</v>
      </c>
      <c r="O339" s="98">
        <v>0</v>
      </c>
      <c r="P339" s="33"/>
      <c r="Q339" s="99" t="s">
        <v>1198</v>
      </c>
      <c r="R339" s="100"/>
      <c r="S339" s="101">
        <v>-7.9324177491392214E-2</v>
      </c>
      <c r="T339" s="102">
        <v>5</v>
      </c>
      <c r="U339" s="103">
        <v>0</v>
      </c>
      <c r="V339" s="103">
        <v>0</v>
      </c>
      <c r="W339" s="104">
        <v>0</v>
      </c>
      <c r="X339" s="19"/>
      <c r="Y339" s="103">
        <v>0</v>
      </c>
      <c r="Z339" s="103">
        <v>0</v>
      </c>
      <c r="AA339" s="105">
        <v>0</v>
      </c>
      <c r="AB339" s="106">
        <v>0</v>
      </c>
      <c r="AC339" s="105">
        <v>0</v>
      </c>
      <c r="AD339" s="104">
        <v>0</v>
      </c>
      <c r="AE339" s="104">
        <v>0</v>
      </c>
      <c r="AF339" s="107">
        <v>46265</v>
      </c>
    </row>
    <row r="340" spans="1:32" x14ac:dyDescent="0.25">
      <c r="A340" s="90">
        <v>1010</v>
      </c>
      <c r="B340" s="91" t="s">
        <v>1189</v>
      </c>
      <c r="C340" s="29">
        <v>10100004</v>
      </c>
      <c r="D340" s="92" t="s">
        <v>614</v>
      </c>
      <c r="E340" s="93" t="s">
        <v>275</v>
      </c>
      <c r="F340" s="93" t="s">
        <v>231</v>
      </c>
      <c r="G340" s="109">
        <v>187.29999999999998</v>
      </c>
      <c r="H340" s="109">
        <v>7303.85</v>
      </c>
      <c r="I340" s="95">
        <v>0</v>
      </c>
      <c r="J340" s="95">
        <v>0</v>
      </c>
      <c r="K340" s="95">
        <v>0</v>
      </c>
      <c r="L340" s="95">
        <v>0</v>
      </c>
      <c r="M340" s="96">
        <v>0</v>
      </c>
      <c r="N340" s="97">
        <v>0</v>
      </c>
      <c r="O340" s="98">
        <v>0</v>
      </c>
      <c r="P340" s="33"/>
      <c r="Q340" s="99" t="s">
        <v>1198</v>
      </c>
      <c r="R340" s="100"/>
      <c r="S340" s="101">
        <v>0</v>
      </c>
      <c r="T340" s="102">
        <v>0</v>
      </c>
      <c r="U340" s="103">
        <v>0</v>
      </c>
      <c r="V340" s="103">
        <v>0</v>
      </c>
      <c r="W340" s="104">
        <v>0</v>
      </c>
      <c r="X340" s="19"/>
      <c r="Y340" s="103">
        <v>0</v>
      </c>
      <c r="Z340" s="103">
        <v>0</v>
      </c>
      <c r="AA340" s="105">
        <v>0</v>
      </c>
      <c r="AB340" s="106">
        <v>0</v>
      </c>
      <c r="AC340" s="105">
        <v>0</v>
      </c>
      <c r="AD340" s="104">
        <v>0</v>
      </c>
      <c r="AE340" s="104">
        <v>0</v>
      </c>
      <c r="AF340" s="107">
        <v>46265</v>
      </c>
    </row>
    <row r="341" spans="1:32" x14ac:dyDescent="0.25">
      <c r="A341" s="90">
        <v>1010</v>
      </c>
      <c r="B341" s="91" t="s">
        <v>1189</v>
      </c>
      <c r="C341" s="29">
        <v>10100009</v>
      </c>
      <c r="D341" s="92" t="s">
        <v>615</v>
      </c>
      <c r="E341" s="93" t="s">
        <v>270</v>
      </c>
      <c r="F341" s="93" t="s">
        <v>230</v>
      </c>
      <c r="G341" s="109">
        <v>1387.2</v>
      </c>
      <c r="H341" s="109">
        <v>61070.74</v>
      </c>
      <c r="I341" s="95">
        <v>0</v>
      </c>
      <c r="J341" s="95">
        <v>0</v>
      </c>
      <c r="K341" s="95">
        <v>0</v>
      </c>
      <c r="L341" s="95">
        <v>0</v>
      </c>
      <c r="M341" s="96">
        <v>0</v>
      </c>
      <c r="N341" s="97">
        <v>0</v>
      </c>
      <c r="O341" s="98">
        <v>0</v>
      </c>
      <c r="P341" s="33"/>
      <c r="Q341" s="99" t="s">
        <v>1198</v>
      </c>
      <c r="R341" s="100"/>
      <c r="S341" s="101">
        <v>-0.15016765803067064</v>
      </c>
      <c r="T341" s="102">
        <v>2</v>
      </c>
      <c r="U341" s="103">
        <v>0</v>
      </c>
      <c r="V341" s="103">
        <v>0</v>
      </c>
      <c r="W341" s="104">
        <v>0</v>
      </c>
      <c r="X341" s="19"/>
      <c r="Y341" s="103">
        <v>0</v>
      </c>
      <c r="Z341" s="103">
        <v>0</v>
      </c>
      <c r="AA341" s="105">
        <v>0</v>
      </c>
      <c r="AB341" s="106">
        <v>0</v>
      </c>
      <c r="AC341" s="105">
        <v>0</v>
      </c>
      <c r="AD341" s="104">
        <v>0</v>
      </c>
      <c r="AE341" s="104">
        <v>0</v>
      </c>
      <c r="AF341" s="107">
        <v>46265</v>
      </c>
    </row>
    <row r="342" spans="1:32" x14ac:dyDescent="0.25">
      <c r="A342" s="90">
        <v>1010</v>
      </c>
      <c r="B342" s="91" t="s">
        <v>1189</v>
      </c>
      <c r="C342" s="29">
        <v>10100014</v>
      </c>
      <c r="D342" s="92" t="s">
        <v>616</v>
      </c>
      <c r="E342" s="93" t="s">
        <v>270</v>
      </c>
      <c r="F342" s="93" t="s">
        <v>230</v>
      </c>
      <c r="G342" s="109">
        <v>373.4</v>
      </c>
      <c r="H342" s="109">
        <v>16347.73</v>
      </c>
      <c r="I342" s="95">
        <v>0</v>
      </c>
      <c r="J342" s="95">
        <v>0</v>
      </c>
      <c r="K342" s="95">
        <v>0</v>
      </c>
      <c r="L342" s="95">
        <v>0</v>
      </c>
      <c r="M342" s="96">
        <v>3</v>
      </c>
      <c r="N342" s="97">
        <v>0</v>
      </c>
      <c r="O342" s="98">
        <v>0</v>
      </c>
      <c r="P342" s="33"/>
      <c r="Q342" s="99" t="s">
        <v>1198</v>
      </c>
      <c r="R342" s="100"/>
      <c r="S342" s="101">
        <v>1.6760736811776203E-4</v>
      </c>
      <c r="T342" s="102">
        <v>4</v>
      </c>
      <c r="U342" s="103">
        <v>0</v>
      </c>
      <c r="V342" s="103">
        <v>0</v>
      </c>
      <c r="W342" s="104">
        <v>0</v>
      </c>
      <c r="X342" s="19"/>
      <c r="Y342" s="103">
        <v>0</v>
      </c>
      <c r="Z342" s="103">
        <v>0</v>
      </c>
      <c r="AA342" s="105">
        <v>0</v>
      </c>
      <c r="AB342" s="106">
        <v>0</v>
      </c>
      <c r="AC342" s="105">
        <v>0</v>
      </c>
      <c r="AD342" s="104">
        <v>0</v>
      </c>
      <c r="AE342" s="104">
        <v>0</v>
      </c>
      <c r="AF342" s="107">
        <v>46265</v>
      </c>
    </row>
    <row r="343" spans="1:32" x14ac:dyDescent="0.25">
      <c r="A343" s="90">
        <v>1010</v>
      </c>
      <c r="B343" s="91" t="s">
        <v>1189</v>
      </c>
      <c r="C343" s="29">
        <v>10100015</v>
      </c>
      <c r="D343" s="92" t="s">
        <v>617</v>
      </c>
      <c r="E343" s="93" t="s">
        <v>270</v>
      </c>
      <c r="F343" s="93" t="s">
        <v>230</v>
      </c>
      <c r="G343" s="109">
        <v>99.9</v>
      </c>
      <c r="H343" s="109">
        <v>4823.58</v>
      </c>
      <c r="I343" s="95">
        <v>0</v>
      </c>
      <c r="J343" s="95">
        <v>0</v>
      </c>
      <c r="K343" s="95">
        <v>500</v>
      </c>
      <c r="L343" s="95">
        <v>0</v>
      </c>
      <c r="M343" s="96">
        <v>0</v>
      </c>
      <c r="N343" s="97">
        <v>0</v>
      </c>
      <c r="O343" s="98">
        <v>0</v>
      </c>
      <c r="P343" s="33"/>
      <c r="Q343" s="99" t="s">
        <v>1198</v>
      </c>
      <c r="R343" s="100"/>
      <c r="S343" s="101">
        <v>-1.6483607610944615E-2</v>
      </c>
      <c r="T343" s="102">
        <v>1</v>
      </c>
      <c r="U343" s="103">
        <v>0</v>
      </c>
      <c r="V343" s="103">
        <v>0</v>
      </c>
      <c r="W343" s="104">
        <v>0</v>
      </c>
      <c r="X343" s="19"/>
      <c r="Y343" s="103">
        <v>500</v>
      </c>
      <c r="Z343" s="103">
        <v>0</v>
      </c>
      <c r="AA343" s="105">
        <v>0</v>
      </c>
      <c r="AB343" s="106">
        <v>500</v>
      </c>
      <c r="AC343" s="105">
        <v>500</v>
      </c>
      <c r="AD343" s="104">
        <v>0</v>
      </c>
      <c r="AE343" s="104">
        <v>0</v>
      </c>
      <c r="AF343" s="107">
        <v>46265</v>
      </c>
    </row>
    <row r="344" spans="1:32" x14ac:dyDescent="0.25">
      <c r="A344" s="90">
        <v>1010</v>
      </c>
      <c r="B344" s="91" t="s">
        <v>1189</v>
      </c>
      <c r="C344" s="29">
        <v>10100016</v>
      </c>
      <c r="D344" s="92" t="s">
        <v>618</v>
      </c>
      <c r="E344" s="93" t="s">
        <v>270</v>
      </c>
      <c r="F344" s="93" t="s">
        <v>230</v>
      </c>
      <c r="G344" s="109">
        <v>182.00000000000003</v>
      </c>
      <c r="H344" s="109">
        <v>7658.3899999999994</v>
      </c>
      <c r="I344" s="95">
        <v>0</v>
      </c>
      <c r="J344" s="95">
        <v>0</v>
      </c>
      <c r="K344" s="95">
        <v>0</v>
      </c>
      <c r="L344" s="95">
        <v>0</v>
      </c>
      <c r="M344" s="96">
        <v>1</v>
      </c>
      <c r="N344" s="97">
        <v>0</v>
      </c>
      <c r="O344" s="98">
        <v>0</v>
      </c>
      <c r="P344" s="33"/>
      <c r="Q344" s="99" t="s">
        <v>1198</v>
      </c>
      <c r="R344" s="100"/>
      <c r="S344" s="101">
        <v>1.8411180417814379E-4</v>
      </c>
      <c r="T344" s="102">
        <v>1</v>
      </c>
      <c r="U344" s="103">
        <v>0</v>
      </c>
      <c r="V344" s="103">
        <v>0</v>
      </c>
      <c r="W344" s="104">
        <v>0</v>
      </c>
      <c r="X344" s="19"/>
      <c r="Y344" s="103">
        <v>0</v>
      </c>
      <c r="Z344" s="103">
        <v>0</v>
      </c>
      <c r="AA344" s="105">
        <v>0</v>
      </c>
      <c r="AB344" s="106">
        <v>0</v>
      </c>
      <c r="AC344" s="105">
        <v>0</v>
      </c>
      <c r="AD344" s="104">
        <v>0</v>
      </c>
      <c r="AE344" s="104">
        <v>0</v>
      </c>
      <c r="AF344" s="107">
        <v>46265</v>
      </c>
    </row>
    <row r="345" spans="1:32" x14ac:dyDescent="0.25">
      <c r="A345" s="90">
        <v>1010</v>
      </c>
      <c r="B345" s="91" t="s">
        <v>1189</v>
      </c>
      <c r="C345" s="29">
        <v>10100021</v>
      </c>
      <c r="D345" s="92" t="s">
        <v>619</v>
      </c>
      <c r="E345" s="93" t="s">
        <v>270</v>
      </c>
      <c r="F345" s="93" t="s">
        <v>230</v>
      </c>
      <c r="G345" s="109">
        <v>525</v>
      </c>
      <c r="H345" s="109">
        <v>21755.65</v>
      </c>
      <c r="I345" s="95">
        <v>0</v>
      </c>
      <c r="J345" s="95">
        <v>0</v>
      </c>
      <c r="K345" s="95">
        <v>0</v>
      </c>
      <c r="L345" s="95">
        <v>0</v>
      </c>
      <c r="M345" s="96">
        <v>0</v>
      </c>
      <c r="N345" s="97">
        <v>0</v>
      </c>
      <c r="O345" s="98">
        <v>0</v>
      </c>
      <c r="P345" s="33"/>
      <c r="Q345" s="99" t="s">
        <v>1198</v>
      </c>
      <c r="R345" s="100"/>
      <c r="S345" s="101">
        <v>-3.6514652515552827E-3</v>
      </c>
      <c r="T345" s="102">
        <v>4</v>
      </c>
      <c r="U345" s="103">
        <v>0</v>
      </c>
      <c r="V345" s="103">
        <v>0</v>
      </c>
      <c r="W345" s="104">
        <v>0</v>
      </c>
      <c r="X345" s="19"/>
      <c r="Y345" s="103">
        <v>0</v>
      </c>
      <c r="Z345" s="103">
        <v>0</v>
      </c>
      <c r="AA345" s="105">
        <v>0</v>
      </c>
      <c r="AB345" s="106">
        <v>0</v>
      </c>
      <c r="AC345" s="105">
        <v>0</v>
      </c>
      <c r="AD345" s="104">
        <v>0</v>
      </c>
      <c r="AE345" s="104">
        <v>0</v>
      </c>
      <c r="AF345" s="107">
        <v>46265</v>
      </c>
    </row>
    <row r="346" spans="1:32" x14ac:dyDescent="0.25">
      <c r="A346" s="90">
        <v>1010</v>
      </c>
      <c r="B346" s="91" t="s">
        <v>1189</v>
      </c>
      <c r="C346" s="29">
        <v>10100026</v>
      </c>
      <c r="D346" s="92" t="s">
        <v>620</v>
      </c>
      <c r="E346" s="93" t="s">
        <v>275</v>
      </c>
      <c r="F346" s="93" t="s">
        <v>231</v>
      </c>
      <c r="G346" s="109">
        <v>1617.5</v>
      </c>
      <c r="H346" s="109">
        <v>74109.150000000009</v>
      </c>
      <c r="I346" s="95">
        <v>0</v>
      </c>
      <c r="J346" s="95">
        <v>0</v>
      </c>
      <c r="K346" s="95">
        <v>0</v>
      </c>
      <c r="L346" s="95">
        <v>0</v>
      </c>
      <c r="M346" s="96">
        <v>0</v>
      </c>
      <c r="N346" s="97">
        <v>0</v>
      </c>
      <c r="O346" s="98">
        <v>0</v>
      </c>
      <c r="P346" s="33"/>
      <c r="Q346" s="99" t="s">
        <v>1198</v>
      </c>
      <c r="R346" s="100"/>
      <c r="S346" s="101">
        <v>0</v>
      </c>
      <c r="T346" s="102">
        <v>0</v>
      </c>
      <c r="U346" s="103">
        <v>0</v>
      </c>
      <c r="V346" s="103">
        <v>0</v>
      </c>
      <c r="W346" s="104">
        <v>0</v>
      </c>
      <c r="X346" s="19"/>
      <c r="Y346" s="103">
        <v>0</v>
      </c>
      <c r="Z346" s="103">
        <v>0</v>
      </c>
      <c r="AA346" s="105">
        <v>0</v>
      </c>
      <c r="AB346" s="106">
        <v>0</v>
      </c>
      <c r="AC346" s="105">
        <v>0</v>
      </c>
      <c r="AD346" s="104">
        <v>0</v>
      </c>
      <c r="AE346" s="104">
        <v>0</v>
      </c>
      <c r="AF346" s="107">
        <v>46265</v>
      </c>
    </row>
    <row r="347" spans="1:32" x14ac:dyDescent="0.25">
      <c r="A347" s="90">
        <v>1010</v>
      </c>
      <c r="B347" s="91" t="s">
        <v>1189</v>
      </c>
      <c r="C347" s="29">
        <v>10100028</v>
      </c>
      <c r="D347" s="92" t="s">
        <v>621</v>
      </c>
      <c r="E347" s="93" t="s">
        <v>275</v>
      </c>
      <c r="F347" s="93" t="s">
        <v>231</v>
      </c>
      <c r="G347" s="109">
        <v>213.3</v>
      </c>
      <c r="H347" s="109">
        <v>7251.0099999999993</v>
      </c>
      <c r="I347" s="95">
        <v>0</v>
      </c>
      <c r="J347" s="95">
        <v>0</v>
      </c>
      <c r="K347" s="95">
        <v>0</v>
      </c>
      <c r="L347" s="95">
        <v>0</v>
      </c>
      <c r="M347" s="96">
        <v>0</v>
      </c>
      <c r="N347" s="97">
        <v>0</v>
      </c>
      <c r="O347" s="98">
        <v>0</v>
      </c>
      <c r="P347" s="33"/>
      <c r="Q347" s="99" t="s">
        <v>1198</v>
      </c>
      <c r="R347" s="100"/>
      <c r="S347" s="101">
        <v>0</v>
      </c>
      <c r="T347" s="102">
        <v>0</v>
      </c>
      <c r="U347" s="103">
        <v>0</v>
      </c>
      <c r="V347" s="103">
        <v>0</v>
      </c>
      <c r="W347" s="104">
        <v>0</v>
      </c>
      <c r="X347" s="19"/>
      <c r="Y347" s="103">
        <v>0</v>
      </c>
      <c r="Z347" s="103">
        <v>0</v>
      </c>
      <c r="AA347" s="105">
        <v>0</v>
      </c>
      <c r="AB347" s="106">
        <v>0</v>
      </c>
      <c r="AC347" s="105">
        <v>0</v>
      </c>
      <c r="AD347" s="104">
        <v>0</v>
      </c>
      <c r="AE347" s="104">
        <v>0</v>
      </c>
      <c r="AF347" s="107">
        <v>46265</v>
      </c>
    </row>
    <row r="348" spans="1:32" x14ac:dyDescent="0.25">
      <c r="A348" s="90">
        <v>1007</v>
      </c>
      <c r="B348" s="91" t="s">
        <v>497</v>
      </c>
      <c r="C348" s="29">
        <v>10100033</v>
      </c>
      <c r="D348" s="92" t="s">
        <v>622</v>
      </c>
      <c r="E348" s="93" t="s">
        <v>275</v>
      </c>
      <c r="F348" s="93" t="s">
        <v>231</v>
      </c>
      <c r="G348" s="109">
        <v>22.6</v>
      </c>
      <c r="H348" s="109">
        <v>925.3</v>
      </c>
      <c r="I348" s="95">
        <v>0</v>
      </c>
      <c r="J348" s="95">
        <v>0</v>
      </c>
      <c r="K348" s="95">
        <v>0</v>
      </c>
      <c r="L348" s="95">
        <v>0</v>
      </c>
      <c r="M348" s="96">
        <v>0</v>
      </c>
      <c r="N348" s="97">
        <v>0</v>
      </c>
      <c r="O348" s="98">
        <v>0</v>
      </c>
      <c r="P348" s="33"/>
      <c r="Q348" s="99" t="s">
        <v>1198</v>
      </c>
      <c r="R348" s="100"/>
      <c r="S348" s="101">
        <v>0</v>
      </c>
      <c r="T348" s="102">
        <v>0</v>
      </c>
      <c r="U348" s="103">
        <v>0</v>
      </c>
      <c r="V348" s="103">
        <v>0</v>
      </c>
      <c r="W348" s="104">
        <v>0</v>
      </c>
      <c r="X348" s="19"/>
      <c r="Y348" s="103">
        <v>0</v>
      </c>
      <c r="Z348" s="103">
        <v>0</v>
      </c>
      <c r="AA348" s="105">
        <v>0</v>
      </c>
      <c r="AB348" s="106">
        <v>0</v>
      </c>
      <c r="AC348" s="105">
        <v>0</v>
      </c>
      <c r="AD348" s="104">
        <v>0</v>
      </c>
      <c r="AE348" s="104">
        <v>0</v>
      </c>
      <c r="AF348" s="107">
        <v>46265</v>
      </c>
    </row>
    <row r="349" spans="1:32" x14ac:dyDescent="0.25">
      <c r="A349" s="90">
        <v>1007</v>
      </c>
      <c r="B349" s="91" t="s">
        <v>497</v>
      </c>
      <c r="C349" s="29">
        <v>10100035</v>
      </c>
      <c r="D349" s="92" t="s">
        <v>623</v>
      </c>
      <c r="E349" s="93" t="s">
        <v>270</v>
      </c>
      <c r="F349" s="93" t="s">
        <v>230</v>
      </c>
      <c r="G349" s="109">
        <v>244.60000000000002</v>
      </c>
      <c r="H349" s="109">
        <v>11243.029999999999</v>
      </c>
      <c r="I349" s="95">
        <v>0</v>
      </c>
      <c r="J349" s="95">
        <v>0</v>
      </c>
      <c r="K349" s="95">
        <v>500</v>
      </c>
      <c r="L349" s="95">
        <v>0</v>
      </c>
      <c r="M349" s="96">
        <v>0</v>
      </c>
      <c r="N349" s="97">
        <v>0</v>
      </c>
      <c r="O349" s="98">
        <v>0</v>
      </c>
      <c r="P349" s="33"/>
      <c r="Q349" s="99" t="s">
        <v>1198</v>
      </c>
      <c r="R349" s="100"/>
      <c r="S349" s="101">
        <v>-0.65471763394743254</v>
      </c>
      <c r="T349" s="102">
        <v>1</v>
      </c>
      <c r="U349" s="103">
        <v>0</v>
      </c>
      <c r="V349" s="103">
        <v>0</v>
      </c>
      <c r="W349" s="104">
        <v>0</v>
      </c>
      <c r="X349" s="19"/>
      <c r="Y349" s="103">
        <v>500</v>
      </c>
      <c r="Z349" s="103">
        <v>0</v>
      </c>
      <c r="AA349" s="105">
        <v>0</v>
      </c>
      <c r="AB349" s="106">
        <v>500</v>
      </c>
      <c r="AC349" s="105">
        <v>500</v>
      </c>
      <c r="AD349" s="104">
        <v>0</v>
      </c>
      <c r="AE349" s="104">
        <v>0</v>
      </c>
      <c r="AF349" s="107">
        <v>46265</v>
      </c>
    </row>
    <row r="350" spans="1:32" x14ac:dyDescent="0.25">
      <c r="A350" s="90">
        <v>1010</v>
      </c>
      <c r="B350" s="91" t="s">
        <v>1189</v>
      </c>
      <c r="C350" s="29">
        <v>10100037</v>
      </c>
      <c r="D350" s="92" t="s">
        <v>624</v>
      </c>
      <c r="E350" s="93" t="s">
        <v>270</v>
      </c>
      <c r="F350" s="93" t="s">
        <v>230</v>
      </c>
      <c r="G350" s="109">
        <v>252.9</v>
      </c>
      <c r="H350" s="109">
        <v>11680.819999999998</v>
      </c>
      <c r="I350" s="95">
        <v>0</v>
      </c>
      <c r="J350" s="95">
        <v>0</v>
      </c>
      <c r="K350" s="95">
        <v>500</v>
      </c>
      <c r="L350" s="95">
        <v>0</v>
      </c>
      <c r="M350" s="96">
        <v>0</v>
      </c>
      <c r="N350" s="97">
        <v>0</v>
      </c>
      <c r="O350" s="98">
        <v>0</v>
      </c>
      <c r="P350" s="33"/>
      <c r="Q350" s="99" t="s">
        <v>1198</v>
      </c>
      <c r="R350" s="100"/>
      <c r="S350" s="101">
        <v>-1.1600212998749001E-3</v>
      </c>
      <c r="T350" s="102">
        <v>2</v>
      </c>
      <c r="U350" s="103">
        <v>0</v>
      </c>
      <c r="V350" s="103">
        <v>0</v>
      </c>
      <c r="W350" s="104">
        <v>0</v>
      </c>
      <c r="X350" s="19"/>
      <c r="Y350" s="103">
        <v>500</v>
      </c>
      <c r="Z350" s="103">
        <v>0</v>
      </c>
      <c r="AA350" s="105">
        <v>0</v>
      </c>
      <c r="AB350" s="106">
        <v>500</v>
      </c>
      <c r="AC350" s="105">
        <v>500</v>
      </c>
      <c r="AD350" s="104">
        <v>0</v>
      </c>
      <c r="AE350" s="104">
        <v>0</v>
      </c>
      <c r="AF350" s="107">
        <v>46265</v>
      </c>
    </row>
    <row r="351" spans="1:32" x14ac:dyDescent="0.25">
      <c r="A351" s="90">
        <v>1007</v>
      </c>
      <c r="B351" s="91" t="s">
        <v>497</v>
      </c>
      <c r="C351" s="29">
        <v>10100044</v>
      </c>
      <c r="D351" s="92" t="s">
        <v>625</v>
      </c>
      <c r="E351" s="93" t="s">
        <v>275</v>
      </c>
      <c r="F351" s="93" t="s">
        <v>231</v>
      </c>
      <c r="G351" s="109">
        <v>833.49999999999989</v>
      </c>
      <c r="H351" s="109">
        <v>33031.08</v>
      </c>
      <c r="I351" s="95">
        <v>0</v>
      </c>
      <c r="J351" s="95">
        <v>0</v>
      </c>
      <c r="K351" s="95">
        <v>0</v>
      </c>
      <c r="L351" s="95">
        <v>0</v>
      </c>
      <c r="M351" s="96">
        <v>0</v>
      </c>
      <c r="N351" s="97">
        <v>0</v>
      </c>
      <c r="O351" s="98">
        <v>0</v>
      </c>
      <c r="P351" s="33"/>
      <c r="Q351" s="99" t="s">
        <v>1198</v>
      </c>
      <c r="R351" s="100"/>
      <c r="S351" s="101">
        <v>0</v>
      </c>
      <c r="T351" s="102">
        <v>0</v>
      </c>
      <c r="U351" s="103">
        <v>0</v>
      </c>
      <c r="V351" s="103">
        <v>0</v>
      </c>
      <c r="W351" s="104">
        <v>0</v>
      </c>
      <c r="X351" s="19"/>
      <c r="Y351" s="103">
        <v>0</v>
      </c>
      <c r="Z351" s="103">
        <v>0</v>
      </c>
      <c r="AA351" s="105">
        <v>0</v>
      </c>
      <c r="AB351" s="106">
        <v>0</v>
      </c>
      <c r="AC351" s="105">
        <v>0</v>
      </c>
      <c r="AD351" s="104">
        <v>0</v>
      </c>
      <c r="AE351" s="104">
        <v>0</v>
      </c>
      <c r="AF351" s="107">
        <v>46265</v>
      </c>
    </row>
    <row r="352" spans="1:32" x14ac:dyDescent="0.25">
      <c r="A352" s="90">
        <v>1010</v>
      </c>
      <c r="B352" s="91" t="s">
        <v>1189</v>
      </c>
      <c r="C352" s="29">
        <v>10100045</v>
      </c>
      <c r="D352" s="92" t="s">
        <v>626</v>
      </c>
      <c r="E352" s="93" t="s">
        <v>270</v>
      </c>
      <c r="F352" s="93" t="s">
        <v>230</v>
      </c>
      <c r="G352" s="109">
        <v>577.1</v>
      </c>
      <c r="H352" s="109">
        <v>22638.420000000002</v>
      </c>
      <c r="I352" s="95">
        <v>0</v>
      </c>
      <c r="J352" s="95">
        <v>0</v>
      </c>
      <c r="K352" s="95">
        <v>0</v>
      </c>
      <c r="L352" s="95">
        <v>0</v>
      </c>
      <c r="M352" s="96">
        <v>0</v>
      </c>
      <c r="N352" s="97" t="s">
        <v>324</v>
      </c>
      <c r="O352" s="98">
        <v>0</v>
      </c>
      <c r="P352" s="33" t="s">
        <v>286</v>
      </c>
      <c r="Q352" s="99" t="s">
        <v>1198</v>
      </c>
      <c r="R352" s="100"/>
      <c r="S352" s="101">
        <v>-0.55266091891571933</v>
      </c>
      <c r="T352" s="102">
        <v>4</v>
      </c>
      <c r="U352" s="103">
        <v>0</v>
      </c>
      <c r="V352" s="103">
        <v>0</v>
      </c>
      <c r="W352" s="104">
        <v>0</v>
      </c>
      <c r="X352" s="19"/>
      <c r="Y352" s="103">
        <v>0</v>
      </c>
      <c r="Z352" s="103">
        <v>0</v>
      </c>
      <c r="AA352" s="105">
        <v>0</v>
      </c>
      <c r="AB352" s="106">
        <v>0</v>
      </c>
      <c r="AC352" s="105">
        <v>0</v>
      </c>
      <c r="AD352" s="104">
        <v>0</v>
      </c>
      <c r="AE352" s="104">
        <v>0</v>
      </c>
      <c r="AF352" s="107">
        <v>46265</v>
      </c>
    </row>
    <row r="353" spans="1:32" x14ac:dyDescent="0.25">
      <c r="A353" s="90">
        <v>1007</v>
      </c>
      <c r="B353" s="91" t="s">
        <v>497</v>
      </c>
      <c r="C353" s="29">
        <v>10100049</v>
      </c>
      <c r="D353" s="92" t="s">
        <v>627</v>
      </c>
      <c r="E353" s="93" t="s">
        <v>270</v>
      </c>
      <c r="F353" s="93" t="s">
        <v>230</v>
      </c>
      <c r="G353" s="109">
        <v>504.19999999999993</v>
      </c>
      <c r="H353" s="109">
        <v>19294.780000000002</v>
      </c>
      <c r="I353" s="95">
        <v>0</v>
      </c>
      <c r="J353" s="95">
        <v>0</v>
      </c>
      <c r="K353" s="95">
        <v>0</v>
      </c>
      <c r="L353" s="95">
        <v>0</v>
      </c>
      <c r="M353" s="96">
        <v>0</v>
      </c>
      <c r="N353" s="97">
        <v>0</v>
      </c>
      <c r="O353" s="98">
        <v>0</v>
      </c>
      <c r="P353" s="33"/>
      <c r="Q353" s="99" t="s">
        <v>1198</v>
      </c>
      <c r="R353" s="100"/>
      <c r="S353" s="101">
        <v>-2.6623781147024727E-3</v>
      </c>
      <c r="T353" s="102">
        <v>1</v>
      </c>
      <c r="U353" s="103">
        <v>0</v>
      </c>
      <c r="V353" s="103">
        <v>0</v>
      </c>
      <c r="W353" s="104">
        <v>0</v>
      </c>
      <c r="X353" s="19"/>
      <c r="Y353" s="103">
        <v>0</v>
      </c>
      <c r="Z353" s="103">
        <v>0</v>
      </c>
      <c r="AA353" s="105">
        <v>0</v>
      </c>
      <c r="AB353" s="106">
        <v>0</v>
      </c>
      <c r="AC353" s="105">
        <v>0</v>
      </c>
      <c r="AD353" s="104">
        <v>0</v>
      </c>
      <c r="AE353" s="104">
        <v>0</v>
      </c>
      <c r="AF353" s="107">
        <v>46265</v>
      </c>
    </row>
    <row r="354" spans="1:32" x14ac:dyDescent="0.25">
      <c r="A354" s="90">
        <v>1007</v>
      </c>
      <c r="B354" s="91" t="s">
        <v>497</v>
      </c>
      <c r="C354" s="29">
        <v>10100051</v>
      </c>
      <c r="D354" s="92" t="s">
        <v>628</v>
      </c>
      <c r="E354" s="93" t="s">
        <v>270</v>
      </c>
      <c r="F354" s="93" t="s">
        <v>230</v>
      </c>
      <c r="G354" s="109">
        <v>1388.7</v>
      </c>
      <c r="H354" s="109">
        <v>55094.000000000007</v>
      </c>
      <c r="I354" s="95">
        <v>0</v>
      </c>
      <c r="J354" s="95">
        <v>0</v>
      </c>
      <c r="K354" s="95">
        <v>0</v>
      </c>
      <c r="L354" s="95">
        <v>0</v>
      </c>
      <c r="M354" s="96">
        <v>0</v>
      </c>
      <c r="N354" s="97">
        <v>0</v>
      </c>
      <c r="O354" s="98">
        <v>0</v>
      </c>
      <c r="P354" s="33"/>
      <c r="Q354" s="99" t="s">
        <v>1198</v>
      </c>
      <c r="R354" s="100"/>
      <c r="S354" s="101">
        <v>-7.9887102043779239E-3</v>
      </c>
      <c r="T354" s="102">
        <v>3</v>
      </c>
      <c r="U354" s="103">
        <v>0</v>
      </c>
      <c r="V354" s="103">
        <v>0</v>
      </c>
      <c r="W354" s="104">
        <v>0</v>
      </c>
      <c r="X354" s="19"/>
      <c r="Y354" s="103">
        <v>0</v>
      </c>
      <c r="Z354" s="103">
        <v>0</v>
      </c>
      <c r="AA354" s="105">
        <v>0</v>
      </c>
      <c r="AB354" s="106">
        <v>0</v>
      </c>
      <c r="AC354" s="105">
        <v>0</v>
      </c>
      <c r="AD354" s="104">
        <v>0</v>
      </c>
      <c r="AE354" s="104">
        <v>0</v>
      </c>
      <c r="AF354" s="107">
        <v>46265</v>
      </c>
    </row>
    <row r="355" spans="1:32" x14ac:dyDescent="0.25">
      <c r="A355" s="90">
        <v>1010</v>
      </c>
      <c r="B355" s="91" t="s">
        <v>1189</v>
      </c>
      <c r="C355" s="29">
        <v>10100054</v>
      </c>
      <c r="D355" s="92" t="s">
        <v>629</v>
      </c>
      <c r="E355" s="93" t="s">
        <v>270</v>
      </c>
      <c r="F355" s="93" t="s">
        <v>230</v>
      </c>
      <c r="G355" s="109">
        <v>324.39999999999998</v>
      </c>
      <c r="H355" s="109">
        <v>14805.73</v>
      </c>
      <c r="I355" s="95">
        <v>0</v>
      </c>
      <c r="J355" s="95">
        <v>0</v>
      </c>
      <c r="K355" s="95">
        <v>0</v>
      </c>
      <c r="L355" s="95">
        <v>0</v>
      </c>
      <c r="M355" s="96">
        <v>0</v>
      </c>
      <c r="N355" s="97">
        <v>0</v>
      </c>
      <c r="O355" s="98">
        <v>0</v>
      </c>
      <c r="P355" s="33"/>
      <c r="Q355" s="99" t="s">
        <v>1198</v>
      </c>
      <c r="R355" s="100"/>
      <c r="S355" s="101">
        <v>-0.28416228041440733</v>
      </c>
      <c r="T355" s="102">
        <v>6</v>
      </c>
      <c r="U355" s="103">
        <v>0</v>
      </c>
      <c r="V355" s="103">
        <v>0</v>
      </c>
      <c r="W355" s="104">
        <v>0</v>
      </c>
      <c r="X355" s="19"/>
      <c r="Y355" s="103">
        <v>0</v>
      </c>
      <c r="Z355" s="103">
        <v>0</v>
      </c>
      <c r="AA355" s="105">
        <v>0</v>
      </c>
      <c r="AB355" s="106">
        <v>0</v>
      </c>
      <c r="AC355" s="105">
        <v>0</v>
      </c>
      <c r="AD355" s="104">
        <v>0</v>
      </c>
      <c r="AE355" s="104">
        <v>0</v>
      </c>
      <c r="AF355" s="107">
        <v>46265</v>
      </c>
    </row>
    <row r="356" spans="1:32" x14ac:dyDescent="0.25">
      <c r="A356" s="90">
        <v>1010</v>
      </c>
      <c r="B356" s="91" t="s">
        <v>1189</v>
      </c>
      <c r="C356" s="29">
        <v>10100058</v>
      </c>
      <c r="D356" s="92" t="s">
        <v>630</v>
      </c>
      <c r="E356" s="93" t="s">
        <v>275</v>
      </c>
      <c r="F356" s="93" t="s">
        <v>231</v>
      </c>
      <c r="G356" s="109">
        <v>630.4</v>
      </c>
      <c r="H356" s="109">
        <v>30589.79</v>
      </c>
      <c r="I356" s="95">
        <v>0</v>
      </c>
      <c r="J356" s="95">
        <v>0</v>
      </c>
      <c r="K356" s="95">
        <v>0</v>
      </c>
      <c r="L356" s="95">
        <v>0</v>
      </c>
      <c r="M356" s="96">
        <v>0</v>
      </c>
      <c r="N356" s="97">
        <v>0</v>
      </c>
      <c r="O356" s="98">
        <v>0</v>
      </c>
      <c r="P356" s="33"/>
      <c r="Q356" s="99" t="s">
        <v>1198</v>
      </c>
      <c r="R356" s="100"/>
      <c r="S356" s="101">
        <v>0</v>
      </c>
      <c r="T356" s="102">
        <v>0</v>
      </c>
      <c r="U356" s="103">
        <v>0</v>
      </c>
      <c r="V356" s="103">
        <v>0</v>
      </c>
      <c r="W356" s="104">
        <v>0</v>
      </c>
      <c r="X356" s="19"/>
      <c r="Y356" s="103">
        <v>0</v>
      </c>
      <c r="Z356" s="103">
        <v>0</v>
      </c>
      <c r="AA356" s="105">
        <v>0</v>
      </c>
      <c r="AB356" s="106">
        <v>0</v>
      </c>
      <c r="AC356" s="105">
        <v>0</v>
      </c>
      <c r="AD356" s="104">
        <v>0</v>
      </c>
      <c r="AE356" s="104">
        <v>0</v>
      </c>
      <c r="AF356" s="107">
        <v>46265</v>
      </c>
    </row>
    <row r="357" spans="1:32" x14ac:dyDescent="0.25">
      <c r="A357" s="90">
        <v>1010</v>
      </c>
      <c r="B357" s="91" t="s">
        <v>1189</v>
      </c>
      <c r="C357" s="29">
        <v>10100059</v>
      </c>
      <c r="D357" s="92" t="s">
        <v>631</v>
      </c>
      <c r="E357" s="93" t="s">
        <v>275</v>
      </c>
      <c r="F357" s="93" t="s">
        <v>231</v>
      </c>
      <c r="G357" s="109">
        <v>171.4</v>
      </c>
      <c r="H357" s="109">
        <v>9183.7300000000014</v>
      </c>
      <c r="I357" s="95">
        <v>0</v>
      </c>
      <c r="J357" s="95">
        <v>0</v>
      </c>
      <c r="K357" s="95">
        <v>0</v>
      </c>
      <c r="L357" s="95">
        <v>0</v>
      </c>
      <c r="M357" s="96">
        <v>0</v>
      </c>
      <c r="N357" s="97">
        <v>0</v>
      </c>
      <c r="O357" s="98">
        <v>0</v>
      </c>
      <c r="P357" s="33"/>
      <c r="Q357" s="99" t="s">
        <v>1198</v>
      </c>
      <c r="R357" s="100"/>
      <c r="S357" s="101">
        <v>0</v>
      </c>
      <c r="T357" s="102">
        <v>0</v>
      </c>
      <c r="U357" s="103">
        <v>0</v>
      </c>
      <c r="V357" s="103">
        <v>0</v>
      </c>
      <c r="W357" s="104">
        <v>0</v>
      </c>
      <c r="X357" s="19"/>
      <c r="Y357" s="103">
        <v>0</v>
      </c>
      <c r="Z357" s="103">
        <v>0</v>
      </c>
      <c r="AA357" s="105">
        <v>0</v>
      </c>
      <c r="AB357" s="106">
        <v>0</v>
      </c>
      <c r="AC357" s="105">
        <v>0</v>
      </c>
      <c r="AD357" s="104">
        <v>0</v>
      </c>
      <c r="AE357" s="104">
        <v>0</v>
      </c>
      <c r="AF357" s="107">
        <v>46265</v>
      </c>
    </row>
    <row r="358" spans="1:32" x14ac:dyDescent="0.25">
      <c r="A358" s="90">
        <v>1007</v>
      </c>
      <c r="B358" s="91" t="s">
        <v>497</v>
      </c>
      <c r="C358" s="29">
        <v>10100060</v>
      </c>
      <c r="D358" s="92" t="s">
        <v>632</v>
      </c>
      <c r="E358" s="93" t="s">
        <v>270</v>
      </c>
      <c r="F358" s="93" t="s">
        <v>230</v>
      </c>
      <c r="G358" s="109">
        <v>70.199999999999989</v>
      </c>
      <c r="H358" s="109">
        <v>2699.8</v>
      </c>
      <c r="I358" s="95">
        <v>0</v>
      </c>
      <c r="J358" s="95">
        <v>0</v>
      </c>
      <c r="K358" s="95">
        <v>0</v>
      </c>
      <c r="L358" s="95">
        <v>0</v>
      </c>
      <c r="M358" s="96">
        <v>0</v>
      </c>
      <c r="N358" s="97">
        <v>0</v>
      </c>
      <c r="O358" s="98">
        <v>0</v>
      </c>
      <c r="P358" s="33"/>
      <c r="Q358" s="99" t="s">
        <v>1198</v>
      </c>
      <c r="R358" s="100"/>
      <c r="S358" s="101">
        <v>-4.926290836357979E-4</v>
      </c>
      <c r="T358" s="102">
        <v>4</v>
      </c>
      <c r="U358" s="103">
        <v>0</v>
      </c>
      <c r="V358" s="103">
        <v>0</v>
      </c>
      <c r="W358" s="104">
        <v>0</v>
      </c>
      <c r="X358" s="19"/>
      <c r="Y358" s="103">
        <v>0</v>
      </c>
      <c r="Z358" s="103">
        <v>0</v>
      </c>
      <c r="AA358" s="105">
        <v>0</v>
      </c>
      <c r="AB358" s="106">
        <v>0</v>
      </c>
      <c r="AC358" s="105">
        <v>0</v>
      </c>
      <c r="AD358" s="104">
        <v>0</v>
      </c>
      <c r="AE358" s="104">
        <v>0</v>
      </c>
      <c r="AF358" s="107">
        <v>46265</v>
      </c>
    </row>
    <row r="359" spans="1:32" x14ac:dyDescent="0.25">
      <c r="A359" s="90">
        <v>1010</v>
      </c>
      <c r="B359" s="91" t="s">
        <v>1189</v>
      </c>
      <c r="C359" s="29">
        <v>10100062</v>
      </c>
      <c r="D359" s="92" t="s">
        <v>633</v>
      </c>
      <c r="E359" s="93" t="s">
        <v>275</v>
      </c>
      <c r="F359" s="93" t="s">
        <v>231</v>
      </c>
      <c r="G359" s="109">
        <v>7997.9999999999991</v>
      </c>
      <c r="H359" s="109">
        <v>319533.99000000005</v>
      </c>
      <c r="I359" s="95">
        <v>0</v>
      </c>
      <c r="J359" s="95">
        <v>0</v>
      </c>
      <c r="K359" s="95">
        <v>0</v>
      </c>
      <c r="L359" s="95">
        <v>0</v>
      </c>
      <c r="M359" s="96">
        <v>0</v>
      </c>
      <c r="N359" s="97">
        <v>0</v>
      </c>
      <c r="O359" s="98">
        <v>0</v>
      </c>
      <c r="P359" s="33"/>
      <c r="Q359" s="99" t="s">
        <v>1198</v>
      </c>
      <c r="R359" s="100"/>
      <c r="S359" s="101">
        <v>0</v>
      </c>
      <c r="T359" s="102">
        <v>0</v>
      </c>
      <c r="U359" s="103">
        <v>0</v>
      </c>
      <c r="V359" s="103">
        <v>0</v>
      </c>
      <c r="W359" s="104">
        <v>0</v>
      </c>
      <c r="X359" s="19"/>
      <c r="Y359" s="103">
        <v>0</v>
      </c>
      <c r="Z359" s="103">
        <v>0</v>
      </c>
      <c r="AA359" s="105">
        <v>0</v>
      </c>
      <c r="AB359" s="106">
        <v>0</v>
      </c>
      <c r="AC359" s="105">
        <v>0</v>
      </c>
      <c r="AD359" s="104">
        <v>0</v>
      </c>
      <c r="AE359" s="104">
        <v>0</v>
      </c>
      <c r="AF359" s="107">
        <v>46265</v>
      </c>
    </row>
    <row r="360" spans="1:32" x14ac:dyDescent="0.25">
      <c r="A360" s="90">
        <v>1010</v>
      </c>
      <c r="B360" s="91" t="s">
        <v>1189</v>
      </c>
      <c r="C360" s="29">
        <v>10100066</v>
      </c>
      <c r="D360" s="92" t="s">
        <v>634</v>
      </c>
      <c r="E360" s="93" t="s">
        <v>275</v>
      </c>
      <c r="F360" s="93" t="s">
        <v>231</v>
      </c>
      <c r="G360" s="109">
        <v>1107.0999999999999</v>
      </c>
      <c r="H360" s="109">
        <v>51978.02</v>
      </c>
      <c r="I360" s="95">
        <v>0</v>
      </c>
      <c r="J360" s="95">
        <v>0</v>
      </c>
      <c r="K360" s="95">
        <v>0</v>
      </c>
      <c r="L360" s="95">
        <v>0</v>
      </c>
      <c r="M360" s="96">
        <v>0</v>
      </c>
      <c r="N360" s="97">
        <v>0</v>
      </c>
      <c r="O360" s="98">
        <v>0</v>
      </c>
      <c r="P360" s="33"/>
      <c r="Q360" s="99" t="s">
        <v>1198</v>
      </c>
      <c r="R360" s="100"/>
      <c r="S360" s="101">
        <v>0</v>
      </c>
      <c r="T360" s="102">
        <v>0</v>
      </c>
      <c r="U360" s="103">
        <v>0</v>
      </c>
      <c r="V360" s="103">
        <v>0</v>
      </c>
      <c r="W360" s="104">
        <v>0</v>
      </c>
      <c r="X360" s="19"/>
      <c r="Y360" s="103">
        <v>0</v>
      </c>
      <c r="Z360" s="103">
        <v>0</v>
      </c>
      <c r="AA360" s="105">
        <v>0</v>
      </c>
      <c r="AB360" s="106">
        <v>0</v>
      </c>
      <c r="AC360" s="105">
        <v>0</v>
      </c>
      <c r="AD360" s="104">
        <v>0</v>
      </c>
      <c r="AE360" s="104">
        <v>0</v>
      </c>
      <c r="AF360" s="107">
        <v>46265</v>
      </c>
    </row>
    <row r="361" spans="1:32" x14ac:dyDescent="0.25">
      <c r="A361" s="90">
        <v>1010</v>
      </c>
      <c r="B361" s="91" t="s">
        <v>1189</v>
      </c>
      <c r="C361" s="29">
        <v>10100069</v>
      </c>
      <c r="D361" s="92" t="s">
        <v>635</v>
      </c>
      <c r="E361" s="93" t="s">
        <v>275</v>
      </c>
      <c r="F361" s="93" t="s">
        <v>231</v>
      </c>
      <c r="G361" s="109">
        <v>1228.4000000000001</v>
      </c>
      <c r="H361" s="109">
        <v>59228.720000000008</v>
      </c>
      <c r="I361" s="95">
        <v>0</v>
      </c>
      <c r="J361" s="95">
        <v>0</v>
      </c>
      <c r="K361" s="95">
        <v>0</v>
      </c>
      <c r="L361" s="95">
        <v>0</v>
      </c>
      <c r="M361" s="96">
        <v>0</v>
      </c>
      <c r="N361" s="97">
        <v>0</v>
      </c>
      <c r="O361" s="98">
        <v>0</v>
      </c>
      <c r="P361" s="33"/>
      <c r="Q361" s="99" t="s">
        <v>1198</v>
      </c>
      <c r="R361" s="100"/>
      <c r="S361" s="101">
        <v>0</v>
      </c>
      <c r="T361" s="102">
        <v>0</v>
      </c>
      <c r="U361" s="103">
        <v>0</v>
      </c>
      <c r="V361" s="103">
        <v>0</v>
      </c>
      <c r="W361" s="104">
        <v>0</v>
      </c>
      <c r="X361" s="19"/>
      <c r="Y361" s="103">
        <v>0</v>
      </c>
      <c r="Z361" s="103">
        <v>0</v>
      </c>
      <c r="AA361" s="105">
        <v>0</v>
      </c>
      <c r="AB361" s="106">
        <v>0</v>
      </c>
      <c r="AC361" s="105">
        <v>0</v>
      </c>
      <c r="AD361" s="104">
        <v>0</v>
      </c>
      <c r="AE361" s="104">
        <v>0</v>
      </c>
      <c r="AF361" s="107">
        <v>46265</v>
      </c>
    </row>
    <row r="362" spans="1:32" x14ac:dyDescent="0.25">
      <c r="A362" s="90">
        <v>1010</v>
      </c>
      <c r="B362" s="91" t="s">
        <v>1189</v>
      </c>
      <c r="C362" s="29">
        <v>10100070</v>
      </c>
      <c r="D362" s="92" t="s">
        <v>636</v>
      </c>
      <c r="E362" s="93" t="s">
        <v>275</v>
      </c>
      <c r="F362" s="93" t="s">
        <v>231</v>
      </c>
      <c r="G362" s="109">
        <v>148.60000000000002</v>
      </c>
      <c r="H362" s="109">
        <v>7124.17</v>
      </c>
      <c r="I362" s="95">
        <v>0</v>
      </c>
      <c r="J362" s="95">
        <v>0</v>
      </c>
      <c r="K362" s="95">
        <v>0</v>
      </c>
      <c r="L362" s="95">
        <v>0</v>
      </c>
      <c r="M362" s="96">
        <v>0</v>
      </c>
      <c r="N362" s="97">
        <v>0</v>
      </c>
      <c r="O362" s="98">
        <v>0</v>
      </c>
      <c r="P362" s="33"/>
      <c r="Q362" s="99" t="s">
        <v>1198</v>
      </c>
      <c r="R362" s="100"/>
      <c r="S362" s="101">
        <v>0</v>
      </c>
      <c r="T362" s="102">
        <v>0</v>
      </c>
      <c r="U362" s="103">
        <v>0</v>
      </c>
      <c r="V362" s="103">
        <v>0</v>
      </c>
      <c r="W362" s="104">
        <v>0</v>
      </c>
      <c r="X362" s="19"/>
      <c r="Y362" s="103">
        <v>0</v>
      </c>
      <c r="Z362" s="103">
        <v>0</v>
      </c>
      <c r="AA362" s="105">
        <v>0</v>
      </c>
      <c r="AB362" s="106">
        <v>0</v>
      </c>
      <c r="AC362" s="105">
        <v>0</v>
      </c>
      <c r="AD362" s="104">
        <v>0</v>
      </c>
      <c r="AE362" s="104">
        <v>0</v>
      </c>
      <c r="AF362" s="107">
        <v>46265</v>
      </c>
    </row>
    <row r="363" spans="1:32" x14ac:dyDescent="0.25">
      <c r="A363" s="90">
        <v>1010</v>
      </c>
      <c r="B363" s="91" t="s">
        <v>1189</v>
      </c>
      <c r="C363" s="29">
        <v>10100071</v>
      </c>
      <c r="D363" s="92" t="s">
        <v>637</v>
      </c>
      <c r="E363" s="93" t="s">
        <v>275</v>
      </c>
      <c r="F363" s="93" t="s">
        <v>231</v>
      </c>
      <c r="G363" s="109">
        <v>2606.2000000000003</v>
      </c>
      <c r="H363" s="109">
        <v>124876.93999999999</v>
      </c>
      <c r="I363" s="95">
        <v>0</v>
      </c>
      <c r="J363" s="95">
        <v>0</v>
      </c>
      <c r="K363" s="95">
        <v>0</v>
      </c>
      <c r="L363" s="95">
        <v>0</v>
      </c>
      <c r="M363" s="96">
        <v>0</v>
      </c>
      <c r="N363" s="97">
        <v>0</v>
      </c>
      <c r="O363" s="98">
        <v>0</v>
      </c>
      <c r="P363" s="33"/>
      <c r="Q363" s="99" t="s">
        <v>1198</v>
      </c>
      <c r="R363" s="100"/>
      <c r="S363" s="101">
        <v>0</v>
      </c>
      <c r="T363" s="102">
        <v>0</v>
      </c>
      <c r="U363" s="103">
        <v>0</v>
      </c>
      <c r="V363" s="103">
        <v>0</v>
      </c>
      <c r="W363" s="104">
        <v>0</v>
      </c>
      <c r="X363" s="19"/>
      <c r="Y363" s="103">
        <v>0</v>
      </c>
      <c r="Z363" s="103">
        <v>0</v>
      </c>
      <c r="AA363" s="105">
        <v>0</v>
      </c>
      <c r="AB363" s="106">
        <v>0</v>
      </c>
      <c r="AC363" s="105">
        <v>0</v>
      </c>
      <c r="AD363" s="104">
        <v>0</v>
      </c>
      <c r="AE363" s="104">
        <v>0</v>
      </c>
      <c r="AF363" s="107">
        <v>46265</v>
      </c>
    </row>
    <row r="364" spans="1:32" x14ac:dyDescent="0.25">
      <c r="A364" s="90">
        <v>1055</v>
      </c>
      <c r="B364" s="91" t="s">
        <v>106</v>
      </c>
      <c r="C364" s="29">
        <v>10110001</v>
      </c>
      <c r="D364" s="92" t="s">
        <v>105</v>
      </c>
      <c r="E364" s="93" t="s">
        <v>270</v>
      </c>
      <c r="F364" s="93" t="s">
        <v>230</v>
      </c>
      <c r="G364" s="109">
        <v>1809.5</v>
      </c>
      <c r="H364" s="109">
        <v>76725.950000000012</v>
      </c>
      <c r="I364" s="95">
        <v>0</v>
      </c>
      <c r="J364" s="95">
        <v>2700</v>
      </c>
      <c r="K364" s="95">
        <v>0</v>
      </c>
      <c r="L364" s="95">
        <v>0</v>
      </c>
      <c r="M364" s="96">
        <v>0</v>
      </c>
      <c r="N364" s="97">
        <v>0</v>
      </c>
      <c r="O364" s="98">
        <v>0</v>
      </c>
      <c r="P364" s="33"/>
      <c r="Q364" s="99" t="s">
        <v>1198</v>
      </c>
      <c r="R364" s="100"/>
      <c r="S364" s="101">
        <v>-4.6388868433691353E-2</v>
      </c>
      <c r="T364" s="102">
        <v>16</v>
      </c>
      <c r="U364" s="103">
        <v>0</v>
      </c>
      <c r="V364" s="103">
        <v>0</v>
      </c>
      <c r="W364" s="104">
        <v>0</v>
      </c>
      <c r="X364" s="19"/>
      <c r="Y364" s="103">
        <v>0</v>
      </c>
      <c r="Z364" s="103">
        <v>0</v>
      </c>
      <c r="AA364" s="105">
        <v>0</v>
      </c>
      <c r="AB364" s="106">
        <v>0</v>
      </c>
      <c r="AC364" s="105">
        <v>0</v>
      </c>
      <c r="AD364" s="104">
        <v>0</v>
      </c>
      <c r="AE364" s="104">
        <v>0</v>
      </c>
      <c r="AF364" s="107">
        <v>46265</v>
      </c>
    </row>
    <row r="365" spans="1:32" x14ac:dyDescent="0.25">
      <c r="A365" s="90">
        <v>1055</v>
      </c>
      <c r="B365" s="91" t="s">
        <v>106</v>
      </c>
      <c r="C365" s="29">
        <v>10110002</v>
      </c>
      <c r="D365" s="92" t="s">
        <v>638</v>
      </c>
      <c r="E365" s="93" t="s">
        <v>275</v>
      </c>
      <c r="F365" s="93" t="s">
        <v>230</v>
      </c>
      <c r="G365" s="109">
        <v>351.7</v>
      </c>
      <c r="H365" s="109">
        <v>13946.22</v>
      </c>
      <c r="I365" s="95">
        <v>0</v>
      </c>
      <c r="J365" s="95">
        <v>0</v>
      </c>
      <c r="K365" s="95">
        <v>0</v>
      </c>
      <c r="L365" s="95">
        <v>0</v>
      </c>
      <c r="M365" s="96">
        <v>0</v>
      </c>
      <c r="N365" s="97">
        <v>0</v>
      </c>
      <c r="O365" s="98">
        <v>0</v>
      </c>
      <c r="P365" s="33"/>
      <c r="Q365" s="99" t="s">
        <v>1198</v>
      </c>
      <c r="R365" s="100"/>
      <c r="S365" s="101">
        <v>-5.5396372637173355E-2</v>
      </c>
      <c r="T365" s="102">
        <v>3</v>
      </c>
      <c r="U365" s="103">
        <v>0</v>
      </c>
      <c r="V365" s="103">
        <v>0</v>
      </c>
      <c r="W365" s="104">
        <v>0</v>
      </c>
      <c r="X365" s="19"/>
      <c r="Y365" s="103">
        <v>0</v>
      </c>
      <c r="Z365" s="103">
        <v>0</v>
      </c>
      <c r="AA365" s="105">
        <v>0</v>
      </c>
      <c r="AB365" s="106">
        <v>0</v>
      </c>
      <c r="AC365" s="105">
        <v>0</v>
      </c>
      <c r="AD365" s="104">
        <v>0</v>
      </c>
      <c r="AE365" s="104">
        <v>0</v>
      </c>
      <c r="AF365" s="107">
        <v>46265</v>
      </c>
    </row>
    <row r="366" spans="1:32" x14ac:dyDescent="0.25">
      <c r="A366" s="90">
        <v>1011</v>
      </c>
      <c r="B366" s="91" t="s">
        <v>97</v>
      </c>
      <c r="C366" s="29">
        <v>10110004</v>
      </c>
      <c r="D366" s="92" t="s">
        <v>639</v>
      </c>
      <c r="E366" s="93" t="s">
        <v>270</v>
      </c>
      <c r="F366" s="93" t="s">
        <v>230</v>
      </c>
      <c r="G366" s="109">
        <v>429.79999999999995</v>
      </c>
      <c r="H366" s="109">
        <v>16697.54</v>
      </c>
      <c r="I366" s="95">
        <v>0</v>
      </c>
      <c r="J366" s="95">
        <v>0</v>
      </c>
      <c r="K366" s="95">
        <v>0</v>
      </c>
      <c r="L366" s="95">
        <v>0</v>
      </c>
      <c r="M366" s="96">
        <v>0</v>
      </c>
      <c r="N366" s="97">
        <v>0</v>
      </c>
      <c r="O366" s="98">
        <v>0</v>
      </c>
      <c r="P366" s="33"/>
      <c r="Q366" s="99" t="s">
        <v>1198</v>
      </c>
      <c r="R366" s="100"/>
      <c r="S366" s="101">
        <v>-1.012664140945292E-2</v>
      </c>
      <c r="T366" s="102">
        <v>3</v>
      </c>
      <c r="U366" s="103">
        <v>0</v>
      </c>
      <c r="V366" s="103">
        <v>0</v>
      </c>
      <c r="W366" s="104">
        <v>0</v>
      </c>
      <c r="X366" s="19"/>
      <c r="Y366" s="103">
        <v>0</v>
      </c>
      <c r="Z366" s="103">
        <v>0</v>
      </c>
      <c r="AA366" s="105">
        <v>0</v>
      </c>
      <c r="AB366" s="106">
        <v>0</v>
      </c>
      <c r="AC366" s="105">
        <v>0</v>
      </c>
      <c r="AD366" s="104">
        <v>0</v>
      </c>
      <c r="AE366" s="104">
        <v>0</v>
      </c>
      <c r="AF366" s="107">
        <v>46265</v>
      </c>
    </row>
    <row r="367" spans="1:32" x14ac:dyDescent="0.25">
      <c r="A367" s="90">
        <v>1055</v>
      </c>
      <c r="B367" s="91" t="s">
        <v>106</v>
      </c>
      <c r="C367" s="29">
        <v>10110005</v>
      </c>
      <c r="D367" s="92" t="s">
        <v>640</v>
      </c>
      <c r="E367" s="93" t="s">
        <v>270</v>
      </c>
      <c r="F367" s="93" t="s">
        <v>230</v>
      </c>
      <c r="G367" s="109">
        <v>3238.7999999999997</v>
      </c>
      <c r="H367" s="109">
        <v>142607.39000000001</v>
      </c>
      <c r="I367" s="95">
        <v>0</v>
      </c>
      <c r="J367" s="95">
        <v>0</v>
      </c>
      <c r="K367" s="95">
        <v>0</v>
      </c>
      <c r="L367" s="95">
        <v>0</v>
      </c>
      <c r="M367" s="96">
        <v>0</v>
      </c>
      <c r="N367" s="97">
        <v>0</v>
      </c>
      <c r="O367" s="98">
        <v>0</v>
      </c>
      <c r="P367" s="33"/>
      <c r="Q367" s="99" t="s">
        <v>1198</v>
      </c>
      <c r="R367" s="100"/>
      <c r="S367" s="101">
        <v>-3.3829943875980221E-3</v>
      </c>
      <c r="T367" s="102">
        <v>36</v>
      </c>
      <c r="U367" s="103">
        <v>0</v>
      </c>
      <c r="V367" s="103">
        <v>0</v>
      </c>
      <c r="W367" s="104">
        <v>0</v>
      </c>
      <c r="X367" s="19"/>
      <c r="Y367" s="103">
        <v>0</v>
      </c>
      <c r="Z367" s="103">
        <v>0</v>
      </c>
      <c r="AA367" s="105">
        <v>0</v>
      </c>
      <c r="AB367" s="106">
        <v>0</v>
      </c>
      <c r="AC367" s="105">
        <v>0</v>
      </c>
      <c r="AD367" s="104">
        <v>0</v>
      </c>
      <c r="AE367" s="104">
        <v>0</v>
      </c>
      <c r="AF367" s="107">
        <v>46265</v>
      </c>
    </row>
    <row r="368" spans="1:32" x14ac:dyDescent="0.25">
      <c r="A368" s="90">
        <v>1011</v>
      </c>
      <c r="B368" s="91" t="s">
        <v>97</v>
      </c>
      <c r="C368" s="29">
        <v>10110007</v>
      </c>
      <c r="D368" s="92" t="s">
        <v>641</v>
      </c>
      <c r="E368" s="93" t="s">
        <v>270</v>
      </c>
      <c r="F368" s="93" t="s">
        <v>230</v>
      </c>
      <c r="G368" s="109">
        <v>322.39999999999998</v>
      </c>
      <c r="H368" s="109">
        <v>12504.19</v>
      </c>
      <c r="I368" s="95">
        <v>0</v>
      </c>
      <c r="J368" s="95">
        <v>0</v>
      </c>
      <c r="K368" s="95">
        <v>0</v>
      </c>
      <c r="L368" s="95">
        <v>0</v>
      </c>
      <c r="M368" s="96">
        <v>0</v>
      </c>
      <c r="N368" s="97">
        <v>0</v>
      </c>
      <c r="O368" s="98">
        <v>0</v>
      </c>
      <c r="P368" s="33"/>
      <c r="Q368" s="99" t="s">
        <v>1198</v>
      </c>
      <c r="R368" s="100"/>
      <c r="S368" s="101">
        <v>-2.5287523622082517E-3</v>
      </c>
      <c r="T368" s="102">
        <v>5</v>
      </c>
      <c r="U368" s="103">
        <v>0</v>
      </c>
      <c r="V368" s="103">
        <v>0</v>
      </c>
      <c r="W368" s="104">
        <v>0</v>
      </c>
      <c r="X368" s="19"/>
      <c r="Y368" s="103">
        <v>0</v>
      </c>
      <c r="Z368" s="103">
        <v>0</v>
      </c>
      <c r="AA368" s="105">
        <v>0</v>
      </c>
      <c r="AB368" s="106">
        <v>0</v>
      </c>
      <c r="AC368" s="105">
        <v>0</v>
      </c>
      <c r="AD368" s="104">
        <v>0</v>
      </c>
      <c r="AE368" s="104">
        <v>0</v>
      </c>
      <c r="AF368" s="107">
        <v>46265</v>
      </c>
    </row>
    <row r="369" spans="1:32" x14ac:dyDescent="0.25">
      <c r="A369" s="90">
        <v>1011</v>
      </c>
      <c r="B369" s="91" t="s">
        <v>97</v>
      </c>
      <c r="C369" s="29">
        <v>10110008</v>
      </c>
      <c r="D369" s="92" t="s">
        <v>182</v>
      </c>
      <c r="E369" s="93" t="s">
        <v>270</v>
      </c>
      <c r="F369" s="93" t="s">
        <v>231</v>
      </c>
      <c r="G369" s="109">
        <v>6841.7000000000007</v>
      </c>
      <c r="H369" s="109">
        <v>268453.37</v>
      </c>
      <c r="I369" s="95">
        <v>0</v>
      </c>
      <c r="J369" s="95">
        <v>144000</v>
      </c>
      <c r="K369" s="95">
        <v>0</v>
      </c>
      <c r="L369" s="95">
        <v>0</v>
      </c>
      <c r="M369" s="96">
        <v>0</v>
      </c>
      <c r="N369" s="97">
        <v>0</v>
      </c>
      <c r="O369" s="98">
        <v>0</v>
      </c>
      <c r="P369" s="33"/>
      <c r="Q369" s="99" t="s">
        <v>1198</v>
      </c>
      <c r="R369" s="100"/>
      <c r="S369" s="101">
        <v>0</v>
      </c>
      <c r="T369" s="102">
        <v>0</v>
      </c>
      <c r="U369" s="103">
        <v>0</v>
      </c>
      <c r="V369" s="103">
        <v>0</v>
      </c>
      <c r="W369" s="104">
        <v>0</v>
      </c>
      <c r="X369" s="19"/>
      <c r="Y369" s="103">
        <v>0</v>
      </c>
      <c r="Z369" s="103">
        <v>0</v>
      </c>
      <c r="AA369" s="105">
        <v>0</v>
      </c>
      <c r="AB369" s="106">
        <v>0</v>
      </c>
      <c r="AC369" s="105">
        <v>0</v>
      </c>
      <c r="AD369" s="104">
        <v>0</v>
      </c>
      <c r="AE369" s="104">
        <v>0</v>
      </c>
      <c r="AF369" s="107">
        <v>46265</v>
      </c>
    </row>
    <row r="370" spans="1:32" x14ac:dyDescent="0.25">
      <c r="A370" s="90">
        <v>1011</v>
      </c>
      <c r="B370" s="91" t="s">
        <v>97</v>
      </c>
      <c r="C370" s="29">
        <v>10110013</v>
      </c>
      <c r="D370" s="92" t="s">
        <v>642</v>
      </c>
      <c r="E370" s="93" t="s">
        <v>270</v>
      </c>
      <c r="F370" s="93" t="s">
        <v>230</v>
      </c>
      <c r="G370" s="109">
        <v>763.49999999999977</v>
      </c>
      <c r="H370" s="109">
        <v>28514.42</v>
      </c>
      <c r="I370" s="95">
        <v>0</v>
      </c>
      <c r="J370" s="95">
        <v>0</v>
      </c>
      <c r="K370" s="95">
        <v>0</v>
      </c>
      <c r="L370" s="95">
        <v>0</v>
      </c>
      <c r="M370" s="96">
        <v>1</v>
      </c>
      <c r="N370" s="97">
        <v>0</v>
      </c>
      <c r="O370" s="98">
        <v>1</v>
      </c>
      <c r="P370" s="33"/>
      <c r="Q370" s="99" t="s">
        <v>1198</v>
      </c>
      <c r="R370" s="100"/>
      <c r="S370" s="101">
        <v>-1.5585096943933046E-3</v>
      </c>
      <c r="T370" s="102">
        <v>7</v>
      </c>
      <c r="U370" s="103">
        <v>0</v>
      </c>
      <c r="V370" s="103">
        <v>0</v>
      </c>
      <c r="W370" s="104">
        <v>0</v>
      </c>
      <c r="X370" s="19"/>
      <c r="Y370" s="103">
        <v>0</v>
      </c>
      <c r="Z370" s="103">
        <v>0</v>
      </c>
      <c r="AA370" s="105">
        <v>0</v>
      </c>
      <c r="AB370" s="106">
        <v>0</v>
      </c>
      <c r="AC370" s="105">
        <v>0</v>
      </c>
      <c r="AD370" s="104">
        <v>0</v>
      </c>
      <c r="AE370" s="104">
        <v>0</v>
      </c>
      <c r="AF370" s="107">
        <v>46265</v>
      </c>
    </row>
    <row r="371" spans="1:32" x14ac:dyDescent="0.25">
      <c r="A371" s="90">
        <v>1011</v>
      </c>
      <c r="B371" s="91" t="s">
        <v>97</v>
      </c>
      <c r="C371" s="29">
        <v>10110014</v>
      </c>
      <c r="D371" s="92" t="s">
        <v>643</v>
      </c>
      <c r="E371" s="93" t="s">
        <v>270</v>
      </c>
      <c r="F371" s="93" t="s">
        <v>230</v>
      </c>
      <c r="G371" s="109">
        <v>1146.4000000000001</v>
      </c>
      <c r="H371" s="109">
        <v>50728.400000000009</v>
      </c>
      <c r="I371" s="95">
        <v>0</v>
      </c>
      <c r="J371" s="95">
        <v>0</v>
      </c>
      <c r="K371" s="95">
        <v>0</v>
      </c>
      <c r="L371" s="95">
        <v>0</v>
      </c>
      <c r="M371" s="96">
        <v>161</v>
      </c>
      <c r="N371" s="97">
        <v>0</v>
      </c>
      <c r="O371" s="98">
        <v>-1</v>
      </c>
      <c r="P371" s="33"/>
      <c r="Q371" s="99" t="s">
        <v>1198</v>
      </c>
      <c r="R371" s="100"/>
      <c r="S371" s="101">
        <v>3.1919003950456669E-3</v>
      </c>
      <c r="T371" s="102">
        <v>41</v>
      </c>
      <c r="U371" s="103">
        <v>0</v>
      </c>
      <c r="V371" s="103">
        <v>0</v>
      </c>
      <c r="W371" s="104">
        <v>0</v>
      </c>
      <c r="X371" s="19"/>
      <c r="Y371" s="103">
        <v>0</v>
      </c>
      <c r="Z371" s="103">
        <v>0</v>
      </c>
      <c r="AA371" s="105">
        <v>0</v>
      </c>
      <c r="AB371" s="106">
        <v>0</v>
      </c>
      <c r="AC371" s="105">
        <v>0</v>
      </c>
      <c r="AD371" s="104">
        <v>0</v>
      </c>
      <c r="AE371" s="104">
        <v>0</v>
      </c>
      <c r="AF371" s="107">
        <v>46265</v>
      </c>
    </row>
    <row r="372" spans="1:32" x14ac:dyDescent="0.25">
      <c r="A372" s="90">
        <v>1055</v>
      </c>
      <c r="B372" s="91" t="s">
        <v>106</v>
      </c>
      <c r="C372" s="29">
        <v>10110015</v>
      </c>
      <c r="D372" s="92" t="s">
        <v>644</v>
      </c>
      <c r="E372" s="93" t="s">
        <v>270</v>
      </c>
      <c r="F372" s="93" t="s">
        <v>230</v>
      </c>
      <c r="G372" s="109">
        <v>461.3</v>
      </c>
      <c r="H372" s="109">
        <v>20345.48</v>
      </c>
      <c r="I372" s="95">
        <v>0</v>
      </c>
      <c r="J372" s="95">
        <v>0</v>
      </c>
      <c r="K372" s="95">
        <v>0</v>
      </c>
      <c r="L372" s="95">
        <v>0</v>
      </c>
      <c r="M372" s="96">
        <v>0</v>
      </c>
      <c r="N372" s="97">
        <v>0</v>
      </c>
      <c r="O372" s="98">
        <v>0</v>
      </c>
      <c r="P372" s="33"/>
      <c r="Q372" s="99" t="s">
        <v>1198</v>
      </c>
      <c r="R372" s="100"/>
      <c r="S372" s="101">
        <v>-3.4239546080996809E-2</v>
      </c>
      <c r="T372" s="102">
        <v>7</v>
      </c>
      <c r="U372" s="103">
        <v>0</v>
      </c>
      <c r="V372" s="103">
        <v>0</v>
      </c>
      <c r="W372" s="104">
        <v>0</v>
      </c>
      <c r="X372" s="19"/>
      <c r="Y372" s="103">
        <v>0</v>
      </c>
      <c r="Z372" s="103">
        <v>0</v>
      </c>
      <c r="AA372" s="105">
        <v>0</v>
      </c>
      <c r="AB372" s="106">
        <v>0</v>
      </c>
      <c r="AC372" s="105">
        <v>0</v>
      </c>
      <c r="AD372" s="104">
        <v>0</v>
      </c>
      <c r="AE372" s="104">
        <v>0</v>
      </c>
      <c r="AF372" s="107">
        <v>46265</v>
      </c>
    </row>
    <row r="373" spans="1:32" x14ac:dyDescent="0.25">
      <c r="A373" s="90">
        <v>1055</v>
      </c>
      <c r="B373" s="91" t="s">
        <v>106</v>
      </c>
      <c r="C373" s="29">
        <v>10110016</v>
      </c>
      <c r="D373" s="92" t="s">
        <v>645</v>
      </c>
      <c r="E373" s="93" t="s">
        <v>270</v>
      </c>
      <c r="F373" s="93" t="s">
        <v>230</v>
      </c>
      <c r="G373" s="109">
        <v>447.99999999999994</v>
      </c>
      <c r="H373" s="109">
        <v>18910.11</v>
      </c>
      <c r="I373" s="95">
        <v>0</v>
      </c>
      <c r="J373" s="95">
        <v>0</v>
      </c>
      <c r="K373" s="95">
        <v>0</v>
      </c>
      <c r="L373" s="95">
        <v>0</v>
      </c>
      <c r="M373" s="96">
        <v>353</v>
      </c>
      <c r="N373" s="97">
        <v>0</v>
      </c>
      <c r="O373" s="98">
        <v>0</v>
      </c>
      <c r="P373" s="33"/>
      <c r="Q373" s="99" t="s">
        <v>1198</v>
      </c>
      <c r="R373" s="100"/>
      <c r="S373" s="101">
        <v>1.8638707019684134E-2</v>
      </c>
      <c r="T373" s="102">
        <v>6</v>
      </c>
      <c r="U373" s="103">
        <v>0</v>
      </c>
      <c r="V373" s="103">
        <v>0</v>
      </c>
      <c r="W373" s="104">
        <v>0</v>
      </c>
      <c r="X373" s="19"/>
      <c r="Y373" s="103">
        <v>0</v>
      </c>
      <c r="Z373" s="103">
        <v>0</v>
      </c>
      <c r="AA373" s="105">
        <v>0</v>
      </c>
      <c r="AB373" s="106">
        <v>0</v>
      </c>
      <c r="AC373" s="105">
        <v>0</v>
      </c>
      <c r="AD373" s="104">
        <v>0</v>
      </c>
      <c r="AE373" s="104">
        <v>0</v>
      </c>
      <c r="AF373" s="107">
        <v>46265</v>
      </c>
    </row>
    <row r="374" spans="1:32" x14ac:dyDescent="0.25">
      <c r="A374" s="90">
        <v>1011</v>
      </c>
      <c r="B374" s="91" t="s">
        <v>97</v>
      </c>
      <c r="C374" s="29">
        <v>10110021</v>
      </c>
      <c r="D374" s="92" t="s">
        <v>131</v>
      </c>
      <c r="E374" s="93" t="s">
        <v>270</v>
      </c>
      <c r="F374" s="93" t="s">
        <v>230</v>
      </c>
      <c r="G374" s="109">
        <v>203.3</v>
      </c>
      <c r="H374" s="109">
        <v>9462.5399999999991</v>
      </c>
      <c r="I374" s="95">
        <v>0</v>
      </c>
      <c r="J374" s="95">
        <v>2700</v>
      </c>
      <c r="K374" s="95">
        <v>0</v>
      </c>
      <c r="L374" s="95">
        <v>0</v>
      </c>
      <c r="M374" s="96">
        <v>0</v>
      </c>
      <c r="N374" s="97">
        <v>0</v>
      </c>
      <c r="O374" s="98">
        <v>0</v>
      </c>
      <c r="P374" s="33"/>
      <c r="Q374" s="99" t="s">
        <v>1198</v>
      </c>
      <c r="R374" s="100"/>
      <c r="S374" s="101">
        <v>-8.2066760087672164E-2</v>
      </c>
      <c r="T374" s="102">
        <v>5</v>
      </c>
      <c r="U374" s="103">
        <v>0</v>
      </c>
      <c r="V374" s="103">
        <v>0</v>
      </c>
      <c r="W374" s="104">
        <v>0</v>
      </c>
      <c r="X374" s="19"/>
      <c r="Y374" s="103">
        <v>0</v>
      </c>
      <c r="Z374" s="103">
        <v>0</v>
      </c>
      <c r="AA374" s="105">
        <v>0</v>
      </c>
      <c r="AB374" s="106">
        <v>0</v>
      </c>
      <c r="AC374" s="105">
        <v>0</v>
      </c>
      <c r="AD374" s="104">
        <v>0</v>
      </c>
      <c r="AE374" s="104">
        <v>0</v>
      </c>
      <c r="AF374" s="107">
        <v>46265</v>
      </c>
    </row>
    <row r="375" spans="1:32" x14ac:dyDescent="0.25">
      <c r="A375" s="90">
        <v>1011</v>
      </c>
      <c r="B375" s="91" t="s">
        <v>97</v>
      </c>
      <c r="C375" s="29">
        <v>10110032</v>
      </c>
      <c r="D375" s="92" t="s">
        <v>646</v>
      </c>
      <c r="E375" s="93" t="s">
        <v>270</v>
      </c>
      <c r="F375" s="93" t="s">
        <v>230</v>
      </c>
      <c r="G375" s="109">
        <v>6.2</v>
      </c>
      <c r="H375" s="109">
        <v>243.04</v>
      </c>
      <c r="I375" s="95">
        <v>0</v>
      </c>
      <c r="J375" s="95">
        <v>0</v>
      </c>
      <c r="K375" s="95">
        <v>0</v>
      </c>
      <c r="L375" s="95">
        <v>0</v>
      </c>
      <c r="M375" s="96">
        <v>243</v>
      </c>
      <c r="N375" s="97" t="s">
        <v>285</v>
      </c>
      <c r="O375" s="98">
        <v>0</v>
      </c>
      <c r="P375" s="33" t="s">
        <v>286</v>
      </c>
      <c r="Q375" s="99" t="s">
        <v>1198</v>
      </c>
      <c r="R375" s="100"/>
      <c r="S375" s="101">
        <v>1</v>
      </c>
      <c r="T375" s="102">
        <v>0</v>
      </c>
      <c r="U375" s="103">
        <v>0</v>
      </c>
      <c r="V375" s="103">
        <v>0</v>
      </c>
      <c r="W375" s="104">
        <v>0</v>
      </c>
      <c r="X375" s="19"/>
      <c r="Y375" s="103">
        <v>500</v>
      </c>
      <c r="Z375" s="103">
        <v>0</v>
      </c>
      <c r="AA375" s="105">
        <v>0</v>
      </c>
      <c r="AB375" s="106">
        <v>500</v>
      </c>
      <c r="AC375" s="105">
        <v>0</v>
      </c>
      <c r="AD375" s="104">
        <v>-500</v>
      </c>
      <c r="AE375" s="104">
        <v>-500</v>
      </c>
      <c r="AF375" s="107">
        <v>46265</v>
      </c>
    </row>
    <row r="376" spans="1:32" x14ac:dyDescent="0.25">
      <c r="A376" s="90">
        <v>1011</v>
      </c>
      <c r="B376" s="91" t="s">
        <v>97</v>
      </c>
      <c r="C376" s="29">
        <v>10110036</v>
      </c>
      <c r="D376" s="92" t="s">
        <v>647</v>
      </c>
      <c r="E376" s="93" t="s">
        <v>275</v>
      </c>
      <c r="F376" s="93" t="s">
        <v>231</v>
      </c>
      <c r="G376" s="109">
        <v>1270.9000000000001</v>
      </c>
      <c r="H376" s="109">
        <v>50582.51</v>
      </c>
      <c r="I376" s="95">
        <v>0</v>
      </c>
      <c r="J376" s="95">
        <v>0</v>
      </c>
      <c r="K376" s="95">
        <v>0</v>
      </c>
      <c r="L376" s="95">
        <v>0</v>
      </c>
      <c r="M376" s="96">
        <v>0</v>
      </c>
      <c r="N376" s="97">
        <v>0</v>
      </c>
      <c r="O376" s="98">
        <v>0</v>
      </c>
      <c r="P376" s="33"/>
      <c r="Q376" s="99" t="s">
        <v>1198</v>
      </c>
      <c r="R376" s="100"/>
      <c r="S376" s="101">
        <v>0</v>
      </c>
      <c r="T376" s="102">
        <v>0</v>
      </c>
      <c r="U376" s="103">
        <v>0</v>
      </c>
      <c r="V376" s="103">
        <v>0</v>
      </c>
      <c r="W376" s="104">
        <v>0</v>
      </c>
      <c r="X376" s="19"/>
      <c r="Y376" s="103">
        <v>0</v>
      </c>
      <c r="Z376" s="103">
        <v>0</v>
      </c>
      <c r="AA376" s="105">
        <v>0</v>
      </c>
      <c r="AB376" s="106">
        <v>0</v>
      </c>
      <c r="AC376" s="105">
        <v>0</v>
      </c>
      <c r="AD376" s="104">
        <v>0</v>
      </c>
      <c r="AE376" s="104">
        <v>0</v>
      </c>
      <c r="AF376" s="107">
        <v>46265</v>
      </c>
    </row>
    <row r="377" spans="1:32" x14ac:dyDescent="0.25">
      <c r="A377" s="90">
        <v>1055</v>
      </c>
      <c r="B377" s="91" t="s">
        <v>106</v>
      </c>
      <c r="C377" s="29">
        <v>10110042</v>
      </c>
      <c r="D377" s="92" t="s">
        <v>648</v>
      </c>
      <c r="E377" s="93" t="s">
        <v>275</v>
      </c>
      <c r="F377" s="93" t="s">
        <v>231</v>
      </c>
      <c r="G377" s="109">
        <v>318.7</v>
      </c>
      <c r="H377" s="109">
        <v>12747.71</v>
      </c>
      <c r="I377" s="95">
        <v>0</v>
      </c>
      <c r="J377" s="95">
        <v>0</v>
      </c>
      <c r="K377" s="95">
        <v>0</v>
      </c>
      <c r="L377" s="95">
        <v>0</v>
      </c>
      <c r="M377" s="96">
        <v>0</v>
      </c>
      <c r="N377" s="97">
        <v>0</v>
      </c>
      <c r="O377" s="98">
        <v>0</v>
      </c>
      <c r="P377" s="33"/>
      <c r="Q377" s="99" t="s">
        <v>1198</v>
      </c>
      <c r="R377" s="100"/>
      <c r="S377" s="101">
        <v>0</v>
      </c>
      <c r="T377" s="102">
        <v>0</v>
      </c>
      <c r="U377" s="103">
        <v>0</v>
      </c>
      <c r="V377" s="103">
        <v>0</v>
      </c>
      <c r="W377" s="104">
        <v>0</v>
      </c>
      <c r="X377" s="19"/>
      <c r="Y377" s="103">
        <v>0</v>
      </c>
      <c r="Z377" s="103">
        <v>0</v>
      </c>
      <c r="AA377" s="105">
        <v>0</v>
      </c>
      <c r="AB377" s="106">
        <v>0</v>
      </c>
      <c r="AC377" s="105">
        <v>0</v>
      </c>
      <c r="AD377" s="104">
        <v>0</v>
      </c>
      <c r="AE377" s="104">
        <v>0</v>
      </c>
      <c r="AF377" s="107">
        <v>46265</v>
      </c>
    </row>
    <row r="378" spans="1:32" x14ac:dyDescent="0.25">
      <c r="A378" s="90">
        <v>1011</v>
      </c>
      <c r="B378" s="91" t="s">
        <v>97</v>
      </c>
      <c r="C378" s="29">
        <v>10110043</v>
      </c>
      <c r="D378" s="92" t="s">
        <v>649</v>
      </c>
      <c r="E378" s="93" t="s">
        <v>270</v>
      </c>
      <c r="F378" s="93" t="s">
        <v>231</v>
      </c>
      <c r="G378" s="109">
        <v>885.40000000000009</v>
      </c>
      <c r="H378" s="109">
        <v>38469.229999999996</v>
      </c>
      <c r="I378" s="95">
        <v>0</v>
      </c>
      <c r="J378" s="95">
        <v>0</v>
      </c>
      <c r="K378" s="95">
        <v>0</v>
      </c>
      <c r="L378" s="95">
        <v>0</v>
      </c>
      <c r="M378" s="96">
        <v>0</v>
      </c>
      <c r="N378" s="97">
        <v>0</v>
      </c>
      <c r="O378" s="98">
        <v>0</v>
      </c>
      <c r="P378" s="33"/>
      <c r="Q378" s="99" t="s">
        <v>1198</v>
      </c>
      <c r="R378" s="100"/>
      <c r="S378" s="101">
        <v>0</v>
      </c>
      <c r="T378" s="102">
        <v>0</v>
      </c>
      <c r="U378" s="103">
        <v>0</v>
      </c>
      <c r="V378" s="103">
        <v>0</v>
      </c>
      <c r="W378" s="104">
        <v>0</v>
      </c>
      <c r="X378" s="19"/>
      <c r="Y378" s="103">
        <v>0</v>
      </c>
      <c r="Z378" s="103">
        <v>0</v>
      </c>
      <c r="AA378" s="105">
        <v>0</v>
      </c>
      <c r="AB378" s="106">
        <v>0</v>
      </c>
      <c r="AC378" s="105">
        <v>0</v>
      </c>
      <c r="AD378" s="104">
        <v>0</v>
      </c>
      <c r="AE378" s="104">
        <v>0</v>
      </c>
      <c r="AF378" s="107">
        <v>46265</v>
      </c>
    </row>
    <row r="379" spans="1:32" x14ac:dyDescent="0.25">
      <c r="A379" s="90">
        <v>1011</v>
      </c>
      <c r="B379" s="91" t="s">
        <v>97</v>
      </c>
      <c r="C379" s="29">
        <v>10110049</v>
      </c>
      <c r="D379" s="92" t="s">
        <v>650</v>
      </c>
      <c r="E379" s="93" t="s">
        <v>270</v>
      </c>
      <c r="F379" s="93" t="s">
        <v>230</v>
      </c>
      <c r="G379" s="109">
        <v>671.8</v>
      </c>
      <c r="H379" s="109">
        <v>26118.269999999997</v>
      </c>
      <c r="I379" s="95">
        <v>0</v>
      </c>
      <c r="J379" s="95">
        <v>0</v>
      </c>
      <c r="K379" s="95">
        <v>0</v>
      </c>
      <c r="L379" s="95">
        <v>0</v>
      </c>
      <c r="M379" s="96">
        <v>0</v>
      </c>
      <c r="N379" s="97">
        <v>0</v>
      </c>
      <c r="O379" s="98">
        <v>0</v>
      </c>
      <c r="P379" s="33"/>
      <c r="Q379" s="99" t="s">
        <v>1198</v>
      </c>
      <c r="R379" s="100"/>
      <c r="S379" s="101">
        <v>-2.6627337874982015E-2</v>
      </c>
      <c r="T379" s="102">
        <v>4</v>
      </c>
      <c r="U379" s="103">
        <v>0</v>
      </c>
      <c r="V379" s="103">
        <v>0</v>
      </c>
      <c r="W379" s="104">
        <v>0</v>
      </c>
      <c r="X379" s="19"/>
      <c r="Y379" s="103">
        <v>0</v>
      </c>
      <c r="Z379" s="103">
        <v>0</v>
      </c>
      <c r="AA379" s="105">
        <v>0</v>
      </c>
      <c r="AB379" s="106">
        <v>0</v>
      </c>
      <c r="AC379" s="105">
        <v>0</v>
      </c>
      <c r="AD379" s="104">
        <v>0</v>
      </c>
      <c r="AE379" s="104">
        <v>0</v>
      </c>
      <c r="AF379" s="107">
        <v>46265</v>
      </c>
    </row>
    <row r="380" spans="1:32" x14ac:dyDescent="0.25">
      <c r="A380" s="90">
        <v>1011</v>
      </c>
      <c r="B380" s="91" t="s">
        <v>97</v>
      </c>
      <c r="C380" s="29">
        <v>10110050</v>
      </c>
      <c r="D380" s="92" t="s">
        <v>651</v>
      </c>
      <c r="E380" s="93" t="s">
        <v>270</v>
      </c>
      <c r="F380" s="93" t="s">
        <v>230</v>
      </c>
      <c r="G380" s="109">
        <v>1028.2000000000003</v>
      </c>
      <c r="H380" s="109">
        <v>49946.439999999995</v>
      </c>
      <c r="I380" s="95">
        <v>0</v>
      </c>
      <c r="J380" s="95">
        <v>0</v>
      </c>
      <c r="K380" s="95">
        <v>0</v>
      </c>
      <c r="L380" s="95">
        <v>0</v>
      </c>
      <c r="M380" s="96">
        <v>490</v>
      </c>
      <c r="N380" s="97">
        <v>0</v>
      </c>
      <c r="O380" s="98">
        <v>0</v>
      </c>
      <c r="P380" s="33"/>
      <c r="Q380" s="99" t="s">
        <v>1198</v>
      </c>
      <c r="R380" s="100"/>
      <c r="S380" s="101">
        <v>9.8109094461987043E-3</v>
      </c>
      <c r="T380" s="102">
        <v>1</v>
      </c>
      <c r="U380" s="103">
        <v>0</v>
      </c>
      <c r="V380" s="103">
        <v>0</v>
      </c>
      <c r="W380" s="104">
        <v>0</v>
      </c>
      <c r="X380" s="19"/>
      <c r="Y380" s="103">
        <v>0</v>
      </c>
      <c r="Z380" s="103">
        <v>0</v>
      </c>
      <c r="AA380" s="105">
        <v>0</v>
      </c>
      <c r="AB380" s="106">
        <v>0</v>
      </c>
      <c r="AC380" s="105">
        <v>0</v>
      </c>
      <c r="AD380" s="104">
        <v>0</v>
      </c>
      <c r="AE380" s="104">
        <v>0</v>
      </c>
      <c r="AF380" s="107">
        <v>46265</v>
      </c>
    </row>
    <row r="381" spans="1:32" x14ac:dyDescent="0.25">
      <c r="A381" s="90">
        <v>1011</v>
      </c>
      <c r="B381" s="91" t="s">
        <v>97</v>
      </c>
      <c r="C381" s="29">
        <v>10110053</v>
      </c>
      <c r="D381" s="92" t="s">
        <v>652</v>
      </c>
      <c r="E381" s="93" t="s">
        <v>270</v>
      </c>
      <c r="F381" s="93" t="s">
        <v>230</v>
      </c>
      <c r="G381" s="109">
        <v>299</v>
      </c>
      <c r="H381" s="109">
        <v>12353.96</v>
      </c>
      <c r="I381" s="95">
        <v>0</v>
      </c>
      <c r="J381" s="95">
        <v>0</v>
      </c>
      <c r="K381" s="95">
        <v>500</v>
      </c>
      <c r="L381" s="95">
        <v>0</v>
      </c>
      <c r="M381" s="96">
        <v>0</v>
      </c>
      <c r="N381" s="97">
        <v>0</v>
      </c>
      <c r="O381" s="98">
        <v>0</v>
      </c>
      <c r="P381" s="33"/>
      <c r="Q381" s="99" t="s">
        <v>1198</v>
      </c>
      <c r="R381" s="100"/>
      <c r="S381" s="101">
        <v>-4.9983972750439389E-3</v>
      </c>
      <c r="T381" s="102">
        <v>2</v>
      </c>
      <c r="U381" s="103">
        <v>0</v>
      </c>
      <c r="V381" s="103">
        <v>0</v>
      </c>
      <c r="W381" s="104">
        <v>0</v>
      </c>
      <c r="X381" s="19"/>
      <c r="Y381" s="103">
        <v>500</v>
      </c>
      <c r="Z381" s="103">
        <v>0</v>
      </c>
      <c r="AA381" s="105">
        <v>0</v>
      </c>
      <c r="AB381" s="106">
        <v>500</v>
      </c>
      <c r="AC381" s="105">
        <v>500</v>
      </c>
      <c r="AD381" s="104">
        <v>0</v>
      </c>
      <c r="AE381" s="104">
        <v>0</v>
      </c>
      <c r="AF381" s="107">
        <v>46265</v>
      </c>
    </row>
    <row r="382" spans="1:32" x14ac:dyDescent="0.25">
      <c r="A382" s="90">
        <v>1011</v>
      </c>
      <c r="B382" s="91" t="s">
        <v>97</v>
      </c>
      <c r="C382" s="29">
        <v>10110055</v>
      </c>
      <c r="D382" s="92" t="s">
        <v>653</v>
      </c>
      <c r="E382" s="93" t="s">
        <v>270</v>
      </c>
      <c r="F382" s="93" t="s">
        <v>230</v>
      </c>
      <c r="G382" s="109">
        <v>1125.1000000000001</v>
      </c>
      <c r="H382" s="109">
        <v>54129.139999999992</v>
      </c>
      <c r="I382" s="95">
        <v>0</v>
      </c>
      <c r="J382" s="95">
        <v>0</v>
      </c>
      <c r="K382" s="95">
        <v>0</v>
      </c>
      <c r="L382" s="95">
        <v>0</v>
      </c>
      <c r="M382" s="96">
        <v>0</v>
      </c>
      <c r="N382" s="97">
        <v>0</v>
      </c>
      <c r="O382" s="98">
        <v>0</v>
      </c>
      <c r="P382" s="33"/>
      <c r="Q382" s="99" t="s">
        <v>1198</v>
      </c>
      <c r="R382" s="100"/>
      <c r="S382" s="101">
        <v>-3.5829130113650597E-2</v>
      </c>
      <c r="T382" s="102">
        <v>5</v>
      </c>
      <c r="U382" s="103">
        <v>0</v>
      </c>
      <c r="V382" s="103">
        <v>0</v>
      </c>
      <c r="W382" s="104">
        <v>0</v>
      </c>
      <c r="X382" s="19"/>
      <c r="Y382" s="103">
        <v>0</v>
      </c>
      <c r="Z382" s="103">
        <v>0</v>
      </c>
      <c r="AA382" s="105">
        <v>0</v>
      </c>
      <c r="AB382" s="106">
        <v>0</v>
      </c>
      <c r="AC382" s="105">
        <v>0</v>
      </c>
      <c r="AD382" s="104">
        <v>0</v>
      </c>
      <c r="AE382" s="104">
        <v>0</v>
      </c>
      <c r="AF382" s="107">
        <v>46265</v>
      </c>
    </row>
    <row r="383" spans="1:32" x14ac:dyDescent="0.25">
      <c r="A383" s="90">
        <v>1011</v>
      </c>
      <c r="B383" s="91" t="s">
        <v>97</v>
      </c>
      <c r="C383" s="29">
        <v>10110057</v>
      </c>
      <c r="D383" s="92" t="s">
        <v>654</v>
      </c>
      <c r="E383" s="93" t="s">
        <v>275</v>
      </c>
      <c r="F383" s="93" t="s">
        <v>230</v>
      </c>
      <c r="G383" s="109">
        <v>268.3</v>
      </c>
      <c r="H383" s="109">
        <v>11780.320000000002</v>
      </c>
      <c r="I383" s="95">
        <v>0</v>
      </c>
      <c r="J383" s="95">
        <v>0</v>
      </c>
      <c r="K383" s="95">
        <v>0</v>
      </c>
      <c r="L383" s="95">
        <v>0</v>
      </c>
      <c r="M383" s="96">
        <v>139</v>
      </c>
      <c r="N383" s="97">
        <v>0</v>
      </c>
      <c r="O383" s="98">
        <v>0</v>
      </c>
      <c r="P383" s="33"/>
      <c r="Q383" s="99" t="s">
        <v>1198</v>
      </c>
      <c r="R383" s="100"/>
      <c r="S383" s="101">
        <v>1.1843481331576767E-2</v>
      </c>
      <c r="T383" s="102">
        <v>1</v>
      </c>
      <c r="U383" s="103">
        <v>0</v>
      </c>
      <c r="V383" s="103">
        <v>0</v>
      </c>
      <c r="W383" s="104">
        <v>0</v>
      </c>
      <c r="X383" s="19"/>
      <c r="Y383" s="103">
        <v>0</v>
      </c>
      <c r="Z383" s="103">
        <v>0</v>
      </c>
      <c r="AA383" s="105">
        <v>0</v>
      </c>
      <c r="AB383" s="106">
        <v>0</v>
      </c>
      <c r="AC383" s="105">
        <v>0</v>
      </c>
      <c r="AD383" s="104">
        <v>0</v>
      </c>
      <c r="AE383" s="104">
        <v>0</v>
      </c>
      <c r="AF383" s="107">
        <v>46265</v>
      </c>
    </row>
    <row r="384" spans="1:32" x14ac:dyDescent="0.25">
      <c r="A384" s="90">
        <v>1011</v>
      </c>
      <c r="B384" s="91" t="s">
        <v>97</v>
      </c>
      <c r="C384" s="29">
        <v>10110065</v>
      </c>
      <c r="D384" s="92" t="s">
        <v>655</v>
      </c>
      <c r="E384" s="93" t="s">
        <v>270</v>
      </c>
      <c r="F384" s="93" t="s">
        <v>230</v>
      </c>
      <c r="G384" s="109">
        <v>510.5</v>
      </c>
      <c r="H384" s="109">
        <v>20489.940000000002</v>
      </c>
      <c r="I384" s="95">
        <v>0</v>
      </c>
      <c r="J384" s="95">
        <v>0</v>
      </c>
      <c r="K384" s="95">
        <v>0</v>
      </c>
      <c r="L384" s="95">
        <v>0</v>
      </c>
      <c r="M384" s="96">
        <v>368</v>
      </c>
      <c r="N384" s="97">
        <v>0</v>
      </c>
      <c r="O384" s="98">
        <v>1</v>
      </c>
      <c r="P384" s="33"/>
      <c r="Q384" s="99" t="s">
        <v>1198</v>
      </c>
      <c r="R384" s="100"/>
      <c r="S384" s="101">
        <v>1.7914156898458704E-2</v>
      </c>
      <c r="T384" s="102">
        <v>17</v>
      </c>
      <c r="U384" s="103">
        <v>0</v>
      </c>
      <c r="V384" s="103">
        <v>0</v>
      </c>
      <c r="W384" s="104">
        <v>0</v>
      </c>
      <c r="X384" s="19"/>
      <c r="Y384" s="103">
        <v>0</v>
      </c>
      <c r="Z384" s="103">
        <v>0</v>
      </c>
      <c r="AA384" s="105">
        <v>0</v>
      </c>
      <c r="AB384" s="106">
        <v>0</v>
      </c>
      <c r="AC384" s="105">
        <v>0</v>
      </c>
      <c r="AD384" s="104">
        <v>0</v>
      </c>
      <c r="AE384" s="104">
        <v>0</v>
      </c>
      <c r="AF384" s="107">
        <v>46265</v>
      </c>
    </row>
    <row r="385" spans="1:32" x14ac:dyDescent="0.25">
      <c r="A385" s="90">
        <v>1011</v>
      </c>
      <c r="B385" s="91" t="s">
        <v>97</v>
      </c>
      <c r="C385" s="29">
        <v>10110066</v>
      </c>
      <c r="D385" s="92" t="s">
        <v>656</v>
      </c>
      <c r="E385" s="93" t="s">
        <v>270</v>
      </c>
      <c r="F385" s="93" t="s">
        <v>230</v>
      </c>
      <c r="G385" s="109">
        <v>558.80000000000007</v>
      </c>
      <c r="H385" s="109">
        <v>24347.619999999995</v>
      </c>
      <c r="I385" s="95">
        <v>0</v>
      </c>
      <c r="J385" s="95">
        <v>0</v>
      </c>
      <c r="K385" s="95">
        <v>0</v>
      </c>
      <c r="L385" s="95">
        <v>0</v>
      </c>
      <c r="M385" s="96">
        <v>0</v>
      </c>
      <c r="N385" s="97">
        <v>0</v>
      </c>
      <c r="O385" s="98">
        <v>0</v>
      </c>
      <c r="P385" s="33"/>
      <c r="Q385" s="99" t="s">
        <v>1198</v>
      </c>
      <c r="R385" s="100"/>
      <c r="S385" s="101">
        <v>-1.9712809711996609E-2</v>
      </c>
      <c r="T385" s="102">
        <v>14</v>
      </c>
      <c r="U385" s="103">
        <v>0</v>
      </c>
      <c r="V385" s="103">
        <v>0</v>
      </c>
      <c r="W385" s="104">
        <v>0</v>
      </c>
      <c r="X385" s="19"/>
      <c r="Y385" s="103">
        <v>0</v>
      </c>
      <c r="Z385" s="103">
        <v>0</v>
      </c>
      <c r="AA385" s="105">
        <v>0</v>
      </c>
      <c r="AB385" s="106">
        <v>0</v>
      </c>
      <c r="AC385" s="105">
        <v>0</v>
      </c>
      <c r="AD385" s="104">
        <v>0</v>
      </c>
      <c r="AE385" s="104">
        <v>0</v>
      </c>
      <c r="AF385" s="107">
        <v>46265</v>
      </c>
    </row>
    <row r="386" spans="1:32" x14ac:dyDescent="0.25">
      <c r="A386" s="90">
        <v>1011</v>
      </c>
      <c r="B386" s="91" t="s">
        <v>97</v>
      </c>
      <c r="C386" s="112">
        <v>10110071</v>
      </c>
      <c r="D386" s="92" t="s">
        <v>657</v>
      </c>
      <c r="E386" s="93" t="s">
        <v>270</v>
      </c>
      <c r="F386" s="93" t="s">
        <v>230</v>
      </c>
      <c r="G386" s="109">
        <v>122.4</v>
      </c>
      <c r="H386" s="109">
        <v>4273.83</v>
      </c>
      <c r="I386" s="95">
        <v>0</v>
      </c>
      <c r="J386" s="95">
        <v>0</v>
      </c>
      <c r="K386" s="95">
        <v>500</v>
      </c>
      <c r="L386" s="95">
        <v>0</v>
      </c>
      <c r="M386" s="96">
        <v>0</v>
      </c>
      <c r="N386" s="97">
        <v>0</v>
      </c>
      <c r="O386" s="98">
        <v>0</v>
      </c>
      <c r="P386" s="33"/>
      <c r="Q386" s="99" t="s">
        <v>1198</v>
      </c>
      <c r="R386" s="100"/>
      <c r="S386" s="101">
        <v>-6.2440480786554585E-2</v>
      </c>
      <c r="T386" s="102">
        <v>1</v>
      </c>
      <c r="U386" s="103">
        <v>0</v>
      </c>
      <c r="V386" s="103">
        <v>0</v>
      </c>
      <c r="W386" s="104">
        <v>0</v>
      </c>
      <c r="X386" s="19"/>
      <c r="Y386" s="103">
        <v>500</v>
      </c>
      <c r="Z386" s="103">
        <v>0</v>
      </c>
      <c r="AA386" s="105">
        <v>0</v>
      </c>
      <c r="AB386" s="106">
        <v>500</v>
      </c>
      <c r="AC386" s="105">
        <v>500</v>
      </c>
      <c r="AD386" s="104">
        <v>0</v>
      </c>
      <c r="AE386" s="104">
        <v>0</v>
      </c>
      <c r="AF386" s="107">
        <v>46265</v>
      </c>
    </row>
    <row r="387" spans="1:32" x14ac:dyDescent="0.25">
      <c r="A387" s="90">
        <v>1011</v>
      </c>
      <c r="B387" s="91" t="s">
        <v>97</v>
      </c>
      <c r="C387" s="29">
        <v>10110073</v>
      </c>
      <c r="D387" s="92" t="s">
        <v>658</v>
      </c>
      <c r="E387" s="93" t="s">
        <v>270</v>
      </c>
      <c r="F387" s="93" t="s">
        <v>230</v>
      </c>
      <c r="G387" s="109">
        <v>142.5</v>
      </c>
      <c r="H387" s="109">
        <v>5702.96</v>
      </c>
      <c r="I387" s="95">
        <v>0</v>
      </c>
      <c r="J387" s="95">
        <v>0</v>
      </c>
      <c r="K387" s="95">
        <v>500</v>
      </c>
      <c r="L387" s="95">
        <v>0</v>
      </c>
      <c r="M387" s="96">
        <v>0</v>
      </c>
      <c r="N387" s="97">
        <v>0</v>
      </c>
      <c r="O387" s="98">
        <v>0</v>
      </c>
      <c r="P387" s="33"/>
      <c r="Q387" s="99" t="s">
        <v>1198</v>
      </c>
      <c r="R387" s="100"/>
      <c r="S387" s="101">
        <v>-8.0561673236354381E-2</v>
      </c>
      <c r="T387" s="102">
        <v>3</v>
      </c>
      <c r="U387" s="103">
        <v>0</v>
      </c>
      <c r="V387" s="103">
        <v>0</v>
      </c>
      <c r="W387" s="104">
        <v>0</v>
      </c>
      <c r="X387" s="19"/>
      <c r="Y387" s="103">
        <v>500</v>
      </c>
      <c r="Z387" s="103">
        <v>0</v>
      </c>
      <c r="AA387" s="105">
        <v>0</v>
      </c>
      <c r="AB387" s="106">
        <v>500</v>
      </c>
      <c r="AC387" s="105">
        <v>500</v>
      </c>
      <c r="AD387" s="104">
        <v>0</v>
      </c>
      <c r="AE387" s="104">
        <v>0</v>
      </c>
      <c r="AF387" s="107">
        <v>46265</v>
      </c>
    </row>
    <row r="388" spans="1:32" x14ac:dyDescent="0.25">
      <c r="A388" s="90">
        <v>1011</v>
      </c>
      <c r="B388" s="91" t="s">
        <v>97</v>
      </c>
      <c r="C388" s="29">
        <v>10110076</v>
      </c>
      <c r="D388" s="92" t="s">
        <v>113</v>
      </c>
      <c r="E388" s="93" t="s">
        <v>270</v>
      </c>
      <c r="F388" s="93" t="s">
        <v>230</v>
      </c>
      <c r="G388" s="109">
        <v>2001.9</v>
      </c>
      <c r="H388" s="109">
        <v>86685.780000000013</v>
      </c>
      <c r="I388" s="95">
        <v>0</v>
      </c>
      <c r="J388" s="95">
        <v>19500</v>
      </c>
      <c r="K388" s="95">
        <v>0</v>
      </c>
      <c r="L388" s="95">
        <v>0</v>
      </c>
      <c r="M388" s="96">
        <v>0</v>
      </c>
      <c r="N388" s="97">
        <v>0</v>
      </c>
      <c r="O388" s="98">
        <v>0</v>
      </c>
      <c r="P388" s="33"/>
      <c r="Q388" s="99" t="s">
        <v>1198</v>
      </c>
      <c r="R388" s="100"/>
      <c r="S388" s="101">
        <v>-9.2083615098116217E-2</v>
      </c>
      <c r="T388" s="102">
        <v>14</v>
      </c>
      <c r="U388" s="103">
        <v>0</v>
      </c>
      <c r="V388" s="103">
        <v>0</v>
      </c>
      <c r="W388" s="104">
        <v>0</v>
      </c>
      <c r="X388" s="19"/>
      <c r="Y388" s="103">
        <v>0</v>
      </c>
      <c r="Z388" s="103">
        <v>0</v>
      </c>
      <c r="AA388" s="105">
        <v>0</v>
      </c>
      <c r="AB388" s="106">
        <v>0</v>
      </c>
      <c r="AC388" s="105">
        <v>0</v>
      </c>
      <c r="AD388" s="104">
        <v>0</v>
      </c>
      <c r="AE388" s="104">
        <v>0</v>
      </c>
      <c r="AF388" s="107">
        <v>46265</v>
      </c>
    </row>
    <row r="389" spans="1:32" x14ac:dyDescent="0.25">
      <c r="A389" s="90">
        <v>1011</v>
      </c>
      <c r="B389" s="91" t="s">
        <v>97</v>
      </c>
      <c r="C389" s="29">
        <v>10110078</v>
      </c>
      <c r="D389" s="92" t="s">
        <v>659</v>
      </c>
      <c r="E389" s="93" t="s">
        <v>275</v>
      </c>
      <c r="F389" s="93" t="s">
        <v>231</v>
      </c>
      <c r="G389" s="109">
        <v>253</v>
      </c>
      <c r="H389" s="109">
        <v>9836.25</v>
      </c>
      <c r="I389" s="95">
        <v>0</v>
      </c>
      <c r="J389" s="95">
        <v>0</v>
      </c>
      <c r="K389" s="95">
        <v>0</v>
      </c>
      <c r="L389" s="95">
        <v>0</v>
      </c>
      <c r="M389" s="96">
        <v>0</v>
      </c>
      <c r="N389" s="97" t="s">
        <v>331</v>
      </c>
      <c r="O389" s="98">
        <v>0</v>
      </c>
      <c r="P389" s="33" t="s">
        <v>660</v>
      </c>
      <c r="Q389" s="99" t="s">
        <v>1198</v>
      </c>
      <c r="R389" s="100"/>
      <c r="S389" s="101">
        <v>0</v>
      </c>
      <c r="T389" s="102">
        <v>0</v>
      </c>
      <c r="U389" s="103">
        <v>0</v>
      </c>
      <c r="V389" s="103">
        <v>0</v>
      </c>
      <c r="W389" s="104">
        <v>0</v>
      </c>
      <c r="X389" s="19"/>
      <c r="Y389" s="103">
        <v>0</v>
      </c>
      <c r="Z389" s="103">
        <v>0</v>
      </c>
      <c r="AA389" s="105">
        <v>0</v>
      </c>
      <c r="AB389" s="106">
        <v>0</v>
      </c>
      <c r="AC389" s="105">
        <v>0</v>
      </c>
      <c r="AD389" s="104">
        <v>0</v>
      </c>
      <c r="AE389" s="104">
        <v>0</v>
      </c>
      <c r="AF389" s="107">
        <v>46265</v>
      </c>
    </row>
    <row r="390" spans="1:32" x14ac:dyDescent="0.25">
      <c r="A390" s="90">
        <v>1011</v>
      </c>
      <c r="B390" s="91" t="s">
        <v>97</v>
      </c>
      <c r="C390" s="29">
        <v>10110083</v>
      </c>
      <c r="D390" s="92" t="s">
        <v>661</v>
      </c>
      <c r="E390" s="93" t="s">
        <v>270</v>
      </c>
      <c r="F390" s="93" t="s">
        <v>230</v>
      </c>
      <c r="G390" s="109">
        <v>180.6</v>
      </c>
      <c r="H390" s="109">
        <v>7021.4300000000012</v>
      </c>
      <c r="I390" s="95">
        <v>0</v>
      </c>
      <c r="J390" s="95">
        <v>0</v>
      </c>
      <c r="K390" s="95">
        <v>0</v>
      </c>
      <c r="L390" s="95">
        <v>0</v>
      </c>
      <c r="M390" s="96">
        <v>0</v>
      </c>
      <c r="N390" s="97">
        <v>0</v>
      </c>
      <c r="O390" s="98">
        <v>0</v>
      </c>
      <c r="P390" s="33"/>
      <c r="Q390" s="99" t="s">
        <v>1198</v>
      </c>
      <c r="R390" s="100"/>
      <c r="S390" s="101">
        <v>-3.3238243491710256E-2</v>
      </c>
      <c r="T390" s="102">
        <v>1</v>
      </c>
      <c r="U390" s="103">
        <v>0</v>
      </c>
      <c r="V390" s="103">
        <v>0</v>
      </c>
      <c r="W390" s="104">
        <v>0</v>
      </c>
      <c r="X390" s="19"/>
      <c r="Y390" s="103">
        <v>0</v>
      </c>
      <c r="Z390" s="103">
        <v>0</v>
      </c>
      <c r="AA390" s="105">
        <v>0</v>
      </c>
      <c r="AB390" s="106">
        <v>0</v>
      </c>
      <c r="AC390" s="105">
        <v>0</v>
      </c>
      <c r="AD390" s="104">
        <v>0</v>
      </c>
      <c r="AE390" s="104">
        <v>0</v>
      </c>
      <c r="AF390" s="107">
        <v>46265</v>
      </c>
    </row>
    <row r="391" spans="1:32" x14ac:dyDescent="0.25">
      <c r="A391" s="90">
        <v>1011</v>
      </c>
      <c r="B391" s="91" t="s">
        <v>97</v>
      </c>
      <c r="C391" s="29">
        <v>10110086</v>
      </c>
      <c r="D391" s="92" t="s">
        <v>130</v>
      </c>
      <c r="E391" s="93" t="s">
        <v>270</v>
      </c>
      <c r="F391" s="93" t="s">
        <v>230</v>
      </c>
      <c r="G391" s="109">
        <v>218.4</v>
      </c>
      <c r="H391" s="109">
        <v>8779.2800000000007</v>
      </c>
      <c r="I391" s="95">
        <v>0</v>
      </c>
      <c r="J391" s="95">
        <v>8637</v>
      </c>
      <c r="K391" s="95">
        <v>0</v>
      </c>
      <c r="L391" s="95">
        <v>0</v>
      </c>
      <c r="M391" s="96">
        <v>35</v>
      </c>
      <c r="N391" s="97" t="s">
        <v>331</v>
      </c>
      <c r="O391" s="98">
        <v>1</v>
      </c>
      <c r="P391" s="33" t="s">
        <v>332</v>
      </c>
      <c r="Q391" s="99" t="s">
        <v>1198</v>
      </c>
      <c r="R391" s="100"/>
      <c r="S391" s="101">
        <v>3.9285681741556937E-3</v>
      </c>
      <c r="T391" s="102">
        <v>4</v>
      </c>
      <c r="U391" s="103">
        <v>12488</v>
      </c>
      <c r="V391" s="103">
        <v>0</v>
      </c>
      <c r="W391" s="104">
        <v>12488</v>
      </c>
      <c r="X391" s="19"/>
      <c r="Y391" s="103">
        <v>0</v>
      </c>
      <c r="Z391" s="103">
        <v>0</v>
      </c>
      <c r="AA391" s="105">
        <v>0</v>
      </c>
      <c r="AB391" s="106">
        <v>0</v>
      </c>
      <c r="AC391" s="105">
        <v>0</v>
      </c>
      <c r="AD391" s="104">
        <v>0</v>
      </c>
      <c r="AE391" s="104">
        <v>0</v>
      </c>
      <c r="AF391" s="107">
        <v>46265</v>
      </c>
    </row>
    <row r="392" spans="1:32" x14ac:dyDescent="0.25">
      <c r="A392" s="90">
        <v>1054</v>
      </c>
      <c r="B392" s="91" t="s">
        <v>1192</v>
      </c>
      <c r="C392" s="29">
        <v>10110093</v>
      </c>
      <c r="D392" s="92" t="s">
        <v>662</v>
      </c>
      <c r="E392" s="93" t="s">
        <v>270</v>
      </c>
      <c r="F392" s="93" t="s">
        <v>230</v>
      </c>
      <c r="G392" s="109">
        <v>335.7</v>
      </c>
      <c r="H392" s="109">
        <v>13823.490000000002</v>
      </c>
      <c r="I392" s="95">
        <v>0</v>
      </c>
      <c r="J392" s="95">
        <v>0</v>
      </c>
      <c r="K392" s="95">
        <v>0</v>
      </c>
      <c r="L392" s="95">
        <v>0</v>
      </c>
      <c r="M392" s="96">
        <v>1</v>
      </c>
      <c r="N392" s="97">
        <v>0</v>
      </c>
      <c r="O392" s="98">
        <v>1</v>
      </c>
      <c r="P392" s="33"/>
      <c r="Q392" s="99" t="s">
        <v>1198</v>
      </c>
      <c r="R392" s="100"/>
      <c r="S392" s="101">
        <v>-0.15666521261996774</v>
      </c>
      <c r="T392" s="102">
        <v>4</v>
      </c>
      <c r="U392" s="103">
        <v>0</v>
      </c>
      <c r="V392" s="103">
        <v>0</v>
      </c>
      <c r="W392" s="104">
        <v>0</v>
      </c>
      <c r="X392" s="19"/>
      <c r="Y392" s="103">
        <v>0</v>
      </c>
      <c r="Z392" s="103">
        <v>0</v>
      </c>
      <c r="AA392" s="105">
        <v>0</v>
      </c>
      <c r="AB392" s="106">
        <v>0</v>
      </c>
      <c r="AC392" s="105">
        <v>0</v>
      </c>
      <c r="AD392" s="104">
        <v>0</v>
      </c>
      <c r="AE392" s="104">
        <v>0</v>
      </c>
      <c r="AF392" s="107">
        <v>46265</v>
      </c>
    </row>
    <row r="393" spans="1:32" x14ac:dyDescent="0.25">
      <c r="A393" s="90">
        <v>1011</v>
      </c>
      <c r="B393" s="91" t="s">
        <v>97</v>
      </c>
      <c r="C393" s="29">
        <v>10110094</v>
      </c>
      <c r="D393" s="92" t="s">
        <v>663</v>
      </c>
      <c r="E393" s="93" t="s">
        <v>270</v>
      </c>
      <c r="F393" s="93" t="s">
        <v>230</v>
      </c>
      <c r="G393" s="109">
        <v>363.2</v>
      </c>
      <c r="H393" s="109">
        <v>14515.58</v>
      </c>
      <c r="I393" s="95">
        <v>0</v>
      </c>
      <c r="J393" s="95">
        <v>0</v>
      </c>
      <c r="K393" s="95">
        <v>0</v>
      </c>
      <c r="L393" s="95">
        <v>0</v>
      </c>
      <c r="M393" s="96">
        <v>0</v>
      </c>
      <c r="N393" s="97">
        <v>0</v>
      </c>
      <c r="O393" s="98">
        <v>0</v>
      </c>
      <c r="P393" s="33"/>
      <c r="Q393" s="99" t="s">
        <v>1198</v>
      </c>
      <c r="R393" s="100"/>
      <c r="S393" s="101">
        <v>-7.3362552512541545E-3</v>
      </c>
      <c r="T393" s="102">
        <v>11</v>
      </c>
      <c r="U393" s="103">
        <v>0</v>
      </c>
      <c r="V393" s="103">
        <v>0</v>
      </c>
      <c r="W393" s="104">
        <v>0</v>
      </c>
      <c r="X393" s="19"/>
      <c r="Y393" s="103">
        <v>0</v>
      </c>
      <c r="Z393" s="103">
        <v>0</v>
      </c>
      <c r="AA393" s="105">
        <v>0</v>
      </c>
      <c r="AB393" s="106">
        <v>0</v>
      </c>
      <c r="AC393" s="105">
        <v>0</v>
      </c>
      <c r="AD393" s="104">
        <v>0</v>
      </c>
      <c r="AE393" s="104">
        <v>0</v>
      </c>
      <c r="AF393" s="107">
        <v>46265</v>
      </c>
    </row>
    <row r="394" spans="1:32" x14ac:dyDescent="0.25">
      <c r="A394" s="90">
        <v>1011</v>
      </c>
      <c r="B394" s="91" t="s">
        <v>97</v>
      </c>
      <c r="C394" s="29">
        <v>10110095</v>
      </c>
      <c r="D394" s="92" t="s">
        <v>664</v>
      </c>
      <c r="E394" s="93" t="s">
        <v>270</v>
      </c>
      <c r="F394" s="93" t="s">
        <v>230</v>
      </c>
      <c r="G394" s="109">
        <v>254.89999999999998</v>
      </c>
      <c r="H394" s="109">
        <v>11479.050000000001</v>
      </c>
      <c r="I394" s="95">
        <v>0</v>
      </c>
      <c r="J394" s="95">
        <v>0</v>
      </c>
      <c r="K394" s="95">
        <v>0</v>
      </c>
      <c r="L394" s="95">
        <v>0</v>
      </c>
      <c r="M394" s="96">
        <v>67</v>
      </c>
      <c r="N394" s="97">
        <v>0</v>
      </c>
      <c r="O394" s="98">
        <v>1</v>
      </c>
      <c r="P394" s="33"/>
      <c r="Q394" s="99" t="s">
        <v>1198</v>
      </c>
      <c r="R394" s="100"/>
      <c r="S394" s="101">
        <v>5.8010026962163211E-3</v>
      </c>
      <c r="T394" s="102">
        <v>11</v>
      </c>
      <c r="U394" s="103">
        <v>0</v>
      </c>
      <c r="V394" s="103">
        <v>0</v>
      </c>
      <c r="W394" s="104">
        <v>0</v>
      </c>
      <c r="X394" s="19"/>
      <c r="Y394" s="103">
        <v>0</v>
      </c>
      <c r="Z394" s="103">
        <v>0</v>
      </c>
      <c r="AA394" s="105">
        <v>0</v>
      </c>
      <c r="AB394" s="106">
        <v>0</v>
      </c>
      <c r="AC394" s="105">
        <v>0</v>
      </c>
      <c r="AD394" s="104">
        <v>0</v>
      </c>
      <c r="AE394" s="104">
        <v>0</v>
      </c>
      <c r="AF394" s="107">
        <v>46265</v>
      </c>
    </row>
    <row r="395" spans="1:32" x14ac:dyDescent="0.25">
      <c r="A395" s="90">
        <v>1054</v>
      </c>
      <c r="B395" s="91" t="s">
        <v>1192</v>
      </c>
      <c r="C395" s="29">
        <v>10110098</v>
      </c>
      <c r="D395" s="92" t="s">
        <v>665</v>
      </c>
      <c r="E395" s="93" t="s">
        <v>270</v>
      </c>
      <c r="F395" s="93" t="s">
        <v>230</v>
      </c>
      <c r="G395" s="109">
        <v>120.89999999999999</v>
      </c>
      <c r="H395" s="109">
        <v>4760.82</v>
      </c>
      <c r="I395" s="95">
        <v>0</v>
      </c>
      <c r="J395" s="95">
        <v>0</v>
      </c>
      <c r="K395" s="95">
        <v>500</v>
      </c>
      <c r="L395" s="95">
        <v>0</v>
      </c>
      <c r="M395" s="96">
        <v>11</v>
      </c>
      <c r="N395" s="97">
        <v>0</v>
      </c>
      <c r="O395" s="98">
        <v>0</v>
      </c>
      <c r="P395" s="33"/>
      <c r="Q395" s="99" t="s">
        <v>1198</v>
      </c>
      <c r="R395" s="100"/>
      <c r="S395" s="101">
        <v>2.2202057628727214E-3</v>
      </c>
      <c r="T395" s="102">
        <v>1</v>
      </c>
      <c r="U395" s="103">
        <v>0</v>
      </c>
      <c r="V395" s="103">
        <v>0</v>
      </c>
      <c r="W395" s="104">
        <v>0</v>
      </c>
      <c r="X395" s="19"/>
      <c r="Y395" s="103">
        <v>500</v>
      </c>
      <c r="Z395" s="103">
        <v>0</v>
      </c>
      <c r="AA395" s="105">
        <v>0</v>
      </c>
      <c r="AB395" s="106">
        <v>500</v>
      </c>
      <c r="AC395" s="105">
        <v>500</v>
      </c>
      <c r="AD395" s="104">
        <v>0</v>
      </c>
      <c r="AE395" s="104">
        <v>0</v>
      </c>
      <c r="AF395" s="107">
        <v>46265</v>
      </c>
    </row>
    <row r="396" spans="1:32" x14ac:dyDescent="0.25">
      <c r="A396" s="90">
        <v>1054</v>
      </c>
      <c r="B396" s="91" t="s">
        <v>1192</v>
      </c>
      <c r="C396" s="29">
        <v>10110100</v>
      </c>
      <c r="D396" s="92" t="s">
        <v>666</v>
      </c>
      <c r="E396" s="93" t="s">
        <v>270</v>
      </c>
      <c r="F396" s="93" t="s">
        <v>230</v>
      </c>
      <c r="G396" s="109">
        <v>3650.7999999999997</v>
      </c>
      <c r="H396" s="109">
        <v>151878.38</v>
      </c>
      <c r="I396" s="95">
        <v>0</v>
      </c>
      <c r="J396" s="95">
        <v>0</v>
      </c>
      <c r="K396" s="95">
        <v>0</v>
      </c>
      <c r="L396" s="95">
        <v>0</v>
      </c>
      <c r="M396" s="96">
        <v>3569</v>
      </c>
      <c r="N396" s="97">
        <v>0</v>
      </c>
      <c r="O396" s="98">
        <v>1</v>
      </c>
      <c r="P396" s="33"/>
      <c r="Q396" s="99" t="s">
        <v>1198</v>
      </c>
      <c r="R396" s="100"/>
      <c r="S396" s="101">
        <v>2.3491757022954904E-2</v>
      </c>
      <c r="T396" s="102">
        <v>18</v>
      </c>
      <c r="U396" s="103">
        <v>0</v>
      </c>
      <c r="V396" s="103">
        <v>0</v>
      </c>
      <c r="W396" s="104">
        <v>0</v>
      </c>
      <c r="X396" s="19"/>
      <c r="Y396" s="103">
        <v>0</v>
      </c>
      <c r="Z396" s="103">
        <v>0</v>
      </c>
      <c r="AA396" s="105">
        <v>0</v>
      </c>
      <c r="AB396" s="106">
        <v>0</v>
      </c>
      <c r="AC396" s="105">
        <v>0</v>
      </c>
      <c r="AD396" s="104">
        <v>0</v>
      </c>
      <c r="AE396" s="104">
        <v>0</v>
      </c>
      <c r="AF396" s="107">
        <v>46265</v>
      </c>
    </row>
    <row r="397" spans="1:32" x14ac:dyDescent="0.25">
      <c r="A397" s="90">
        <v>1054</v>
      </c>
      <c r="B397" s="91" t="s">
        <v>1192</v>
      </c>
      <c r="C397" s="29">
        <v>10110101</v>
      </c>
      <c r="D397" s="92" t="s">
        <v>667</v>
      </c>
      <c r="E397" s="93" t="s">
        <v>270</v>
      </c>
      <c r="F397" s="93" t="s">
        <v>230</v>
      </c>
      <c r="G397" s="109">
        <v>306.00000000000006</v>
      </c>
      <c r="H397" s="109">
        <v>13444.550000000001</v>
      </c>
      <c r="I397" s="95">
        <v>0</v>
      </c>
      <c r="J397" s="95">
        <v>0</v>
      </c>
      <c r="K397" s="95">
        <v>0</v>
      </c>
      <c r="L397" s="95">
        <v>0</v>
      </c>
      <c r="M397" s="96">
        <v>1</v>
      </c>
      <c r="N397" s="97">
        <v>0</v>
      </c>
      <c r="O397" s="98">
        <v>-1</v>
      </c>
      <c r="P397" s="33"/>
      <c r="Q397" s="99" t="s">
        <v>1198</v>
      </c>
      <c r="R397" s="100"/>
      <c r="S397" s="101">
        <v>8.6280314328235106E-5</v>
      </c>
      <c r="T397" s="102">
        <v>2</v>
      </c>
      <c r="U397" s="103">
        <v>0</v>
      </c>
      <c r="V397" s="103">
        <v>0</v>
      </c>
      <c r="W397" s="104">
        <v>0</v>
      </c>
      <c r="X397" s="19"/>
      <c r="Y397" s="103">
        <v>0</v>
      </c>
      <c r="Z397" s="103">
        <v>0</v>
      </c>
      <c r="AA397" s="105">
        <v>0</v>
      </c>
      <c r="AB397" s="106">
        <v>0</v>
      </c>
      <c r="AC397" s="105">
        <v>0</v>
      </c>
      <c r="AD397" s="104">
        <v>0</v>
      </c>
      <c r="AE397" s="104">
        <v>0</v>
      </c>
      <c r="AF397" s="107">
        <v>46265</v>
      </c>
    </row>
    <row r="398" spans="1:32" x14ac:dyDescent="0.25">
      <c r="A398" s="90">
        <v>1011</v>
      </c>
      <c r="B398" s="91" t="s">
        <v>97</v>
      </c>
      <c r="C398" s="29">
        <v>10110106</v>
      </c>
      <c r="D398" s="92" t="s">
        <v>668</v>
      </c>
      <c r="E398" s="93" t="s">
        <v>270</v>
      </c>
      <c r="F398" s="93" t="s">
        <v>230</v>
      </c>
      <c r="G398" s="109">
        <v>5248.9</v>
      </c>
      <c r="H398" s="109">
        <v>214246.08000000002</v>
      </c>
      <c r="I398" s="95">
        <v>0</v>
      </c>
      <c r="J398" s="95">
        <v>0</v>
      </c>
      <c r="K398" s="95">
        <v>0</v>
      </c>
      <c r="L398" s="95">
        <v>0</v>
      </c>
      <c r="M398" s="96">
        <v>0</v>
      </c>
      <c r="N398" s="97">
        <v>0</v>
      </c>
      <c r="O398" s="98">
        <v>0</v>
      </c>
      <c r="P398" s="33"/>
      <c r="Q398" s="99" t="s">
        <v>1198</v>
      </c>
      <c r="R398" s="100"/>
      <c r="S398" s="101">
        <v>-1.2577266291173237E-2</v>
      </c>
      <c r="T398" s="102">
        <v>16</v>
      </c>
      <c r="U398" s="103">
        <v>0</v>
      </c>
      <c r="V398" s="103">
        <v>0</v>
      </c>
      <c r="W398" s="104">
        <v>0</v>
      </c>
      <c r="X398" s="19"/>
      <c r="Y398" s="103">
        <v>0</v>
      </c>
      <c r="Z398" s="103">
        <v>0</v>
      </c>
      <c r="AA398" s="105">
        <v>0</v>
      </c>
      <c r="AB398" s="106">
        <v>0</v>
      </c>
      <c r="AC398" s="105">
        <v>0</v>
      </c>
      <c r="AD398" s="104">
        <v>0</v>
      </c>
      <c r="AE398" s="104">
        <v>0</v>
      </c>
      <c r="AF398" s="107">
        <v>46265</v>
      </c>
    </row>
    <row r="399" spans="1:32" x14ac:dyDescent="0.25">
      <c r="A399" s="90">
        <v>1054</v>
      </c>
      <c r="B399" s="91" t="s">
        <v>1192</v>
      </c>
      <c r="C399" s="29">
        <v>10110109</v>
      </c>
      <c r="D399" s="92" t="s">
        <v>669</v>
      </c>
      <c r="E399" s="93" t="s">
        <v>270</v>
      </c>
      <c r="F399" s="93" t="s">
        <v>230</v>
      </c>
      <c r="G399" s="109">
        <v>614.6</v>
      </c>
      <c r="H399" s="109">
        <v>24837.919999999998</v>
      </c>
      <c r="I399" s="95">
        <v>0</v>
      </c>
      <c r="J399" s="95">
        <v>0</v>
      </c>
      <c r="K399" s="95">
        <v>0</v>
      </c>
      <c r="L399" s="95">
        <v>0</v>
      </c>
      <c r="M399" s="96">
        <v>0</v>
      </c>
      <c r="N399" s="97">
        <v>0</v>
      </c>
      <c r="O399" s="98">
        <v>0</v>
      </c>
      <c r="P399" s="33"/>
      <c r="Q399" s="99" t="s">
        <v>1198</v>
      </c>
      <c r="R399" s="100"/>
      <c r="S399" s="101">
        <v>-3.191893685139596E-3</v>
      </c>
      <c r="T399" s="102">
        <v>1</v>
      </c>
      <c r="U399" s="103">
        <v>0</v>
      </c>
      <c r="V399" s="103">
        <v>0</v>
      </c>
      <c r="W399" s="104">
        <v>0</v>
      </c>
      <c r="X399" s="19"/>
      <c r="Y399" s="103">
        <v>0</v>
      </c>
      <c r="Z399" s="103">
        <v>0</v>
      </c>
      <c r="AA399" s="105">
        <v>0</v>
      </c>
      <c r="AB399" s="106">
        <v>0</v>
      </c>
      <c r="AC399" s="105">
        <v>0</v>
      </c>
      <c r="AD399" s="104">
        <v>0</v>
      </c>
      <c r="AE399" s="104">
        <v>0</v>
      </c>
      <c r="AF399" s="107">
        <v>46265</v>
      </c>
    </row>
    <row r="400" spans="1:32" x14ac:dyDescent="0.25">
      <c r="A400" s="90">
        <v>1055</v>
      </c>
      <c r="B400" s="91" t="s">
        <v>106</v>
      </c>
      <c r="C400" s="29">
        <v>10110110</v>
      </c>
      <c r="D400" s="92" t="s">
        <v>670</v>
      </c>
      <c r="E400" s="93" t="s">
        <v>270</v>
      </c>
      <c r="F400" s="93" t="s">
        <v>230</v>
      </c>
      <c r="G400" s="109">
        <v>7.2</v>
      </c>
      <c r="H400" s="109">
        <v>307.76</v>
      </c>
      <c r="I400" s="95">
        <v>0</v>
      </c>
      <c r="J400" s="95">
        <v>0</v>
      </c>
      <c r="K400" s="95">
        <v>306</v>
      </c>
      <c r="L400" s="95">
        <v>0</v>
      </c>
      <c r="M400" s="96">
        <v>2</v>
      </c>
      <c r="N400" s="97" t="s">
        <v>285</v>
      </c>
      <c r="O400" s="98">
        <v>0</v>
      </c>
      <c r="P400" s="33" t="s">
        <v>286</v>
      </c>
      <c r="Q400" s="99" t="s">
        <v>1198</v>
      </c>
      <c r="R400" s="100"/>
      <c r="S400" s="101">
        <v>4.7764491811800444E-3</v>
      </c>
      <c r="T400" s="102">
        <v>1</v>
      </c>
      <c r="U400" s="103">
        <v>0</v>
      </c>
      <c r="V400" s="103">
        <v>0</v>
      </c>
      <c r="W400" s="104">
        <v>0</v>
      </c>
      <c r="X400" s="19"/>
      <c r="Y400" s="103">
        <v>500</v>
      </c>
      <c r="Z400" s="103">
        <v>0</v>
      </c>
      <c r="AA400" s="105">
        <v>0</v>
      </c>
      <c r="AB400" s="106">
        <v>500</v>
      </c>
      <c r="AC400" s="105">
        <v>306</v>
      </c>
      <c r="AD400" s="104">
        <v>-194</v>
      </c>
      <c r="AE400" s="104">
        <v>-194</v>
      </c>
      <c r="AF400" s="107">
        <v>46265</v>
      </c>
    </row>
    <row r="401" spans="1:32" x14ac:dyDescent="0.25">
      <c r="A401" s="90">
        <v>1055</v>
      </c>
      <c r="B401" s="91" t="s">
        <v>106</v>
      </c>
      <c r="C401" s="29">
        <v>10110111</v>
      </c>
      <c r="D401" s="92" t="s">
        <v>671</v>
      </c>
      <c r="E401" s="93" t="s">
        <v>270</v>
      </c>
      <c r="F401" s="93" t="s">
        <v>230</v>
      </c>
      <c r="G401" s="109">
        <v>81.2</v>
      </c>
      <c r="H401" s="109">
        <v>4617.8999999999996</v>
      </c>
      <c r="I401" s="95">
        <v>0</v>
      </c>
      <c r="J401" s="95">
        <v>0</v>
      </c>
      <c r="K401" s="95">
        <v>0</v>
      </c>
      <c r="L401" s="95">
        <v>0</v>
      </c>
      <c r="M401" s="96">
        <v>0</v>
      </c>
      <c r="N401" s="97">
        <v>0</v>
      </c>
      <c r="O401" s="98">
        <v>0</v>
      </c>
      <c r="P401" s="33"/>
      <c r="Q401" s="99" t="s">
        <v>1198</v>
      </c>
      <c r="R401" s="100"/>
      <c r="S401" s="101">
        <v>-5.277073994672915E-2</v>
      </c>
      <c r="T401" s="102">
        <v>3</v>
      </c>
      <c r="U401" s="103">
        <v>0</v>
      </c>
      <c r="V401" s="103">
        <v>0</v>
      </c>
      <c r="W401" s="104">
        <v>0</v>
      </c>
      <c r="X401" s="19"/>
      <c r="Y401" s="103">
        <v>0</v>
      </c>
      <c r="Z401" s="103">
        <v>0</v>
      </c>
      <c r="AA401" s="105">
        <v>0</v>
      </c>
      <c r="AB401" s="106">
        <v>0</v>
      </c>
      <c r="AC401" s="105">
        <v>0</v>
      </c>
      <c r="AD401" s="104">
        <v>0</v>
      </c>
      <c r="AE401" s="104">
        <v>0</v>
      </c>
      <c r="AF401" s="107">
        <v>46265</v>
      </c>
    </row>
    <row r="402" spans="1:32" x14ac:dyDescent="0.25">
      <c r="A402" s="90">
        <v>1054</v>
      </c>
      <c r="B402" s="91" t="s">
        <v>1192</v>
      </c>
      <c r="C402" s="29">
        <v>10110112</v>
      </c>
      <c r="D402" s="92" t="s">
        <v>672</v>
      </c>
      <c r="E402" s="93" t="s">
        <v>270</v>
      </c>
      <c r="F402" s="93" t="s">
        <v>230</v>
      </c>
      <c r="G402" s="109">
        <v>238.3</v>
      </c>
      <c r="H402" s="109">
        <v>8892.6200000000008</v>
      </c>
      <c r="I402" s="95">
        <v>0</v>
      </c>
      <c r="J402" s="95">
        <v>0</v>
      </c>
      <c r="K402" s="95">
        <v>500</v>
      </c>
      <c r="L402" s="95">
        <v>0</v>
      </c>
      <c r="M402" s="96">
        <v>0</v>
      </c>
      <c r="N402" s="97">
        <v>0</v>
      </c>
      <c r="O402" s="98">
        <v>0</v>
      </c>
      <c r="P402" s="33"/>
      <c r="Q402" s="99" t="s">
        <v>1198</v>
      </c>
      <c r="R402" s="100"/>
      <c r="S402" s="101">
        <v>-0.26047891397585843</v>
      </c>
      <c r="T402" s="102">
        <v>1</v>
      </c>
      <c r="U402" s="103">
        <v>0</v>
      </c>
      <c r="V402" s="103">
        <v>0</v>
      </c>
      <c r="W402" s="104">
        <v>0</v>
      </c>
      <c r="X402" s="19"/>
      <c r="Y402" s="103">
        <v>500</v>
      </c>
      <c r="Z402" s="103">
        <v>0</v>
      </c>
      <c r="AA402" s="105">
        <v>0</v>
      </c>
      <c r="AB402" s="106">
        <v>500</v>
      </c>
      <c r="AC402" s="105">
        <v>500</v>
      </c>
      <c r="AD402" s="104">
        <v>0</v>
      </c>
      <c r="AE402" s="104">
        <v>0</v>
      </c>
      <c r="AF402" s="107">
        <v>46265</v>
      </c>
    </row>
    <row r="403" spans="1:32" x14ac:dyDescent="0.25">
      <c r="A403" s="90">
        <v>1054</v>
      </c>
      <c r="B403" s="91" t="s">
        <v>1192</v>
      </c>
      <c r="C403" s="29">
        <v>10110114</v>
      </c>
      <c r="D403" s="92" t="s">
        <v>673</v>
      </c>
      <c r="E403" s="93" t="s">
        <v>270</v>
      </c>
      <c r="F403" s="93" t="s">
        <v>230</v>
      </c>
      <c r="G403" s="109">
        <v>323</v>
      </c>
      <c r="H403" s="109">
        <v>13126.06</v>
      </c>
      <c r="I403" s="95">
        <v>0</v>
      </c>
      <c r="J403" s="95">
        <v>0</v>
      </c>
      <c r="K403" s="95">
        <v>0</v>
      </c>
      <c r="L403" s="95">
        <v>0</v>
      </c>
      <c r="M403" s="96">
        <v>33</v>
      </c>
      <c r="N403" s="97">
        <v>0</v>
      </c>
      <c r="O403" s="98">
        <v>1</v>
      </c>
      <c r="P403" s="33"/>
      <c r="Q403" s="99" t="s">
        <v>1198</v>
      </c>
      <c r="R403" s="100"/>
      <c r="S403" s="101">
        <v>2.4668483916728263E-3</v>
      </c>
      <c r="T403" s="102">
        <v>5</v>
      </c>
      <c r="U403" s="103">
        <v>0</v>
      </c>
      <c r="V403" s="103">
        <v>0</v>
      </c>
      <c r="W403" s="104">
        <v>0</v>
      </c>
      <c r="X403" s="19"/>
      <c r="Y403" s="103">
        <v>0</v>
      </c>
      <c r="Z403" s="103">
        <v>0</v>
      </c>
      <c r="AA403" s="105">
        <v>0</v>
      </c>
      <c r="AB403" s="106">
        <v>0</v>
      </c>
      <c r="AC403" s="105">
        <v>0</v>
      </c>
      <c r="AD403" s="104">
        <v>0</v>
      </c>
      <c r="AE403" s="104">
        <v>0</v>
      </c>
      <c r="AF403" s="107">
        <v>46265</v>
      </c>
    </row>
    <row r="404" spans="1:32" x14ac:dyDescent="0.25">
      <c r="A404" s="90">
        <v>1054</v>
      </c>
      <c r="B404" s="91" t="s">
        <v>1192</v>
      </c>
      <c r="C404" s="29">
        <v>10110116</v>
      </c>
      <c r="D404" s="92" t="s">
        <v>95</v>
      </c>
      <c r="E404" s="93" t="s">
        <v>270</v>
      </c>
      <c r="F404" s="93" t="s">
        <v>230</v>
      </c>
      <c r="G404" s="109">
        <v>663.69999999999993</v>
      </c>
      <c r="H404" s="109">
        <v>26182.36</v>
      </c>
      <c r="I404" s="95">
        <v>0</v>
      </c>
      <c r="J404" s="95">
        <v>0</v>
      </c>
      <c r="K404" s="95">
        <v>0</v>
      </c>
      <c r="L404" s="95">
        <v>0</v>
      </c>
      <c r="M404" s="96">
        <v>0</v>
      </c>
      <c r="N404" s="97">
        <v>0</v>
      </c>
      <c r="O404" s="98">
        <v>0</v>
      </c>
      <c r="P404" s="33"/>
      <c r="Q404" s="99" t="s">
        <v>1198</v>
      </c>
      <c r="R404" s="100"/>
      <c r="S404" s="101">
        <v>-1.0248121254157368E-2</v>
      </c>
      <c r="T404" s="102">
        <v>10</v>
      </c>
      <c r="U404" s="103">
        <v>0</v>
      </c>
      <c r="V404" s="103">
        <v>0</v>
      </c>
      <c r="W404" s="104">
        <v>0</v>
      </c>
      <c r="X404" s="19"/>
      <c r="Y404" s="103">
        <v>0</v>
      </c>
      <c r="Z404" s="103">
        <v>0</v>
      </c>
      <c r="AA404" s="105">
        <v>0</v>
      </c>
      <c r="AB404" s="106">
        <v>0</v>
      </c>
      <c r="AC404" s="105">
        <v>0</v>
      </c>
      <c r="AD404" s="104">
        <v>0</v>
      </c>
      <c r="AE404" s="104">
        <v>0</v>
      </c>
      <c r="AF404" s="107">
        <v>46265</v>
      </c>
    </row>
    <row r="405" spans="1:32" x14ac:dyDescent="0.25">
      <c r="A405" s="90">
        <v>1054</v>
      </c>
      <c r="B405" s="91" t="s">
        <v>1192</v>
      </c>
      <c r="C405" s="29">
        <v>10110118</v>
      </c>
      <c r="D405" s="92" t="s">
        <v>674</v>
      </c>
      <c r="E405" s="93" t="s">
        <v>270</v>
      </c>
      <c r="F405" s="93" t="s">
        <v>230</v>
      </c>
      <c r="G405" s="109">
        <v>468.40000000000009</v>
      </c>
      <c r="H405" s="109">
        <v>19925.920000000006</v>
      </c>
      <c r="I405" s="95">
        <v>0</v>
      </c>
      <c r="J405" s="95">
        <v>0</v>
      </c>
      <c r="K405" s="95">
        <v>0</v>
      </c>
      <c r="L405" s="95">
        <v>0</v>
      </c>
      <c r="M405" s="96">
        <v>0</v>
      </c>
      <c r="N405" s="97">
        <v>0</v>
      </c>
      <c r="O405" s="98">
        <v>0</v>
      </c>
      <c r="P405" s="33"/>
      <c r="Q405" s="99" t="s">
        <v>1198</v>
      </c>
      <c r="R405" s="100"/>
      <c r="S405" s="101">
        <v>-2.7411030456811775E-2</v>
      </c>
      <c r="T405" s="102">
        <v>11</v>
      </c>
      <c r="U405" s="103">
        <v>0</v>
      </c>
      <c r="V405" s="103">
        <v>0</v>
      </c>
      <c r="W405" s="104">
        <v>0</v>
      </c>
      <c r="X405" s="19"/>
      <c r="Y405" s="103">
        <v>0</v>
      </c>
      <c r="Z405" s="103">
        <v>0</v>
      </c>
      <c r="AA405" s="105">
        <v>0</v>
      </c>
      <c r="AB405" s="106">
        <v>0</v>
      </c>
      <c r="AC405" s="105">
        <v>0</v>
      </c>
      <c r="AD405" s="104">
        <v>0</v>
      </c>
      <c r="AE405" s="104">
        <v>0</v>
      </c>
      <c r="AF405" s="107">
        <v>46265</v>
      </c>
    </row>
    <row r="406" spans="1:32" x14ac:dyDescent="0.25">
      <c r="A406" s="90">
        <v>1054</v>
      </c>
      <c r="B406" s="91" t="s">
        <v>1192</v>
      </c>
      <c r="C406" s="29">
        <v>10110119</v>
      </c>
      <c r="D406" s="92" t="s">
        <v>675</v>
      </c>
      <c r="E406" s="93" t="s">
        <v>270</v>
      </c>
      <c r="F406" s="93" t="s">
        <v>230</v>
      </c>
      <c r="G406" s="109">
        <v>437.5</v>
      </c>
      <c r="H406" s="109">
        <v>16632.809999999998</v>
      </c>
      <c r="I406" s="95">
        <v>0</v>
      </c>
      <c r="J406" s="95">
        <v>0</v>
      </c>
      <c r="K406" s="95">
        <v>0</v>
      </c>
      <c r="L406" s="95">
        <v>0</v>
      </c>
      <c r="M406" s="96">
        <v>0</v>
      </c>
      <c r="N406" s="97">
        <v>0</v>
      </c>
      <c r="O406" s="98">
        <v>0</v>
      </c>
      <c r="P406" s="33"/>
      <c r="Q406" s="99" t="s">
        <v>1198</v>
      </c>
      <c r="R406" s="100"/>
      <c r="S406" s="101">
        <v>-1.3286991193927936E-4</v>
      </c>
      <c r="T406" s="102">
        <v>14</v>
      </c>
      <c r="U406" s="103">
        <v>0</v>
      </c>
      <c r="V406" s="103">
        <v>0</v>
      </c>
      <c r="W406" s="104">
        <v>0</v>
      </c>
      <c r="X406" s="19"/>
      <c r="Y406" s="103">
        <v>0</v>
      </c>
      <c r="Z406" s="103">
        <v>0</v>
      </c>
      <c r="AA406" s="105">
        <v>0</v>
      </c>
      <c r="AB406" s="106">
        <v>0</v>
      </c>
      <c r="AC406" s="105">
        <v>0</v>
      </c>
      <c r="AD406" s="104">
        <v>0</v>
      </c>
      <c r="AE406" s="104">
        <v>0</v>
      </c>
      <c r="AF406" s="107">
        <v>46265</v>
      </c>
    </row>
    <row r="407" spans="1:32" x14ac:dyDescent="0.25">
      <c r="A407" s="90">
        <v>1054</v>
      </c>
      <c r="B407" s="91" t="s">
        <v>1192</v>
      </c>
      <c r="C407" s="29">
        <v>10110120</v>
      </c>
      <c r="D407" s="92" t="s">
        <v>676</v>
      </c>
      <c r="E407" s="93" t="s">
        <v>270</v>
      </c>
      <c r="F407" s="93" t="s">
        <v>230</v>
      </c>
      <c r="G407" s="109">
        <v>1028.9999999999998</v>
      </c>
      <c r="H407" s="109">
        <v>48287.270000000011</v>
      </c>
      <c r="I407" s="95">
        <v>0</v>
      </c>
      <c r="J407" s="95">
        <v>0</v>
      </c>
      <c r="K407" s="95">
        <v>0</v>
      </c>
      <c r="L407" s="95">
        <v>0</v>
      </c>
      <c r="M407" s="96">
        <v>0</v>
      </c>
      <c r="N407" s="97">
        <v>0</v>
      </c>
      <c r="O407" s="98">
        <v>0</v>
      </c>
      <c r="P407" s="33"/>
      <c r="Q407" s="99" t="s">
        <v>1198</v>
      </c>
      <c r="R407" s="100"/>
      <c r="S407" s="101">
        <v>-9.8576705620234076E-5</v>
      </c>
      <c r="T407" s="102">
        <v>10</v>
      </c>
      <c r="U407" s="103">
        <v>0</v>
      </c>
      <c r="V407" s="103">
        <v>0</v>
      </c>
      <c r="W407" s="104">
        <v>0</v>
      </c>
      <c r="X407" s="19"/>
      <c r="Y407" s="103">
        <v>0</v>
      </c>
      <c r="Z407" s="103">
        <v>0</v>
      </c>
      <c r="AA407" s="105">
        <v>0</v>
      </c>
      <c r="AB407" s="106">
        <v>0</v>
      </c>
      <c r="AC407" s="105">
        <v>0</v>
      </c>
      <c r="AD407" s="104">
        <v>0</v>
      </c>
      <c r="AE407" s="104">
        <v>0</v>
      </c>
      <c r="AF407" s="107">
        <v>46265</v>
      </c>
    </row>
    <row r="408" spans="1:32" x14ac:dyDescent="0.25">
      <c r="A408" s="90">
        <v>1054</v>
      </c>
      <c r="B408" s="91" t="s">
        <v>1192</v>
      </c>
      <c r="C408" s="29">
        <v>10110121</v>
      </c>
      <c r="D408" s="92" t="s">
        <v>677</v>
      </c>
      <c r="E408" s="93" t="s">
        <v>270</v>
      </c>
      <c r="F408" s="93" t="s">
        <v>230</v>
      </c>
      <c r="G408" s="109">
        <v>336.50000000000006</v>
      </c>
      <c r="H408" s="109">
        <v>13113.1</v>
      </c>
      <c r="I408" s="95">
        <v>0</v>
      </c>
      <c r="J408" s="95">
        <v>0</v>
      </c>
      <c r="K408" s="95">
        <v>0</v>
      </c>
      <c r="L408" s="95">
        <v>0</v>
      </c>
      <c r="M408" s="96">
        <v>0</v>
      </c>
      <c r="N408" s="97">
        <v>0</v>
      </c>
      <c r="O408" s="98">
        <v>0</v>
      </c>
      <c r="P408" s="33"/>
      <c r="Q408" s="99" t="s">
        <v>1198</v>
      </c>
      <c r="R408" s="100"/>
      <c r="S408" s="101">
        <v>-2.7430584682492997E-2</v>
      </c>
      <c r="T408" s="102">
        <v>1</v>
      </c>
      <c r="U408" s="103">
        <v>0</v>
      </c>
      <c r="V408" s="103">
        <v>0</v>
      </c>
      <c r="W408" s="104">
        <v>0</v>
      </c>
      <c r="X408" s="19"/>
      <c r="Y408" s="103">
        <v>0</v>
      </c>
      <c r="Z408" s="103">
        <v>0</v>
      </c>
      <c r="AA408" s="105">
        <v>0</v>
      </c>
      <c r="AB408" s="106">
        <v>0</v>
      </c>
      <c r="AC408" s="105">
        <v>0</v>
      </c>
      <c r="AD408" s="104">
        <v>0</v>
      </c>
      <c r="AE408" s="104">
        <v>0</v>
      </c>
      <c r="AF408" s="107">
        <v>46265</v>
      </c>
    </row>
    <row r="409" spans="1:32" x14ac:dyDescent="0.25">
      <c r="A409" s="90">
        <v>1055</v>
      </c>
      <c r="B409" s="91" t="s">
        <v>106</v>
      </c>
      <c r="C409" s="29">
        <v>10110123</v>
      </c>
      <c r="D409" s="92" t="s">
        <v>137</v>
      </c>
      <c r="E409" s="93" t="s">
        <v>270</v>
      </c>
      <c r="F409" s="93" t="s">
        <v>230</v>
      </c>
      <c r="G409" s="109">
        <v>919.90000000000009</v>
      </c>
      <c r="H409" s="109">
        <v>39372.329999999994</v>
      </c>
      <c r="I409" s="95">
        <v>0</v>
      </c>
      <c r="J409" s="95">
        <v>5600</v>
      </c>
      <c r="K409" s="95">
        <v>0</v>
      </c>
      <c r="L409" s="95">
        <v>0</v>
      </c>
      <c r="M409" s="96">
        <v>11</v>
      </c>
      <c r="N409" s="97">
        <v>0</v>
      </c>
      <c r="O409" s="98">
        <v>-2</v>
      </c>
      <c r="P409" s="33"/>
      <c r="Q409" s="99" t="s">
        <v>1198</v>
      </c>
      <c r="R409" s="100"/>
      <c r="S409" s="101">
        <v>3.3170503244296055E-4</v>
      </c>
      <c r="T409" s="102">
        <v>15</v>
      </c>
      <c r="U409" s="103">
        <v>0</v>
      </c>
      <c r="V409" s="103">
        <v>0</v>
      </c>
      <c r="W409" s="104">
        <v>0</v>
      </c>
      <c r="X409" s="19"/>
      <c r="Y409" s="103">
        <v>0</v>
      </c>
      <c r="Z409" s="103">
        <v>0</v>
      </c>
      <c r="AA409" s="105">
        <v>0</v>
      </c>
      <c r="AB409" s="106">
        <v>0</v>
      </c>
      <c r="AC409" s="105">
        <v>0</v>
      </c>
      <c r="AD409" s="104">
        <v>0</v>
      </c>
      <c r="AE409" s="104">
        <v>0</v>
      </c>
      <c r="AF409" s="107">
        <v>46265</v>
      </c>
    </row>
    <row r="410" spans="1:32" x14ac:dyDescent="0.25">
      <c r="A410" s="90">
        <v>1055</v>
      </c>
      <c r="B410" s="91" t="s">
        <v>106</v>
      </c>
      <c r="C410" s="29">
        <v>10110124</v>
      </c>
      <c r="D410" s="92" t="s">
        <v>117</v>
      </c>
      <c r="E410" s="93" t="s">
        <v>270</v>
      </c>
      <c r="F410" s="93" t="s">
        <v>230</v>
      </c>
      <c r="G410" s="109">
        <v>1122.6999999999998</v>
      </c>
      <c r="H410" s="109">
        <v>49179.25</v>
      </c>
      <c r="I410" s="95">
        <v>0</v>
      </c>
      <c r="J410" s="95">
        <v>1400</v>
      </c>
      <c r="K410" s="95">
        <v>0</v>
      </c>
      <c r="L410" s="95">
        <v>0</v>
      </c>
      <c r="M410" s="96">
        <v>831</v>
      </c>
      <c r="N410" s="97">
        <v>0</v>
      </c>
      <c r="O410" s="98">
        <v>1</v>
      </c>
      <c r="P410" s="33"/>
      <c r="Q410" s="99" t="s">
        <v>1198</v>
      </c>
      <c r="R410" s="100"/>
      <c r="S410" s="101">
        <v>1.6889643498019902E-2</v>
      </c>
      <c r="T410" s="102">
        <v>14</v>
      </c>
      <c r="U410" s="103">
        <v>0</v>
      </c>
      <c r="V410" s="103">
        <v>0</v>
      </c>
      <c r="W410" s="104">
        <v>0</v>
      </c>
      <c r="X410" s="19"/>
      <c r="Y410" s="103">
        <v>0</v>
      </c>
      <c r="Z410" s="103">
        <v>0</v>
      </c>
      <c r="AA410" s="105">
        <v>0</v>
      </c>
      <c r="AB410" s="106">
        <v>0</v>
      </c>
      <c r="AC410" s="105">
        <v>0</v>
      </c>
      <c r="AD410" s="104">
        <v>0</v>
      </c>
      <c r="AE410" s="104">
        <v>0</v>
      </c>
      <c r="AF410" s="107">
        <v>46265</v>
      </c>
    </row>
    <row r="411" spans="1:32" x14ac:dyDescent="0.25">
      <c r="A411" s="90">
        <v>1055</v>
      </c>
      <c r="B411" s="91" t="s">
        <v>106</v>
      </c>
      <c r="C411" s="29">
        <v>10110128</v>
      </c>
      <c r="D411" s="92" t="s">
        <v>678</v>
      </c>
      <c r="E411" s="93" t="s">
        <v>270</v>
      </c>
      <c r="F411" s="93" t="s">
        <v>230</v>
      </c>
      <c r="G411" s="109">
        <v>232.1</v>
      </c>
      <c r="H411" s="109">
        <v>9872.91</v>
      </c>
      <c r="I411" s="95">
        <v>0</v>
      </c>
      <c r="J411" s="95">
        <v>0</v>
      </c>
      <c r="K411" s="95">
        <v>0</v>
      </c>
      <c r="L411" s="95">
        <v>0</v>
      </c>
      <c r="M411" s="96">
        <v>156</v>
      </c>
      <c r="N411" s="97">
        <v>0</v>
      </c>
      <c r="O411" s="98">
        <v>-1</v>
      </c>
      <c r="P411" s="33"/>
      <c r="Q411" s="99" t="s">
        <v>1198</v>
      </c>
      <c r="R411" s="100"/>
      <c r="S411" s="101">
        <v>1.5957807779064238E-2</v>
      </c>
      <c r="T411" s="102">
        <v>9</v>
      </c>
      <c r="U411" s="103">
        <v>0</v>
      </c>
      <c r="V411" s="103">
        <v>0</v>
      </c>
      <c r="W411" s="104">
        <v>0</v>
      </c>
      <c r="X411" s="19"/>
      <c r="Y411" s="103">
        <v>0</v>
      </c>
      <c r="Z411" s="103">
        <v>0</v>
      </c>
      <c r="AA411" s="105">
        <v>0</v>
      </c>
      <c r="AB411" s="106">
        <v>0</v>
      </c>
      <c r="AC411" s="105">
        <v>0</v>
      </c>
      <c r="AD411" s="104">
        <v>0</v>
      </c>
      <c r="AE411" s="104">
        <v>0</v>
      </c>
      <c r="AF411" s="107">
        <v>46265</v>
      </c>
    </row>
    <row r="412" spans="1:32" x14ac:dyDescent="0.25">
      <c r="A412" s="90">
        <v>1054</v>
      </c>
      <c r="B412" s="91" t="s">
        <v>1192</v>
      </c>
      <c r="C412" s="29">
        <v>10110129</v>
      </c>
      <c r="D412" s="92" t="s">
        <v>679</v>
      </c>
      <c r="E412" s="93" t="s">
        <v>270</v>
      </c>
      <c r="F412" s="93" t="s">
        <v>230</v>
      </c>
      <c r="G412" s="109">
        <v>628.80000000000018</v>
      </c>
      <c r="H412" s="109">
        <v>24159.94</v>
      </c>
      <c r="I412" s="95">
        <v>0</v>
      </c>
      <c r="J412" s="95">
        <v>0</v>
      </c>
      <c r="K412" s="95">
        <v>0</v>
      </c>
      <c r="L412" s="95">
        <v>0</v>
      </c>
      <c r="M412" s="96">
        <v>0</v>
      </c>
      <c r="N412" s="97">
        <v>0</v>
      </c>
      <c r="O412" s="98">
        <v>0</v>
      </c>
      <c r="P412" s="33"/>
      <c r="Q412" s="99" t="s">
        <v>1198</v>
      </c>
      <c r="R412" s="100"/>
      <c r="S412" s="101">
        <v>-0.2998600162086496</v>
      </c>
      <c r="T412" s="102">
        <v>4</v>
      </c>
      <c r="U412" s="103">
        <v>0</v>
      </c>
      <c r="V412" s="103">
        <v>0</v>
      </c>
      <c r="W412" s="104">
        <v>0</v>
      </c>
      <c r="X412" s="19"/>
      <c r="Y412" s="103">
        <v>0</v>
      </c>
      <c r="Z412" s="103">
        <v>0</v>
      </c>
      <c r="AA412" s="105">
        <v>0</v>
      </c>
      <c r="AB412" s="106">
        <v>0</v>
      </c>
      <c r="AC412" s="105">
        <v>0</v>
      </c>
      <c r="AD412" s="104">
        <v>0</v>
      </c>
      <c r="AE412" s="104">
        <v>0</v>
      </c>
      <c r="AF412" s="107">
        <v>46265</v>
      </c>
    </row>
    <row r="413" spans="1:32" x14ac:dyDescent="0.25">
      <c r="A413" s="90">
        <v>1054</v>
      </c>
      <c r="B413" s="91" t="s">
        <v>1192</v>
      </c>
      <c r="C413" s="29">
        <v>10110132</v>
      </c>
      <c r="D413" s="92" t="s">
        <v>680</v>
      </c>
      <c r="E413" s="93" t="s">
        <v>270</v>
      </c>
      <c r="F413" s="93" t="s">
        <v>230</v>
      </c>
      <c r="G413" s="109">
        <v>325.3</v>
      </c>
      <c r="H413" s="109">
        <v>13595.060000000001</v>
      </c>
      <c r="I413" s="95">
        <v>0</v>
      </c>
      <c r="J413" s="95">
        <v>0</v>
      </c>
      <c r="K413" s="95">
        <v>500</v>
      </c>
      <c r="L413" s="95">
        <v>0</v>
      </c>
      <c r="M413" s="96">
        <v>0</v>
      </c>
      <c r="N413" s="97">
        <v>0</v>
      </c>
      <c r="O413" s="98">
        <v>0</v>
      </c>
      <c r="P413" s="33"/>
      <c r="Q413" s="99" t="s">
        <v>1198</v>
      </c>
      <c r="R413" s="100"/>
      <c r="S413" s="101">
        <v>-4.0952375348104246E-2</v>
      </c>
      <c r="T413" s="102">
        <v>10</v>
      </c>
      <c r="U413" s="103">
        <v>0</v>
      </c>
      <c r="V413" s="103">
        <v>0</v>
      </c>
      <c r="W413" s="104">
        <v>0</v>
      </c>
      <c r="X413" s="19"/>
      <c r="Y413" s="103">
        <v>500</v>
      </c>
      <c r="Z413" s="103">
        <v>0</v>
      </c>
      <c r="AA413" s="105">
        <v>0</v>
      </c>
      <c r="AB413" s="106">
        <v>500</v>
      </c>
      <c r="AC413" s="105">
        <v>500</v>
      </c>
      <c r="AD413" s="104">
        <v>0</v>
      </c>
      <c r="AE413" s="104">
        <v>0</v>
      </c>
      <c r="AF413" s="107">
        <v>46265</v>
      </c>
    </row>
    <row r="414" spans="1:32" x14ac:dyDescent="0.25">
      <c r="A414" s="90">
        <v>1054</v>
      </c>
      <c r="B414" s="91" t="s">
        <v>1192</v>
      </c>
      <c r="C414" s="29">
        <v>10110133</v>
      </c>
      <c r="D414" s="92" t="s">
        <v>681</v>
      </c>
      <c r="E414" s="93" t="s">
        <v>270</v>
      </c>
      <c r="F414" s="93" t="s">
        <v>230</v>
      </c>
      <c r="G414" s="109">
        <v>2945.3999999999996</v>
      </c>
      <c r="H414" s="109">
        <v>111968.86</v>
      </c>
      <c r="I414" s="95">
        <v>0</v>
      </c>
      <c r="J414" s="95">
        <v>0</v>
      </c>
      <c r="K414" s="95">
        <v>0</v>
      </c>
      <c r="L414" s="95">
        <v>0</v>
      </c>
      <c r="M414" s="96">
        <v>0</v>
      </c>
      <c r="N414" s="97">
        <v>0</v>
      </c>
      <c r="O414" s="98">
        <v>0</v>
      </c>
      <c r="P414" s="33"/>
      <c r="Q414" s="99" t="s">
        <v>1198</v>
      </c>
      <c r="R414" s="100"/>
      <c r="S414" s="101">
        <v>-2.2157053309286249E-2</v>
      </c>
      <c r="T414" s="102">
        <v>1</v>
      </c>
      <c r="U414" s="103">
        <v>0</v>
      </c>
      <c r="V414" s="103">
        <v>0</v>
      </c>
      <c r="W414" s="104">
        <v>0</v>
      </c>
      <c r="X414" s="19"/>
      <c r="Y414" s="103">
        <v>0</v>
      </c>
      <c r="Z414" s="103">
        <v>0</v>
      </c>
      <c r="AA414" s="105">
        <v>0</v>
      </c>
      <c r="AB414" s="106">
        <v>0</v>
      </c>
      <c r="AC414" s="105">
        <v>0</v>
      </c>
      <c r="AD414" s="104">
        <v>0</v>
      </c>
      <c r="AE414" s="104">
        <v>0</v>
      </c>
      <c r="AF414" s="107">
        <v>46265</v>
      </c>
    </row>
    <row r="415" spans="1:32" x14ac:dyDescent="0.25">
      <c r="A415" s="90">
        <v>1054</v>
      </c>
      <c r="B415" s="91" t="s">
        <v>1192</v>
      </c>
      <c r="C415" s="29">
        <v>10110134</v>
      </c>
      <c r="D415" s="92" t="s">
        <v>526</v>
      </c>
      <c r="E415" s="93" t="s">
        <v>270</v>
      </c>
      <c r="F415" s="93" t="s">
        <v>230</v>
      </c>
      <c r="G415" s="109">
        <v>244.6</v>
      </c>
      <c r="H415" s="109">
        <v>10188.630000000001</v>
      </c>
      <c r="I415" s="95">
        <v>0</v>
      </c>
      <c r="J415" s="95">
        <v>0</v>
      </c>
      <c r="K415" s="95">
        <v>0</v>
      </c>
      <c r="L415" s="95">
        <v>0</v>
      </c>
      <c r="M415" s="96">
        <v>0</v>
      </c>
      <c r="N415" s="97">
        <v>0</v>
      </c>
      <c r="O415" s="98">
        <v>0</v>
      </c>
      <c r="P415" s="33"/>
      <c r="Q415" s="99" t="s">
        <v>1198</v>
      </c>
      <c r="R415" s="100"/>
      <c r="S415" s="101">
        <v>-5.1370989033854538E-3</v>
      </c>
      <c r="T415" s="102">
        <v>6</v>
      </c>
      <c r="U415" s="103">
        <v>0</v>
      </c>
      <c r="V415" s="103">
        <v>0</v>
      </c>
      <c r="W415" s="104">
        <v>0</v>
      </c>
      <c r="X415" s="19"/>
      <c r="Y415" s="103">
        <v>0</v>
      </c>
      <c r="Z415" s="103">
        <v>0</v>
      </c>
      <c r="AA415" s="105">
        <v>0</v>
      </c>
      <c r="AB415" s="106">
        <v>0</v>
      </c>
      <c r="AC415" s="105">
        <v>0</v>
      </c>
      <c r="AD415" s="104">
        <v>0</v>
      </c>
      <c r="AE415" s="104">
        <v>0</v>
      </c>
      <c r="AF415" s="107">
        <v>46265</v>
      </c>
    </row>
    <row r="416" spans="1:32" x14ac:dyDescent="0.25">
      <c r="A416" s="90">
        <v>1054</v>
      </c>
      <c r="B416" s="91" t="s">
        <v>1192</v>
      </c>
      <c r="C416" s="29">
        <v>10110135</v>
      </c>
      <c r="D416" s="92" t="s">
        <v>682</v>
      </c>
      <c r="E416" s="93" t="s">
        <v>270</v>
      </c>
      <c r="F416" s="93" t="s">
        <v>230</v>
      </c>
      <c r="G416" s="109">
        <v>894.8</v>
      </c>
      <c r="H416" s="109">
        <v>36162</v>
      </c>
      <c r="I416" s="95">
        <v>0</v>
      </c>
      <c r="J416" s="95">
        <v>0</v>
      </c>
      <c r="K416" s="95">
        <v>0</v>
      </c>
      <c r="L416" s="95">
        <v>0</v>
      </c>
      <c r="M416" s="96">
        <v>0</v>
      </c>
      <c r="N416" s="97">
        <v>0</v>
      </c>
      <c r="O416" s="98">
        <v>0</v>
      </c>
      <c r="P416" s="33"/>
      <c r="Q416" s="99" t="s">
        <v>1198</v>
      </c>
      <c r="R416" s="100"/>
      <c r="S416" s="101">
        <v>-8.4167634533488148E-2</v>
      </c>
      <c r="T416" s="102">
        <v>15</v>
      </c>
      <c r="U416" s="103">
        <v>0</v>
      </c>
      <c r="V416" s="103">
        <v>0</v>
      </c>
      <c r="W416" s="104">
        <v>0</v>
      </c>
      <c r="X416" s="19"/>
      <c r="Y416" s="103">
        <v>0</v>
      </c>
      <c r="Z416" s="103">
        <v>0</v>
      </c>
      <c r="AA416" s="105">
        <v>0</v>
      </c>
      <c r="AB416" s="106">
        <v>0</v>
      </c>
      <c r="AC416" s="105">
        <v>0</v>
      </c>
      <c r="AD416" s="104">
        <v>0</v>
      </c>
      <c r="AE416" s="104">
        <v>0</v>
      </c>
      <c r="AF416" s="107">
        <v>46265</v>
      </c>
    </row>
    <row r="417" spans="1:32" x14ac:dyDescent="0.25">
      <c r="A417" s="90">
        <v>1054</v>
      </c>
      <c r="B417" s="91" t="s">
        <v>1192</v>
      </c>
      <c r="C417" s="29">
        <v>10110140</v>
      </c>
      <c r="D417" s="92" t="s">
        <v>683</v>
      </c>
      <c r="E417" s="93" t="s">
        <v>270</v>
      </c>
      <c r="F417" s="93" t="s">
        <v>230</v>
      </c>
      <c r="G417" s="109">
        <v>85.5</v>
      </c>
      <c r="H417" s="109">
        <v>4188.8500000000004</v>
      </c>
      <c r="I417" s="95">
        <v>0</v>
      </c>
      <c r="J417" s="95">
        <v>0</v>
      </c>
      <c r="K417" s="95">
        <v>0</v>
      </c>
      <c r="L417" s="95">
        <v>0</v>
      </c>
      <c r="M417" s="96">
        <v>0</v>
      </c>
      <c r="N417" s="97" t="s">
        <v>331</v>
      </c>
      <c r="O417" s="98">
        <v>0</v>
      </c>
      <c r="P417" s="33" t="s">
        <v>286</v>
      </c>
      <c r="Q417" s="99" t="s">
        <v>1198</v>
      </c>
      <c r="R417" s="100"/>
      <c r="S417" s="101">
        <v>-1.0919608006970889</v>
      </c>
      <c r="T417" s="102">
        <v>4</v>
      </c>
      <c r="U417" s="103">
        <v>0</v>
      </c>
      <c r="V417" s="103">
        <v>0</v>
      </c>
      <c r="W417" s="104">
        <v>0</v>
      </c>
      <c r="X417" s="19"/>
      <c r="Y417" s="103">
        <v>0</v>
      </c>
      <c r="Z417" s="103">
        <v>0</v>
      </c>
      <c r="AA417" s="105">
        <v>0</v>
      </c>
      <c r="AB417" s="106">
        <v>0</v>
      </c>
      <c r="AC417" s="105">
        <v>0</v>
      </c>
      <c r="AD417" s="104">
        <v>0</v>
      </c>
      <c r="AE417" s="104">
        <v>0</v>
      </c>
      <c r="AF417" s="107">
        <v>46265</v>
      </c>
    </row>
    <row r="418" spans="1:32" x14ac:dyDescent="0.25">
      <c r="A418" s="90">
        <v>1054</v>
      </c>
      <c r="B418" s="91" t="s">
        <v>1192</v>
      </c>
      <c r="C418" s="29">
        <v>10110141</v>
      </c>
      <c r="D418" s="92" t="s">
        <v>684</v>
      </c>
      <c r="E418" s="93" t="s">
        <v>270</v>
      </c>
      <c r="F418" s="93" t="s">
        <v>230</v>
      </c>
      <c r="G418" s="109">
        <v>724.30000000000007</v>
      </c>
      <c r="H418" s="109">
        <v>29107.520000000004</v>
      </c>
      <c r="I418" s="95">
        <v>0</v>
      </c>
      <c r="J418" s="95">
        <v>0</v>
      </c>
      <c r="K418" s="95">
        <v>0</v>
      </c>
      <c r="L418" s="95">
        <v>0</v>
      </c>
      <c r="M418" s="96">
        <v>0</v>
      </c>
      <c r="N418" s="97">
        <v>0</v>
      </c>
      <c r="O418" s="113">
        <v>0</v>
      </c>
      <c r="P418" s="114"/>
      <c r="Q418" s="99" t="s">
        <v>1198</v>
      </c>
      <c r="R418" s="100"/>
      <c r="S418" s="101">
        <v>-1.2314343509855701E-2</v>
      </c>
      <c r="T418" s="102">
        <v>16</v>
      </c>
      <c r="U418" s="103">
        <v>0</v>
      </c>
      <c r="V418" s="103">
        <v>0</v>
      </c>
      <c r="W418" s="104">
        <v>0</v>
      </c>
      <c r="X418" s="19"/>
      <c r="Y418" s="103">
        <v>0</v>
      </c>
      <c r="Z418" s="103">
        <v>0</v>
      </c>
      <c r="AA418" s="105">
        <v>0</v>
      </c>
      <c r="AB418" s="106">
        <v>0</v>
      </c>
      <c r="AC418" s="105">
        <v>0</v>
      </c>
      <c r="AD418" s="104">
        <v>0</v>
      </c>
      <c r="AE418" s="104">
        <v>0</v>
      </c>
      <c r="AF418" s="107">
        <v>46265</v>
      </c>
    </row>
    <row r="419" spans="1:32" x14ac:dyDescent="0.25">
      <c r="A419" s="90">
        <v>1054</v>
      </c>
      <c r="B419" s="91" t="s">
        <v>1192</v>
      </c>
      <c r="C419" s="29">
        <v>10110143</v>
      </c>
      <c r="D419" s="92" t="s">
        <v>685</v>
      </c>
      <c r="E419" s="93" t="s">
        <v>270</v>
      </c>
      <c r="F419" s="93" t="s">
        <v>230</v>
      </c>
      <c r="G419" s="109">
        <v>672.5</v>
      </c>
      <c r="H419" s="109">
        <v>24759.31</v>
      </c>
      <c r="I419" s="95">
        <v>0</v>
      </c>
      <c r="J419" s="95">
        <v>0</v>
      </c>
      <c r="K419" s="95">
        <v>0</v>
      </c>
      <c r="L419" s="95">
        <v>0</v>
      </c>
      <c r="M419" s="96">
        <v>0</v>
      </c>
      <c r="N419" s="97">
        <v>0</v>
      </c>
      <c r="O419" s="98">
        <v>0</v>
      </c>
      <c r="P419" s="33"/>
      <c r="Q419" s="99" t="s">
        <v>1198</v>
      </c>
      <c r="R419" s="100"/>
      <c r="S419" s="101">
        <v>-0.88029351383378618</v>
      </c>
      <c r="T419" s="102">
        <v>2</v>
      </c>
      <c r="U419" s="103">
        <v>0</v>
      </c>
      <c r="V419" s="103">
        <v>0</v>
      </c>
      <c r="W419" s="104">
        <v>0</v>
      </c>
      <c r="X419" s="19"/>
      <c r="Y419" s="103">
        <v>0</v>
      </c>
      <c r="Z419" s="103">
        <v>0</v>
      </c>
      <c r="AA419" s="105">
        <v>0</v>
      </c>
      <c r="AB419" s="106">
        <v>0</v>
      </c>
      <c r="AC419" s="105">
        <v>0</v>
      </c>
      <c r="AD419" s="104">
        <v>0</v>
      </c>
      <c r="AE419" s="104">
        <v>0</v>
      </c>
      <c r="AF419" s="107">
        <v>46265</v>
      </c>
    </row>
    <row r="420" spans="1:32" x14ac:dyDescent="0.25">
      <c r="A420" s="90">
        <v>1054</v>
      </c>
      <c r="B420" s="91" t="s">
        <v>1192</v>
      </c>
      <c r="C420" s="29">
        <v>10110144</v>
      </c>
      <c r="D420" s="92" t="s">
        <v>135</v>
      </c>
      <c r="E420" s="93" t="s">
        <v>270</v>
      </c>
      <c r="F420" s="93" t="s">
        <v>230</v>
      </c>
      <c r="G420" s="109">
        <v>714.8</v>
      </c>
      <c r="H420" s="109">
        <v>28325.34</v>
      </c>
      <c r="I420" s="95">
        <v>0</v>
      </c>
      <c r="J420" s="95">
        <v>3149</v>
      </c>
      <c r="K420" s="95">
        <v>0</v>
      </c>
      <c r="L420" s="95">
        <v>0</v>
      </c>
      <c r="M420" s="96">
        <v>0</v>
      </c>
      <c r="N420" s="97">
        <v>0</v>
      </c>
      <c r="O420" s="98">
        <v>0</v>
      </c>
      <c r="P420" s="33"/>
      <c r="Q420" s="99" t="s">
        <v>1198</v>
      </c>
      <c r="R420" s="100"/>
      <c r="S420" s="101">
        <v>-2.3483566304941226E-2</v>
      </c>
      <c r="T420" s="102">
        <v>7</v>
      </c>
      <c r="U420" s="103">
        <v>0</v>
      </c>
      <c r="V420" s="103">
        <v>0</v>
      </c>
      <c r="W420" s="104">
        <v>0</v>
      </c>
      <c r="X420" s="19"/>
      <c r="Y420" s="103">
        <v>0</v>
      </c>
      <c r="Z420" s="103">
        <v>0</v>
      </c>
      <c r="AA420" s="105">
        <v>0</v>
      </c>
      <c r="AB420" s="106">
        <v>0</v>
      </c>
      <c r="AC420" s="105">
        <v>0</v>
      </c>
      <c r="AD420" s="104">
        <v>0</v>
      </c>
      <c r="AE420" s="104">
        <v>0</v>
      </c>
      <c r="AF420" s="107">
        <v>46265</v>
      </c>
    </row>
    <row r="421" spans="1:32" x14ac:dyDescent="0.25">
      <c r="A421" s="90">
        <v>1011</v>
      </c>
      <c r="B421" s="91" t="s">
        <v>97</v>
      </c>
      <c r="C421" s="29">
        <v>10110146</v>
      </c>
      <c r="D421" s="92" t="s">
        <v>686</v>
      </c>
      <c r="E421" s="93" t="s">
        <v>270</v>
      </c>
      <c r="F421" s="93" t="s">
        <v>230</v>
      </c>
      <c r="G421" s="109">
        <v>620.99999999999989</v>
      </c>
      <c r="H421" s="109">
        <v>23029.54</v>
      </c>
      <c r="I421" s="95">
        <v>0</v>
      </c>
      <c r="J421" s="95">
        <v>0</v>
      </c>
      <c r="K421" s="95">
        <v>0</v>
      </c>
      <c r="L421" s="95">
        <v>0</v>
      </c>
      <c r="M421" s="96">
        <v>20</v>
      </c>
      <c r="N421" s="97">
        <v>0</v>
      </c>
      <c r="O421" s="98">
        <v>0</v>
      </c>
      <c r="P421" s="33"/>
      <c r="Q421" s="99" t="s">
        <v>1198</v>
      </c>
      <c r="R421" s="100"/>
      <c r="S421" s="101">
        <v>8.5325195379505863E-4</v>
      </c>
      <c r="T421" s="102">
        <v>2</v>
      </c>
      <c r="U421" s="103">
        <v>0</v>
      </c>
      <c r="V421" s="103">
        <v>0</v>
      </c>
      <c r="W421" s="104">
        <v>0</v>
      </c>
      <c r="X421" s="19"/>
      <c r="Y421" s="103">
        <v>0</v>
      </c>
      <c r="Z421" s="103">
        <v>0</v>
      </c>
      <c r="AA421" s="105">
        <v>0</v>
      </c>
      <c r="AB421" s="106">
        <v>0</v>
      </c>
      <c r="AC421" s="105">
        <v>0</v>
      </c>
      <c r="AD421" s="104">
        <v>0</v>
      </c>
      <c r="AE421" s="104">
        <v>0</v>
      </c>
      <c r="AF421" s="107">
        <v>46265</v>
      </c>
    </row>
    <row r="422" spans="1:32" x14ac:dyDescent="0.25">
      <c r="A422" s="90">
        <v>1054</v>
      </c>
      <c r="B422" s="91" t="s">
        <v>1192</v>
      </c>
      <c r="C422" s="29">
        <v>10110149</v>
      </c>
      <c r="D422" s="92" t="s">
        <v>687</v>
      </c>
      <c r="E422" s="93" t="s">
        <v>270</v>
      </c>
      <c r="F422" s="93" t="s">
        <v>230</v>
      </c>
      <c r="G422" s="109">
        <v>534.20000000000005</v>
      </c>
      <c r="H422" s="109">
        <v>21208.809999999998</v>
      </c>
      <c r="I422" s="95">
        <v>0</v>
      </c>
      <c r="J422" s="95">
        <v>0</v>
      </c>
      <c r="K422" s="95">
        <v>0</v>
      </c>
      <c r="L422" s="95">
        <v>0</v>
      </c>
      <c r="M422" s="96">
        <v>0</v>
      </c>
      <c r="N422" s="97">
        <v>0</v>
      </c>
      <c r="O422" s="98">
        <v>0</v>
      </c>
      <c r="P422" s="33"/>
      <c r="Q422" s="99" t="s">
        <v>1198</v>
      </c>
      <c r="R422" s="100"/>
      <c r="S422" s="101">
        <v>-0.13876026047666054</v>
      </c>
      <c r="T422" s="102">
        <v>11</v>
      </c>
      <c r="U422" s="103">
        <v>0</v>
      </c>
      <c r="V422" s="103">
        <v>0</v>
      </c>
      <c r="W422" s="104">
        <v>0</v>
      </c>
      <c r="X422" s="19"/>
      <c r="Y422" s="103">
        <v>0</v>
      </c>
      <c r="Z422" s="103">
        <v>0</v>
      </c>
      <c r="AA422" s="105">
        <v>0</v>
      </c>
      <c r="AB422" s="106">
        <v>0</v>
      </c>
      <c r="AC422" s="105">
        <v>0</v>
      </c>
      <c r="AD422" s="104">
        <v>0</v>
      </c>
      <c r="AE422" s="104">
        <v>0</v>
      </c>
      <c r="AF422" s="107">
        <v>46265</v>
      </c>
    </row>
    <row r="423" spans="1:32" x14ac:dyDescent="0.25">
      <c r="A423" s="90">
        <v>1011</v>
      </c>
      <c r="B423" s="91" t="s">
        <v>97</v>
      </c>
      <c r="C423" s="29">
        <v>10110153</v>
      </c>
      <c r="D423" s="92" t="s">
        <v>688</v>
      </c>
      <c r="E423" s="93" t="s">
        <v>275</v>
      </c>
      <c r="F423" s="93" t="s">
        <v>231</v>
      </c>
      <c r="G423" s="109">
        <v>1305.8</v>
      </c>
      <c r="H423" s="109">
        <v>49874.409999999989</v>
      </c>
      <c r="I423" s="95">
        <v>0</v>
      </c>
      <c r="J423" s="95">
        <v>1350</v>
      </c>
      <c r="K423" s="95">
        <v>0</v>
      </c>
      <c r="L423" s="95">
        <v>0</v>
      </c>
      <c r="M423" s="96">
        <v>0</v>
      </c>
      <c r="N423" s="97">
        <v>0</v>
      </c>
      <c r="O423" s="113">
        <v>0</v>
      </c>
      <c r="P423" s="114"/>
      <c r="Q423" s="99" t="s">
        <v>1198</v>
      </c>
      <c r="R423" s="100"/>
      <c r="S423" s="101">
        <v>0</v>
      </c>
      <c r="T423" s="102">
        <v>0</v>
      </c>
      <c r="U423" s="103">
        <v>0</v>
      </c>
      <c r="V423" s="103">
        <v>0</v>
      </c>
      <c r="W423" s="104">
        <v>0</v>
      </c>
      <c r="X423" s="19"/>
      <c r="Y423" s="103">
        <v>0</v>
      </c>
      <c r="Z423" s="103">
        <v>0</v>
      </c>
      <c r="AA423" s="105">
        <v>0</v>
      </c>
      <c r="AB423" s="106">
        <v>0</v>
      </c>
      <c r="AC423" s="105">
        <v>0</v>
      </c>
      <c r="AD423" s="104">
        <v>0</v>
      </c>
      <c r="AE423" s="104">
        <v>0</v>
      </c>
      <c r="AF423" s="107">
        <v>46265</v>
      </c>
    </row>
    <row r="424" spans="1:32" x14ac:dyDescent="0.25">
      <c r="A424" s="90">
        <v>1055</v>
      </c>
      <c r="B424" s="91" t="s">
        <v>106</v>
      </c>
      <c r="C424" s="29">
        <v>10110155</v>
      </c>
      <c r="D424" s="92" t="s">
        <v>689</v>
      </c>
      <c r="E424" s="93" t="s">
        <v>275</v>
      </c>
      <c r="F424" s="93" t="s">
        <v>231</v>
      </c>
      <c r="G424" s="109">
        <v>267.5</v>
      </c>
      <c r="H424" s="109">
        <v>10150.200000000001</v>
      </c>
      <c r="I424" s="95">
        <v>0</v>
      </c>
      <c r="J424" s="95">
        <v>0</v>
      </c>
      <c r="K424" s="95">
        <v>0</v>
      </c>
      <c r="L424" s="95">
        <v>0</v>
      </c>
      <c r="M424" s="96">
        <v>0</v>
      </c>
      <c r="N424" s="97">
        <v>0</v>
      </c>
      <c r="O424" s="98">
        <v>0</v>
      </c>
      <c r="P424" s="33"/>
      <c r="Q424" s="99" t="s">
        <v>1198</v>
      </c>
      <c r="R424" s="100"/>
      <c r="S424" s="101">
        <v>0</v>
      </c>
      <c r="T424" s="102">
        <v>0</v>
      </c>
      <c r="U424" s="103">
        <v>0</v>
      </c>
      <c r="V424" s="103">
        <v>0</v>
      </c>
      <c r="W424" s="104">
        <v>0</v>
      </c>
      <c r="X424" s="19"/>
      <c r="Y424" s="103">
        <v>0</v>
      </c>
      <c r="Z424" s="103">
        <v>0</v>
      </c>
      <c r="AA424" s="105">
        <v>0</v>
      </c>
      <c r="AB424" s="106">
        <v>0</v>
      </c>
      <c r="AC424" s="105">
        <v>0</v>
      </c>
      <c r="AD424" s="104">
        <v>0</v>
      </c>
      <c r="AE424" s="104">
        <v>0</v>
      </c>
      <c r="AF424" s="107">
        <v>46265</v>
      </c>
    </row>
    <row r="425" spans="1:32" x14ac:dyDescent="0.25">
      <c r="A425" s="90">
        <v>1011</v>
      </c>
      <c r="B425" s="91" t="s">
        <v>97</v>
      </c>
      <c r="C425" s="29">
        <v>10110158</v>
      </c>
      <c r="D425" s="92" t="s">
        <v>690</v>
      </c>
      <c r="E425" s="93" t="s">
        <v>270</v>
      </c>
      <c r="F425" s="93" t="s">
        <v>230</v>
      </c>
      <c r="G425" s="109">
        <v>6044.1</v>
      </c>
      <c r="H425" s="109">
        <v>237693.09999999998</v>
      </c>
      <c r="I425" s="95">
        <v>0</v>
      </c>
      <c r="J425" s="95">
        <v>0</v>
      </c>
      <c r="K425" s="95">
        <v>0</v>
      </c>
      <c r="L425" s="95">
        <v>0</v>
      </c>
      <c r="M425" s="96">
        <v>0</v>
      </c>
      <c r="N425" s="97">
        <v>0</v>
      </c>
      <c r="O425" s="98">
        <v>0</v>
      </c>
      <c r="P425" s="33"/>
      <c r="Q425" s="99" t="s">
        <v>1198</v>
      </c>
      <c r="R425" s="100"/>
      <c r="S425" s="101">
        <v>-1.1514637993277937E-2</v>
      </c>
      <c r="T425" s="102">
        <v>45</v>
      </c>
      <c r="U425" s="103">
        <v>0</v>
      </c>
      <c r="V425" s="103">
        <v>0</v>
      </c>
      <c r="W425" s="104">
        <v>0</v>
      </c>
      <c r="X425" s="19"/>
      <c r="Y425" s="103">
        <v>0</v>
      </c>
      <c r="Z425" s="103">
        <v>0</v>
      </c>
      <c r="AA425" s="105">
        <v>0</v>
      </c>
      <c r="AB425" s="106">
        <v>0</v>
      </c>
      <c r="AC425" s="105">
        <v>0</v>
      </c>
      <c r="AD425" s="104">
        <v>0</v>
      </c>
      <c r="AE425" s="104">
        <v>0</v>
      </c>
      <c r="AF425" s="107">
        <v>46265</v>
      </c>
    </row>
    <row r="426" spans="1:32" x14ac:dyDescent="0.25">
      <c r="A426" s="90">
        <v>1011</v>
      </c>
      <c r="B426" s="91" t="s">
        <v>97</v>
      </c>
      <c r="C426" s="29">
        <v>10110159</v>
      </c>
      <c r="D426" s="92" t="s">
        <v>691</v>
      </c>
      <c r="E426" s="93" t="s">
        <v>270</v>
      </c>
      <c r="F426" s="93" t="s">
        <v>230</v>
      </c>
      <c r="G426" s="109">
        <v>1577.3999999999999</v>
      </c>
      <c r="H426" s="109">
        <v>61737.990000000005</v>
      </c>
      <c r="I426" s="95">
        <v>0</v>
      </c>
      <c r="J426" s="95">
        <v>0</v>
      </c>
      <c r="K426" s="95">
        <v>0</v>
      </c>
      <c r="L426" s="95">
        <v>0</v>
      </c>
      <c r="M426" s="96">
        <v>0</v>
      </c>
      <c r="N426" s="97">
        <v>0</v>
      </c>
      <c r="O426" s="98">
        <v>0</v>
      </c>
      <c r="P426" s="33"/>
      <c r="Q426" s="99" t="s">
        <v>1198</v>
      </c>
      <c r="R426" s="100"/>
      <c r="S426" s="101">
        <v>3.239496457452311E-7</v>
      </c>
      <c r="T426" s="102">
        <v>10</v>
      </c>
      <c r="U426" s="103">
        <v>0</v>
      </c>
      <c r="V426" s="103">
        <v>0</v>
      </c>
      <c r="W426" s="104">
        <v>0</v>
      </c>
      <c r="X426" s="19"/>
      <c r="Y426" s="103">
        <v>0</v>
      </c>
      <c r="Z426" s="103">
        <v>0</v>
      </c>
      <c r="AA426" s="105">
        <v>0</v>
      </c>
      <c r="AB426" s="106">
        <v>0</v>
      </c>
      <c r="AC426" s="105">
        <v>0</v>
      </c>
      <c r="AD426" s="104">
        <v>0</v>
      </c>
      <c r="AE426" s="104">
        <v>0</v>
      </c>
      <c r="AF426" s="107">
        <v>46265</v>
      </c>
    </row>
    <row r="427" spans="1:32" x14ac:dyDescent="0.25">
      <c r="A427" s="90">
        <v>1011</v>
      </c>
      <c r="B427" s="91" t="s">
        <v>97</v>
      </c>
      <c r="C427" s="29">
        <v>10110160</v>
      </c>
      <c r="D427" s="92" t="s">
        <v>692</v>
      </c>
      <c r="E427" s="93" t="s">
        <v>275</v>
      </c>
      <c r="F427" s="93" t="s">
        <v>231</v>
      </c>
      <c r="G427" s="109">
        <v>453.50000000000006</v>
      </c>
      <c r="H427" s="109">
        <v>16608.629999999997</v>
      </c>
      <c r="I427" s="95">
        <v>0</v>
      </c>
      <c r="J427" s="95">
        <v>0</v>
      </c>
      <c r="K427" s="95">
        <v>0</v>
      </c>
      <c r="L427" s="95">
        <v>0</v>
      </c>
      <c r="M427" s="96">
        <v>0</v>
      </c>
      <c r="N427" s="97">
        <v>0</v>
      </c>
      <c r="O427" s="98">
        <v>0</v>
      </c>
      <c r="P427" s="33"/>
      <c r="Q427" s="99" t="s">
        <v>1198</v>
      </c>
      <c r="R427" s="100"/>
      <c r="S427" s="101">
        <v>0</v>
      </c>
      <c r="T427" s="102">
        <v>0</v>
      </c>
      <c r="U427" s="103">
        <v>0</v>
      </c>
      <c r="V427" s="103">
        <v>0</v>
      </c>
      <c r="W427" s="104">
        <v>0</v>
      </c>
      <c r="X427" s="19"/>
      <c r="Y427" s="103">
        <v>0</v>
      </c>
      <c r="Z427" s="103">
        <v>0</v>
      </c>
      <c r="AA427" s="105">
        <v>0</v>
      </c>
      <c r="AB427" s="106">
        <v>0</v>
      </c>
      <c r="AC427" s="105">
        <v>0</v>
      </c>
      <c r="AD427" s="104">
        <v>0</v>
      </c>
      <c r="AE427" s="104">
        <v>0</v>
      </c>
      <c r="AF427" s="107">
        <v>46265</v>
      </c>
    </row>
    <row r="428" spans="1:32" x14ac:dyDescent="0.25">
      <c r="A428" s="90">
        <v>1011</v>
      </c>
      <c r="B428" s="91" t="s">
        <v>97</v>
      </c>
      <c r="C428" s="29">
        <v>10110161</v>
      </c>
      <c r="D428" s="92" t="s">
        <v>111</v>
      </c>
      <c r="E428" s="93" t="s">
        <v>275</v>
      </c>
      <c r="F428" s="93" t="s">
        <v>231</v>
      </c>
      <c r="G428" s="109">
        <v>632.6</v>
      </c>
      <c r="H428" s="109">
        <v>22429.84</v>
      </c>
      <c r="I428" s="95">
        <v>0</v>
      </c>
      <c r="J428" s="95">
        <v>1350</v>
      </c>
      <c r="K428" s="95">
        <v>0</v>
      </c>
      <c r="L428" s="95">
        <v>0</v>
      </c>
      <c r="M428" s="96">
        <v>0</v>
      </c>
      <c r="N428" s="97">
        <v>0</v>
      </c>
      <c r="O428" s="98">
        <v>0</v>
      </c>
      <c r="P428" s="33"/>
      <c r="Q428" s="99" t="s">
        <v>1198</v>
      </c>
      <c r="R428" s="100"/>
      <c r="S428" s="101">
        <v>0</v>
      </c>
      <c r="T428" s="102">
        <v>0</v>
      </c>
      <c r="U428" s="103">
        <v>0</v>
      </c>
      <c r="V428" s="103">
        <v>0</v>
      </c>
      <c r="W428" s="104">
        <v>0</v>
      </c>
      <c r="X428" s="19"/>
      <c r="Y428" s="103">
        <v>0</v>
      </c>
      <c r="Z428" s="103">
        <v>0</v>
      </c>
      <c r="AA428" s="105">
        <v>0</v>
      </c>
      <c r="AB428" s="106">
        <v>0</v>
      </c>
      <c r="AC428" s="105">
        <v>0</v>
      </c>
      <c r="AD428" s="104">
        <v>0</v>
      </c>
      <c r="AE428" s="104">
        <v>0</v>
      </c>
      <c r="AF428" s="107">
        <v>46265</v>
      </c>
    </row>
    <row r="429" spans="1:32" x14ac:dyDescent="0.25">
      <c r="A429" s="90">
        <v>1011</v>
      </c>
      <c r="B429" s="91" t="s">
        <v>97</v>
      </c>
      <c r="C429" s="29">
        <v>10110164</v>
      </c>
      <c r="D429" s="92" t="s">
        <v>693</v>
      </c>
      <c r="E429" s="93" t="s">
        <v>270</v>
      </c>
      <c r="F429" s="93" t="s">
        <v>230</v>
      </c>
      <c r="G429" s="109">
        <v>219.7</v>
      </c>
      <c r="H429" s="109">
        <v>9612.89</v>
      </c>
      <c r="I429" s="95">
        <v>0</v>
      </c>
      <c r="J429" s="95">
        <v>0</v>
      </c>
      <c r="K429" s="95">
        <v>0</v>
      </c>
      <c r="L429" s="95">
        <v>0</v>
      </c>
      <c r="M429" s="96">
        <v>0</v>
      </c>
      <c r="N429" s="97">
        <v>0</v>
      </c>
      <c r="O429" s="98">
        <v>0</v>
      </c>
      <c r="P429" s="33"/>
      <c r="Q429" s="99" t="s">
        <v>1198</v>
      </c>
      <c r="R429" s="100"/>
      <c r="S429" s="101">
        <v>-6.5686801783854859E-2</v>
      </c>
      <c r="T429" s="102">
        <v>5</v>
      </c>
      <c r="U429" s="103">
        <v>0</v>
      </c>
      <c r="V429" s="103">
        <v>0</v>
      </c>
      <c r="W429" s="104">
        <v>0</v>
      </c>
      <c r="X429" s="19"/>
      <c r="Y429" s="103">
        <v>0</v>
      </c>
      <c r="Z429" s="103">
        <v>0</v>
      </c>
      <c r="AA429" s="105">
        <v>0</v>
      </c>
      <c r="AB429" s="106">
        <v>0</v>
      </c>
      <c r="AC429" s="105">
        <v>0</v>
      </c>
      <c r="AD429" s="104">
        <v>0</v>
      </c>
      <c r="AE429" s="104">
        <v>0</v>
      </c>
      <c r="AF429" s="107">
        <v>46265</v>
      </c>
    </row>
    <row r="430" spans="1:32" x14ac:dyDescent="0.25">
      <c r="A430" s="90">
        <v>1011</v>
      </c>
      <c r="B430" s="91" t="s">
        <v>97</v>
      </c>
      <c r="C430" s="29">
        <v>10110168</v>
      </c>
      <c r="D430" s="92" t="s">
        <v>141</v>
      </c>
      <c r="E430" s="93" t="s">
        <v>270</v>
      </c>
      <c r="F430" s="93" t="s">
        <v>230</v>
      </c>
      <c r="G430" s="109">
        <v>1426.5</v>
      </c>
      <c r="H430" s="109">
        <v>53174.209999999992</v>
      </c>
      <c r="I430" s="95">
        <v>0</v>
      </c>
      <c r="J430" s="95">
        <v>10800</v>
      </c>
      <c r="K430" s="95">
        <v>0</v>
      </c>
      <c r="L430" s="95">
        <v>0</v>
      </c>
      <c r="M430" s="96">
        <v>0</v>
      </c>
      <c r="N430" s="97">
        <v>0</v>
      </c>
      <c r="O430" s="98">
        <v>0</v>
      </c>
      <c r="P430" s="33"/>
      <c r="Q430" s="99" t="s">
        <v>1198</v>
      </c>
      <c r="R430" s="100"/>
      <c r="S430" s="101">
        <v>-5.9207273601248351E-3</v>
      </c>
      <c r="T430" s="102">
        <v>3</v>
      </c>
      <c r="U430" s="103">
        <v>0</v>
      </c>
      <c r="V430" s="103">
        <v>0</v>
      </c>
      <c r="W430" s="104">
        <v>0</v>
      </c>
      <c r="X430" s="19"/>
      <c r="Y430" s="103">
        <v>0</v>
      </c>
      <c r="Z430" s="103">
        <v>0</v>
      </c>
      <c r="AA430" s="105">
        <v>0</v>
      </c>
      <c r="AB430" s="106">
        <v>0</v>
      </c>
      <c r="AC430" s="105">
        <v>0</v>
      </c>
      <c r="AD430" s="104">
        <v>0</v>
      </c>
      <c r="AE430" s="104">
        <v>0</v>
      </c>
      <c r="AF430" s="107">
        <v>46265</v>
      </c>
    </row>
    <row r="431" spans="1:32" x14ac:dyDescent="0.25">
      <c r="A431" s="90">
        <v>1011</v>
      </c>
      <c r="B431" s="91" t="s">
        <v>97</v>
      </c>
      <c r="C431" s="29">
        <v>10110172</v>
      </c>
      <c r="D431" s="92" t="s">
        <v>694</v>
      </c>
      <c r="E431" s="93" t="s">
        <v>270</v>
      </c>
      <c r="F431" s="93" t="s">
        <v>230</v>
      </c>
      <c r="G431" s="109">
        <v>309.20000000000005</v>
      </c>
      <c r="H431" s="109">
        <v>12200.599999999999</v>
      </c>
      <c r="I431" s="95">
        <v>0</v>
      </c>
      <c r="J431" s="95">
        <v>0</v>
      </c>
      <c r="K431" s="95">
        <v>0</v>
      </c>
      <c r="L431" s="95">
        <v>0</v>
      </c>
      <c r="M431" s="96">
        <v>0</v>
      </c>
      <c r="N431" s="97">
        <v>0</v>
      </c>
      <c r="O431" s="98">
        <v>0</v>
      </c>
      <c r="P431" s="33"/>
      <c r="Q431" s="99" t="s">
        <v>1198</v>
      </c>
      <c r="R431" s="100"/>
      <c r="S431" s="101">
        <v>-8.3602445781360993E-4</v>
      </c>
      <c r="T431" s="102">
        <v>2</v>
      </c>
      <c r="U431" s="103">
        <v>0</v>
      </c>
      <c r="V431" s="103">
        <v>0</v>
      </c>
      <c r="W431" s="104">
        <v>0</v>
      </c>
      <c r="X431" s="19"/>
      <c r="Y431" s="103">
        <v>0</v>
      </c>
      <c r="Z431" s="103">
        <v>0</v>
      </c>
      <c r="AA431" s="105">
        <v>0</v>
      </c>
      <c r="AB431" s="106">
        <v>0</v>
      </c>
      <c r="AC431" s="105">
        <v>0</v>
      </c>
      <c r="AD431" s="104">
        <v>0</v>
      </c>
      <c r="AE431" s="104">
        <v>0</v>
      </c>
      <c r="AF431" s="107">
        <v>46265</v>
      </c>
    </row>
    <row r="432" spans="1:32" x14ac:dyDescent="0.25">
      <c r="A432" s="90">
        <v>1011</v>
      </c>
      <c r="B432" s="91" t="s">
        <v>97</v>
      </c>
      <c r="C432" s="29">
        <v>10110173</v>
      </c>
      <c r="D432" s="92" t="s">
        <v>695</v>
      </c>
      <c r="E432" s="93" t="s">
        <v>275</v>
      </c>
      <c r="F432" s="93" t="s">
        <v>231</v>
      </c>
      <c r="G432" s="109">
        <v>602.29999999999995</v>
      </c>
      <c r="H432" s="109">
        <v>26354.890000000007</v>
      </c>
      <c r="I432" s="95">
        <v>0</v>
      </c>
      <c r="J432" s="95">
        <v>0</v>
      </c>
      <c r="K432" s="95">
        <v>0</v>
      </c>
      <c r="L432" s="95">
        <v>0</v>
      </c>
      <c r="M432" s="96">
        <v>0</v>
      </c>
      <c r="N432" s="97">
        <v>0</v>
      </c>
      <c r="O432" s="98">
        <v>0</v>
      </c>
      <c r="P432" s="33"/>
      <c r="Q432" s="99" t="s">
        <v>1198</v>
      </c>
      <c r="R432" s="100"/>
      <c r="S432" s="101">
        <v>0</v>
      </c>
      <c r="T432" s="102">
        <v>0</v>
      </c>
      <c r="U432" s="103">
        <v>0</v>
      </c>
      <c r="V432" s="103">
        <v>0</v>
      </c>
      <c r="W432" s="104">
        <v>0</v>
      </c>
      <c r="X432" s="19"/>
      <c r="Y432" s="103">
        <v>0</v>
      </c>
      <c r="Z432" s="103">
        <v>0</v>
      </c>
      <c r="AA432" s="105">
        <v>0</v>
      </c>
      <c r="AB432" s="106">
        <v>0</v>
      </c>
      <c r="AC432" s="105">
        <v>0</v>
      </c>
      <c r="AD432" s="104">
        <v>0</v>
      </c>
      <c r="AE432" s="104">
        <v>0</v>
      </c>
      <c r="AF432" s="107">
        <v>46265</v>
      </c>
    </row>
    <row r="433" spans="1:32" x14ac:dyDescent="0.25">
      <c r="A433" s="90">
        <v>1011</v>
      </c>
      <c r="B433" s="91" t="s">
        <v>97</v>
      </c>
      <c r="C433" s="29">
        <v>10110176</v>
      </c>
      <c r="D433" s="92" t="s">
        <v>696</v>
      </c>
      <c r="E433" s="93" t="s">
        <v>275</v>
      </c>
      <c r="F433" s="93" t="s">
        <v>231</v>
      </c>
      <c r="G433" s="109">
        <v>354.99999999999994</v>
      </c>
      <c r="H433" s="109">
        <v>13562.439999999999</v>
      </c>
      <c r="I433" s="95">
        <v>0</v>
      </c>
      <c r="J433" s="95">
        <v>0</v>
      </c>
      <c r="K433" s="95">
        <v>0</v>
      </c>
      <c r="L433" s="95">
        <v>0</v>
      </c>
      <c r="M433" s="96">
        <v>0</v>
      </c>
      <c r="N433" s="97">
        <v>0</v>
      </c>
      <c r="O433" s="98">
        <v>0</v>
      </c>
      <c r="P433" s="33"/>
      <c r="Q433" s="99" t="s">
        <v>1198</v>
      </c>
      <c r="R433" s="100"/>
      <c r="S433" s="101">
        <v>0</v>
      </c>
      <c r="T433" s="102">
        <v>0</v>
      </c>
      <c r="U433" s="103">
        <v>0</v>
      </c>
      <c r="V433" s="103">
        <v>0</v>
      </c>
      <c r="W433" s="104">
        <v>0</v>
      </c>
      <c r="X433" s="19"/>
      <c r="Y433" s="103">
        <v>0</v>
      </c>
      <c r="Z433" s="103">
        <v>0</v>
      </c>
      <c r="AA433" s="105">
        <v>0</v>
      </c>
      <c r="AB433" s="106">
        <v>0</v>
      </c>
      <c r="AC433" s="105">
        <v>0</v>
      </c>
      <c r="AD433" s="104">
        <v>0</v>
      </c>
      <c r="AE433" s="104">
        <v>0</v>
      </c>
      <c r="AF433" s="107">
        <v>46265</v>
      </c>
    </row>
    <row r="434" spans="1:32" x14ac:dyDescent="0.25">
      <c r="A434" s="90">
        <v>1011</v>
      </c>
      <c r="B434" s="91" t="s">
        <v>97</v>
      </c>
      <c r="C434" s="29">
        <v>10110177</v>
      </c>
      <c r="D434" s="92" t="s">
        <v>697</v>
      </c>
      <c r="E434" s="93" t="s">
        <v>270</v>
      </c>
      <c r="F434" s="93" t="s">
        <v>230</v>
      </c>
      <c r="G434" s="109">
        <v>857.9</v>
      </c>
      <c r="H434" s="109">
        <v>37102.470000000008</v>
      </c>
      <c r="I434" s="95">
        <v>0</v>
      </c>
      <c r="J434" s="95">
        <v>0</v>
      </c>
      <c r="K434" s="95">
        <v>0</v>
      </c>
      <c r="L434" s="95">
        <v>0</v>
      </c>
      <c r="M434" s="96">
        <v>0</v>
      </c>
      <c r="N434" s="97">
        <v>0</v>
      </c>
      <c r="O434" s="98">
        <v>0</v>
      </c>
      <c r="P434" s="33"/>
      <c r="Q434" s="99" t="s">
        <v>1198</v>
      </c>
      <c r="R434" s="100"/>
      <c r="S434" s="101">
        <v>-7.3396730729786896E-3</v>
      </c>
      <c r="T434" s="102">
        <v>3</v>
      </c>
      <c r="U434" s="103">
        <v>0</v>
      </c>
      <c r="V434" s="103">
        <v>0</v>
      </c>
      <c r="W434" s="104">
        <v>0</v>
      </c>
      <c r="X434" s="19"/>
      <c r="Y434" s="103">
        <v>0</v>
      </c>
      <c r="Z434" s="103">
        <v>0</v>
      </c>
      <c r="AA434" s="105">
        <v>0</v>
      </c>
      <c r="AB434" s="106">
        <v>0</v>
      </c>
      <c r="AC434" s="105">
        <v>0</v>
      </c>
      <c r="AD434" s="104">
        <v>0</v>
      </c>
      <c r="AE434" s="104">
        <v>0</v>
      </c>
      <c r="AF434" s="107">
        <v>46265</v>
      </c>
    </row>
    <row r="435" spans="1:32" x14ac:dyDescent="0.25">
      <c r="A435" s="90">
        <v>1011</v>
      </c>
      <c r="B435" s="91" t="s">
        <v>97</v>
      </c>
      <c r="C435" s="29">
        <v>10110178</v>
      </c>
      <c r="D435" s="92" t="s">
        <v>698</v>
      </c>
      <c r="E435" s="93" t="s">
        <v>275</v>
      </c>
      <c r="F435" s="93" t="s">
        <v>231</v>
      </c>
      <c r="G435" s="109">
        <v>10274.999999999998</v>
      </c>
      <c r="H435" s="109">
        <v>403401.05000000005</v>
      </c>
      <c r="I435" s="95">
        <v>0</v>
      </c>
      <c r="J435" s="95">
        <v>0</v>
      </c>
      <c r="K435" s="95">
        <v>0</v>
      </c>
      <c r="L435" s="95">
        <v>0</v>
      </c>
      <c r="M435" s="96">
        <v>0</v>
      </c>
      <c r="N435" s="97">
        <v>0</v>
      </c>
      <c r="O435" s="98">
        <v>0</v>
      </c>
      <c r="P435" s="33"/>
      <c r="Q435" s="99" t="s">
        <v>1198</v>
      </c>
      <c r="R435" s="100"/>
      <c r="S435" s="101">
        <v>0</v>
      </c>
      <c r="T435" s="102">
        <v>0</v>
      </c>
      <c r="U435" s="103">
        <v>0</v>
      </c>
      <c r="V435" s="103">
        <v>0</v>
      </c>
      <c r="W435" s="104">
        <v>0</v>
      </c>
      <c r="X435" s="19"/>
      <c r="Y435" s="103">
        <v>0</v>
      </c>
      <c r="Z435" s="103">
        <v>0</v>
      </c>
      <c r="AA435" s="105">
        <v>0</v>
      </c>
      <c r="AB435" s="106">
        <v>0</v>
      </c>
      <c r="AC435" s="105">
        <v>0</v>
      </c>
      <c r="AD435" s="104">
        <v>0</v>
      </c>
      <c r="AE435" s="104">
        <v>0</v>
      </c>
      <c r="AF435" s="107">
        <v>46265</v>
      </c>
    </row>
    <row r="436" spans="1:32" x14ac:dyDescent="0.25">
      <c r="A436" s="90">
        <v>1011</v>
      </c>
      <c r="B436" s="91" t="s">
        <v>97</v>
      </c>
      <c r="C436" s="29">
        <v>10110179</v>
      </c>
      <c r="D436" s="92" t="s">
        <v>699</v>
      </c>
      <c r="E436" s="93" t="s">
        <v>275</v>
      </c>
      <c r="F436" s="93" t="s">
        <v>231</v>
      </c>
      <c r="G436" s="109">
        <v>301.59999999999997</v>
      </c>
      <c r="H436" s="109">
        <v>12264.85</v>
      </c>
      <c r="I436" s="95">
        <v>0</v>
      </c>
      <c r="J436" s="95">
        <v>0</v>
      </c>
      <c r="K436" s="95">
        <v>0</v>
      </c>
      <c r="L436" s="95">
        <v>0</v>
      </c>
      <c r="M436" s="96">
        <v>0</v>
      </c>
      <c r="N436" s="97">
        <v>0</v>
      </c>
      <c r="O436" s="98">
        <v>0</v>
      </c>
      <c r="P436" s="33"/>
      <c r="Q436" s="99" t="s">
        <v>1198</v>
      </c>
      <c r="R436" s="100"/>
      <c r="S436" s="101">
        <v>0</v>
      </c>
      <c r="T436" s="102">
        <v>0</v>
      </c>
      <c r="U436" s="103">
        <v>0</v>
      </c>
      <c r="V436" s="103">
        <v>0</v>
      </c>
      <c r="W436" s="104">
        <v>0</v>
      </c>
      <c r="X436" s="19"/>
      <c r="Y436" s="103">
        <v>0</v>
      </c>
      <c r="Z436" s="103">
        <v>0</v>
      </c>
      <c r="AA436" s="105">
        <v>0</v>
      </c>
      <c r="AB436" s="106">
        <v>0</v>
      </c>
      <c r="AC436" s="105">
        <v>0</v>
      </c>
      <c r="AD436" s="104">
        <v>0</v>
      </c>
      <c r="AE436" s="104">
        <v>0</v>
      </c>
      <c r="AF436" s="107">
        <v>46265</v>
      </c>
    </row>
    <row r="437" spans="1:32" x14ac:dyDescent="0.25">
      <c r="A437" s="90">
        <v>1011</v>
      </c>
      <c r="B437" s="91" t="s">
        <v>97</v>
      </c>
      <c r="C437" s="29">
        <v>10110183</v>
      </c>
      <c r="D437" s="92" t="s">
        <v>112</v>
      </c>
      <c r="E437" s="93" t="s">
        <v>275</v>
      </c>
      <c r="F437" s="93" t="s">
        <v>231</v>
      </c>
      <c r="G437" s="109">
        <v>2040.1999999999998</v>
      </c>
      <c r="H437" s="109">
        <v>84529.79</v>
      </c>
      <c r="I437" s="95">
        <v>0</v>
      </c>
      <c r="J437" s="95">
        <v>1350</v>
      </c>
      <c r="K437" s="95">
        <v>0</v>
      </c>
      <c r="L437" s="95">
        <v>0</v>
      </c>
      <c r="M437" s="96">
        <v>0</v>
      </c>
      <c r="N437" s="97">
        <v>0</v>
      </c>
      <c r="O437" s="98">
        <v>0</v>
      </c>
      <c r="P437" s="33"/>
      <c r="Q437" s="99" t="s">
        <v>1198</v>
      </c>
      <c r="R437" s="100"/>
      <c r="S437" s="101">
        <v>0</v>
      </c>
      <c r="T437" s="102">
        <v>0</v>
      </c>
      <c r="U437" s="103">
        <v>0</v>
      </c>
      <c r="V437" s="103">
        <v>0</v>
      </c>
      <c r="W437" s="104">
        <v>0</v>
      </c>
      <c r="X437" s="19"/>
      <c r="Y437" s="103">
        <v>0</v>
      </c>
      <c r="Z437" s="103">
        <v>0</v>
      </c>
      <c r="AA437" s="105">
        <v>0</v>
      </c>
      <c r="AB437" s="106">
        <v>0</v>
      </c>
      <c r="AC437" s="105">
        <v>0</v>
      </c>
      <c r="AD437" s="104">
        <v>0</v>
      </c>
      <c r="AE437" s="104">
        <v>0</v>
      </c>
      <c r="AF437" s="107">
        <v>46265</v>
      </c>
    </row>
    <row r="438" spans="1:32" x14ac:dyDescent="0.25">
      <c r="A438" s="90">
        <v>1011</v>
      </c>
      <c r="B438" s="91" t="s">
        <v>97</v>
      </c>
      <c r="C438" s="29">
        <v>10110184</v>
      </c>
      <c r="D438" s="92" t="s">
        <v>700</v>
      </c>
      <c r="E438" s="93" t="s">
        <v>275</v>
      </c>
      <c r="F438" s="93" t="s">
        <v>231</v>
      </c>
      <c r="G438" s="109">
        <v>397.4</v>
      </c>
      <c r="H438" s="109">
        <v>17228.23</v>
      </c>
      <c r="I438" s="95">
        <v>0</v>
      </c>
      <c r="J438" s="95">
        <v>0</v>
      </c>
      <c r="K438" s="95">
        <v>0</v>
      </c>
      <c r="L438" s="95">
        <v>0</v>
      </c>
      <c r="M438" s="96">
        <v>0</v>
      </c>
      <c r="N438" s="97">
        <v>0</v>
      </c>
      <c r="O438" s="98">
        <v>0</v>
      </c>
      <c r="P438" s="33"/>
      <c r="Q438" s="99" t="s">
        <v>1198</v>
      </c>
      <c r="R438" s="100"/>
      <c r="S438" s="101">
        <v>0</v>
      </c>
      <c r="T438" s="102">
        <v>0</v>
      </c>
      <c r="U438" s="103">
        <v>0</v>
      </c>
      <c r="V438" s="103">
        <v>0</v>
      </c>
      <c r="W438" s="104">
        <v>0</v>
      </c>
      <c r="X438" s="19"/>
      <c r="Y438" s="103">
        <v>0</v>
      </c>
      <c r="Z438" s="103">
        <v>0</v>
      </c>
      <c r="AA438" s="105">
        <v>0</v>
      </c>
      <c r="AB438" s="106">
        <v>0</v>
      </c>
      <c r="AC438" s="105">
        <v>0</v>
      </c>
      <c r="AD438" s="104">
        <v>0</v>
      </c>
      <c r="AE438" s="104">
        <v>0</v>
      </c>
      <c r="AF438" s="107">
        <v>46265</v>
      </c>
    </row>
    <row r="439" spans="1:32" x14ac:dyDescent="0.25">
      <c r="A439" s="90">
        <v>1011</v>
      </c>
      <c r="B439" s="91" t="s">
        <v>97</v>
      </c>
      <c r="C439" s="29">
        <v>10110185</v>
      </c>
      <c r="D439" s="92" t="s">
        <v>701</v>
      </c>
      <c r="E439" s="93" t="s">
        <v>275</v>
      </c>
      <c r="F439" s="93" t="s">
        <v>231</v>
      </c>
      <c r="G439" s="109">
        <v>203.2</v>
      </c>
      <c r="H439" s="109">
        <v>8363.86</v>
      </c>
      <c r="I439" s="95">
        <v>0</v>
      </c>
      <c r="J439" s="95">
        <v>0</v>
      </c>
      <c r="K439" s="95">
        <v>0</v>
      </c>
      <c r="L439" s="95">
        <v>0</v>
      </c>
      <c r="M439" s="96">
        <v>0</v>
      </c>
      <c r="N439" s="97">
        <v>0</v>
      </c>
      <c r="O439" s="98">
        <v>0</v>
      </c>
      <c r="P439" s="33"/>
      <c r="Q439" s="99" t="s">
        <v>1198</v>
      </c>
      <c r="R439" s="100"/>
      <c r="S439" s="101">
        <v>0</v>
      </c>
      <c r="T439" s="102">
        <v>0</v>
      </c>
      <c r="U439" s="103">
        <v>0</v>
      </c>
      <c r="V439" s="103">
        <v>0</v>
      </c>
      <c r="W439" s="104">
        <v>0</v>
      </c>
      <c r="X439" s="19"/>
      <c r="Y439" s="103">
        <v>0</v>
      </c>
      <c r="Z439" s="103">
        <v>0</v>
      </c>
      <c r="AA439" s="105">
        <v>0</v>
      </c>
      <c r="AB439" s="106">
        <v>0</v>
      </c>
      <c r="AC439" s="105">
        <v>0</v>
      </c>
      <c r="AD439" s="104">
        <v>0</v>
      </c>
      <c r="AE439" s="104">
        <v>0</v>
      </c>
      <c r="AF439" s="107">
        <v>46265</v>
      </c>
    </row>
    <row r="440" spans="1:32" x14ac:dyDescent="0.25">
      <c r="A440" s="90">
        <v>1011</v>
      </c>
      <c r="B440" s="91" t="s">
        <v>97</v>
      </c>
      <c r="C440" s="29">
        <v>10110187</v>
      </c>
      <c r="D440" s="92" t="s">
        <v>702</v>
      </c>
      <c r="E440" s="93" t="s">
        <v>275</v>
      </c>
      <c r="F440" s="93" t="s">
        <v>231</v>
      </c>
      <c r="G440" s="109">
        <v>740.09999999999991</v>
      </c>
      <c r="H440" s="109">
        <v>27719.079999999994</v>
      </c>
      <c r="I440" s="95">
        <v>0</v>
      </c>
      <c r="J440" s="95">
        <v>0</v>
      </c>
      <c r="K440" s="95">
        <v>0</v>
      </c>
      <c r="L440" s="95">
        <v>0</v>
      </c>
      <c r="M440" s="96">
        <v>0</v>
      </c>
      <c r="N440" s="97" t="s">
        <v>331</v>
      </c>
      <c r="O440" s="98">
        <v>0</v>
      </c>
      <c r="P440" s="33" t="s">
        <v>660</v>
      </c>
      <c r="Q440" s="99" t="s">
        <v>1198</v>
      </c>
      <c r="R440" s="100"/>
      <c r="S440" s="101">
        <v>0</v>
      </c>
      <c r="T440" s="102">
        <v>0</v>
      </c>
      <c r="U440" s="103">
        <v>0</v>
      </c>
      <c r="V440" s="103">
        <v>0</v>
      </c>
      <c r="W440" s="104">
        <v>0</v>
      </c>
      <c r="X440" s="19"/>
      <c r="Y440" s="103">
        <v>0</v>
      </c>
      <c r="Z440" s="103">
        <v>0</v>
      </c>
      <c r="AA440" s="105">
        <v>0</v>
      </c>
      <c r="AB440" s="106">
        <v>0</v>
      </c>
      <c r="AC440" s="105">
        <v>0</v>
      </c>
      <c r="AD440" s="104">
        <v>0</v>
      </c>
      <c r="AE440" s="104">
        <v>0</v>
      </c>
      <c r="AF440" s="107">
        <v>46265</v>
      </c>
    </row>
    <row r="441" spans="1:32" x14ac:dyDescent="0.25">
      <c r="A441" s="90">
        <v>1011</v>
      </c>
      <c r="B441" s="91" t="s">
        <v>97</v>
      </c>
      <c r="C441" s="29">
        <v>10110189</v>
      </c>
      <c r="D441" s="92" t="s">
        <v>703</v>
      </c>
      <c r="E441" s="93" t="s">
        <v>275</v>
      </c>
      <c r="F441" s="93" t="s">
        <v>230</v>
      </c>
      <c r="G441" s="109">
        <v>81.399999999999991</v>
      </c>
      <c r="H441" s="109">
        <v>3261.1400000000003</v>
      </c>
      <c r="I441" s="95">
        <v>0</v>
      </c>
      <c r="J441" s="95">
        <v>0</v>
      </c>
      <c r="K441" s="95">
        <v>0</v>
      </c>
      <c r="L441" s="95">
        <v>0</v>
      </c>
      <c r="M441" s="96">
        <v>0</v>
      </c>
      <c r="N441" s="97">
        <v>0</v>
      </c>
      <c r="O441" s="98">
        <v>0</v>
      </c>
      <c r="P441" s="33"/>
      <c r="Q441" s="99" t="s">
        <v>1198</v>
      </c>
      <c r="R441" s="100"/>
      <c r="S441" s="101">
        <v>-0.16477673451615069</v>
      </c>
      <c r="T441" s="102">
        <v>1</v>
      </c>
      <c r="U441" s="103">
        <v>0</v>
      </c>
      <c r="V441" s="103">
        <v>0</v>
      </c>
      <c r="W441" s="104">
        <v>0</v>
      </c>
      <c r="X441" s="19"/>
      <c r="Y441" s="103">
        <v>0</v>
      </c>
      <c r="Z441" s="103">
        <v>0</v>
      </c>
      <c r="AA441" s="105">
        <v>0</v>
      </c>
      <c r="AB441" s="106">
        <v>0</v>
      </c>
      <c r="AC441" s="105">
        <v>0</v>
      </c>
      <c r="AD441" s="104">
        <v>0</v>
      </c>
      <c r="AE441" s="104">
        <v>0</v>
      </c>
      <c r="AF441" s="107">
        <v>46265</v>
      </c>
    </row>
    <row r="442" spans="1:32" x14ac:dyDescent="0.25">
      <c r="A442" s="90">
        <v>1011</v>
      </c>
      <c r="B442" s="91" t="s">
        <v>97</v>
      </c>
      <c r="C442" s="29">
        <v>10110190</v>
      </c>
      <c r="D442" s="92" t="s">
        <v>704</v>
      </c>
      <c r="E442" s="93" t="s">
        <v>275</v>
      </c>
      <c r="F442" s="93" t="s">
        <v>231</v>
      </c>
      <c r="G442" s="109">
        <v>7115.7</v>
      </c>
      <c r="H442" s="109">
        <v>284483.18</v>
      </c>
      <c r="I442" s="95">
        <v>0</v>
      </c>
      <c r="J442" s="95">
        <v>0</v>
      </c>
      <c r="K442" s="95">
        <v>0</v>
      </c>
      <c r="L442" s="95">
        <v>0</v>
      </c>
      <c r="M442" s="96">
        <v>0</v>
      </c>
      <c r="N442" s="97">
        <v>0</v>
      </c>
      <c r="O442" s="98">
        <v>0</v>
      </c>
      <c r="P442" s="33"/>
      <c r="Q442" s="99" t="s">
        <v>1198</v>
      </c>
      <c r="R442" s="100"/>
      <c r="S442" s="101">
        <v>0</v>
      </c>
      <c r="T442" s="102">
        <v>0</v>
      </c>
      <c r="U442" s="103">
        <v>0</v>
      </c>
      <c r="V442" s="103">
        <v>0</v>
      </c>
      <c r="W442" s="104">
        <v>0</v>
      </c>
      <c r="X442" s="19"/>
      <c r="Y442" s="103">
        <v>0</v>
      </c>
      <c r="Z442" s="103">
        <v>0</v>
      </c>
      <c r="AA442" s="105">
        <v>0</v>
      </c>
      <c r="AB442" s="106">
        <v>0</v>
      </c>
      <c r="AC442" s="105">
        <v>0</v>
      </c>
      <c r="AD442" s="104">
        <v>0</v>
      </c>
      <c r="AE442" s="104">
        <v>0</v>
      </c>
      <c r="AF442" s="107">
        <v>46265</v>
      </c>
    </row>
    <row r="443" spans="1:32" x14ac:dyDescent="0.25">
      <c r="A443" s="90">
        <v>1011</v>
      </c>
      <c r="B443" s="91" t="s">
        <v>97</v>
      </c>
      <c r="C443" s="29">
        <v>10110192</v>
      </c>
      <c r="D443" s="92" t="s">
        <v>705</v>
      </c>
      <c r="E443" s="93" t="s">
        <v>275</v>
      </c>
      <c r="F443" s="93" t="s">
        <v>231</v>
      </c>
      <c r="G443" s="109">
        <v>287</v>
      </c>
      <c r="H443" s="109">
        <v>11568.97</v>
      </c>
      <c r="I443" s="95">
        <v>0</v>
      </c>
      <c r="J443" s="95">
        <v>0</v>
      </c>
      <c r="K443" s="95">
        <v>0</v>
      </c>
      <c r="L443" s="95">
        <v>0</v>
      </c>
      <c r="M443" s="96">
        <v>0</v>
      </c>
      <c r="N443" s="97">
        <v>0</v>
      </c>
      <c r="O443" s="98">
        <v>0</v>
      </c>
      <c r="P443" s="33"/>
      <c r="Q443" s="99" t="s">
        <v>1198</v>
      </c>
      <c r="R443" s="100"/>
      <c r="S443" s="101">
        <v>0</v>
      </c>
      <c r="T443" s="102">
        <v>0</v>
      </c>
      <c r="U443" s="103">
        <v>0</v>
      </c>
      <c r="V443" s="103">
        <v>0</v>
      </c>
      <c r="W443" s="104">
        <v>0</v>
      </c>
      <c r="X443" s="19"/>
      <c r="Y443" s="103">
        <v>0</v>
      </c>
      <c r="Z443" s="103">
        <v>0</v>
      </c>
      <c r="AA443" s="105">
        <v>0</v>
      </c>
      <c r="AB443" s="106">
        <v>0</v>
      </c>
      <c r="AC443" s="105">
        <v>0</v>
      </c>
      <c r="AD443" s="104">
        <v>0</v>
      </c>
      <c r="AE443" s="104">
        <v>0</v>
      </c>
      <c r="AF443" s="107">
        <v>46265</v>
      </c>
    </row>
    <row r="444" spans="1:32" x14ac:dyDescent="0.25">
      <c r="A444" s="90">
        <v>1012</v>
      </c>
      <c r="B444" s="91" t="s">
        <v>32</v>
      </c>
      <c r="C444" s="29">
        <v>10120001</v>
      </c>
      <c r="D444" s="92" t="s">
        <v>706</v>
      </c>
      <c r="E444" s="93" t="s">
        <v>270</v>
      </c>
      <c r="F444" s="93" t="s">
        <v>231</v>
      </c>
      <c r="G444" s="109">
        <v>306.95999999999998</v>
      </c>
      <c r="H444" s="109">
        <v>12803.470000000001</v>
      </c>
      <c r="I444" s="95">
        <v>0</v>
      </c>
      <c r="J444" s="95">
        <v>0</v>
      </c>
      <c r="K444" s="95">
        <v>0</v>
      </c>
      <c r="L444" s="95">
        <v>0</v>
      </c>
      <c r="M444" s="96">
        <v>0</v>
      </c>
      <c r="N444" s="97">
        <v>0</v>
      </c>
      <c r="O444" s="98">
        <v>0</v>
      </c>
      <c r="P444" s="33"/>
      <c r="Q444" s="99" t="s">
        <v>1198</v>
      </c>
      <c r="R444" s="100"/>
      <c r="S444" s="101">
        <v>0</v>
      </c>
      <c r="T444" s="102">
        <v>0</v>
      </c>
      <c r="U444" s="103">
        <v>0</v>
      </c>
      <c r="V444" s="103">
        <v>0</v>
      </c>
      <c r="W444" s="104">
        <v>0</v>
      </c>
      <c r="X444" s="19"/>
      <c r="Y444" s="103">
        <v>0</v>
      </c>
      <c r="Z444" s="103">
        <v>0</v>
      </c>
      <c r="AA444" s="105">
        <v>0</v>
      </c>
      <c r="AB444" s="106">
        <v>0</v>
      </c>
      <c r="AC444" s="105">
        <v>0</v>
      </c>
      <c r="AD444" s="104">
        <v>0</v>
      </c>
      <c r="AE444" s="104">
        <v>0</v>
      </c>
      <c r="AF444" s="107">
        <v>46265</v>
      </c>
    </row>
    <row r="445" spans="1:32" x14ac:dyDescent="0.25">
      <c r="A445" s="90">
        <v>1012</v>
      </c>
      <c r="B445" s="91" t="s">
        <v>32</v>
      </c>
      <c r="C445" s="29">
        <v>10120002</v>
      </c>
      <c r="D445" s="92" t="s">
        <v>707</v>
      </c>
      <c r="E445" s="93" t="s">
        <v>270</v>
      </c>
      <c r="F445" s="93" t="s">
        <v>231</v>
      </c>
      <c r="G445" s="109">
        <v>493.98</v>
      </c>
      <c r="H445" s="109">
        <v>19610.150000000001</v>
      </c>
      <c r="I445" s="95">
        <v>0</v>
      </c>
      <c r="J445" s="95">
        <v>0</v>
      </c>
      <c r="K445" s="95">
        <v>0</v>
      </c>
      <c r="L445" s="95">
        <v>0</v>
      </c>
      <c r="M445" s="96">
        <v>0</v>
      </c>
      <c r="N445" s="97">
        <v>0</v>
      </c>
      <c r="O445" s="98">
        <v>0</v>
      </c>
      <c r="P445" s="33"/>
      <c r="Q445" s="99" t="s">
        <v>1198</v>
      </c>
      <c r="R445" s="100"/>
      <c r="S445" s="101">
        <v>0</v>
      </c>
      <c r="T445" s="102">
        <v>0</v>
      </c>
      <c r="U445" s="103">
        <v>0</v>
      </c>
      <c r="V445" s="103">
        <v>0</v>
      </c>
      <c r="W445" s="104">
        <v>0</v>
      </c>
      <c r="X445" s="19"/>
      <c r="Y445" s="103">
        <v>0</v>
      </c>
      <c r="Z445" s="103">
        <v>0</v>
      </c>
      <c r="AA445" s="105">
        <v>0</v>
      </c>
      <c r="AB445" s="106">
        <v>0</v>
      </c>
      <c r="AC445" s="105">
        <v>0</v>
      </c>
      <c r="AD445" s="104">
        <v>0</v>
      </c>
      <c r="AE445" s="104">
        <v>0</v>
      </c>
      <c r="AF445" s="107">
        <v>46265</v>
      </c>
    </row>
    <row r="446" spans="1:32" x14ac:dyDescent="0.25">
      <c r="A446" s="90">
        <v>1012</v>
      </c>
      <c r="B446" s="91" t="s">
        <v>32</v>
      </c>
      <c r="C446" s="29">
        <v>10120005</v>
      </c>
      <c r="D446" s="92" t="s">
        <v>708</v>
      </c>
      <c r="E446" s="93" t="s">
        <v>270</v>
      </c>
      <c r="F446" s="93" t="s">
        <v>230</v>
      </c>
      <c r="G446" s="109">
        <v>582.6</v>
      </c>
      <c r="H446" s="109">
        <v>22239.67</v>
      </c>
      <c r="I446" s="95">
        <v>0</v>
      </c>
      <c r="J446" s="95">
        <v>0</v>
      </c>
      <c r="K446" s="95">
        <v>0</v>
      </c>
      <c r="L446" s="95">
        <v>0</v>
      </c>
      <c r="M446" s="96">
        <v>0</v>
      </c>
      <c r="N446" s="97">
        <v>0</v>
      </c>
      <c r="O446" s="98">
        <v>0</v>
      </c>
      <c r="P446" s="33"/>
      <c r="Q446" s="99" t="s">
        <v>1198</v>
      </c>
      <c r="R446" s="100"/>
      <c r="S446" s="101">
        <v>-8.9929391939882915E-7</v>
      </c>
      <c r="T446" s="102">
        <v>10</v>
      </c>
      <c r="U446" s="103">
        <v>0</v>
      </c>
      <c r="V446" s="103">
        <v>0</v>
      </c>
      <c r="W446" s="104">
        <v>0</v>
      </c>
      <c r="X446" s="19"/>
      <c r="Y446" s="103">
        <v>0</v>
      </c>
      <c r="Z446" s="103">
        <v>0</v>
      </c>
      <c r="AA446" s="105">
        <v>0</v>
      </c>
      <c r="AB446" s="106">
        <v>0</v>
      </c>
      <c r="AC446" s="105">
        <v>0</v>
      </c>
      <c r="AD446" s="104">
        <v>0</v>
      </c>
      <c r="AE446" s="104">
        <v>0</v>
      </c>
      <c r="AF446" s="107">
        <v>46265</v>
      </c>
    </row>
    <row r="447" spans="1:32" x14ac:dyDescent="0.25">
      <c r="A447" s="90">
        <v>1012</v>
      </c>
      <c r="B447" s="91" t="s">
        <v>32</v>
      </c>
      <c r="C447" s="29">
        <v>10120006</v>
      </c>
      <c r="D447" s="92" t="s">
        <v>709</v>
      </c>
      <c r="E447" s="93" t="s">
        <v>270</v>
      </c>
      <c r="F447" s="93" t="s">
        <v>230</v>
      </c>
      <c r="G447" s="109">
        <v>241.97000000000003</v>
      </c>
      <c r="H447" s="109">
        <v>9118.010000000002</v>
      </c>
      <c r="I447" s="95">
        <v>0</v>
      </c>
      <c r="J447" s="95">
        <v>0</v>
      </c>
      <c r="K447" s="95">
        <v>0</v>
      </c>
      <c r="L447" s="95">
        <v>0</v>
      </c>
      <c r="M447" s="96">
        <v>17</v>
      </c>
      <c r="N447" s="97">
        <v>0</v>
      </c>
      <c r="O447" s="98">
        <v>-1</v>
      </c>
      <c r="P447" s="33"/>
      <c r="Q447" s="99" t="s">
        <v>1198</v>
      </c>
      <c r="R447" s="100"/>
      <c r="S447" s="101">
        <v>1.9971463071438772E-3</v>
      </c>
      <c r="T447" s="102">
        <v>9</v>
      </c>
      <c r="U447" s="103">
        <v>0</v>
      </c>
      <c r="V447" s="103">
        <v>0</v>
      </c>
      <c r="W447" s="104">
        <v>0</v>
      </c>
      <c r="X447" s="19"/>
      <c r="Y447" s="103">
        <v>0</v>
      </c>
      <c r="Z447" s="103">
        <v>0</v>
      </c>
      <c r="AA447" s="105">
        <v>0</v>
      </c>
      <c r="AB447" s="106">
        <v>0</v>
      </c>
      <c r="AC447" s="105">
        <v>0</v>
      </c>
      <c r="AD447" s="104">
        <v>0</v>
      </c>
      <c r="AE447" s="104">
        <v>0</v>
      </c>
      <c r="AF447" s="107">
        <v>46265</v>
      </c>
    </row>
    <row r="448" spans="1:32" x14ac:dyDescent="0.25">
      <c r="A448" s="90">
        <v>1012</v>
      </c>
      <c r="B448" s="91" t="s">
        <v>32</v>
      </c>
      <c r="C448" s="29">
        <v>10120007</v>
      </c>
      <c r="D448" s="92" t="s">
        <v>43</v>
      </c>
      <c r="E448" s="93" t="s">
        <v>270</v>
      </c>
      <c r="F448" s="93" t="s">
        <v>230</v>
      </c>
      <c r="G448" s="109">
        <v>985.46</v>
      </c>
      <c r="H448" s="109">
        <v>42465.139999999992</v>
      </c>
      <c r="I448" s="95">
        <v>1043</v>
      </c>
      <c r="J448" s="95">
        <v>7606</v>
      </c>
      <c r="K448" s="95">
        <v>0</v>
      </c>
      <c r="L448" s="95">
        <v>0</v>
      </c>
      <c r="M448" s="96">
        <v>0</v>
      </c>
      <c r="N448" s="97">
        <v>0</v>
      </c>
      <c r="O448" s="98">
        <v>0</v>
      </c>
      <c r="P448" s="33" t="s">
        <v>328</v>
      </c>
      <c r="Q448" s="99" t="s">
        <v>1198</v>
      </c>
      <c r="R448" s="100"/>
      <c r="S448" s="101">
        <v>4.7097454499202461E-7</v>
      </c>
      <c r="T448" s="102">
        <v>30</v>
      </c>
      <c r="U448" s="103">
        <v>0</v>
      </c>
      <c r="V448" s="103">
        <v>0</v>
      </c>
      <c r="W448" s="104">
        <v>0</v>
      </c>
      <c r="X448" s="19"/>
      <c r="Y448" s="103">
        <v>0</v>
      </c>
      <c r="Z448" s="103">
        <v>0</v>
      </c>
      <c r="AA448" s="105">
        <v>0</v>
      </c>
      <c r="AB448" s="106">
        <v>0</v>
      </c>
      <c r="AC448" s="105">
        <v>0</v>
      </c>
      <c r="AD448" s="104">
        <v>0</v>
      </c>
      <c r="AE448" s="104">
        <v>0</v>
      </c>
      <c r="AF448" s="107">
        <v>46265</v>
      </c>
    </row>
    <row r="449" spans="1:32" x14ac:dyDescent="0.25">
      <c r="A449" s="90">
        <v>1012</v>
      </c>
      <c r="B449" s="91" t="s">
        <v>32</v>
      </c>
      <c r="C449" s="29">
        <v>10120008</v>
      </c>
      <c r="D449" s="92" t="s">
        <v>710</v>
      </c>
      <c r="E449" s="93" t="s">
        <v>270</v>
      </c>
      <c r="F449" s="93" t="s">
        <v>231</v>
      </c>
      <c r="G449" s="109">
        <v>51.8</v>
      </c>
      <c r="H449" s="109">
        <v>1695.46</v>
      </c>
      <c r="I449" s="95">
        <v>0</v>
      </c>
      <c r="J449" s="95">
        <v>0</v>
      </c>
      <c r="K449" s="95">
        <v>0</v>
      </c>
      <c r="L449" s="95">
        <v>0</v>
      </c>
      <c r="M449" s="96">
        <v>0</v>
      </c>
      <c r="N449" s="97">
        <v>0</v>
      </c>
      <c r="O449" s="98">
        <v>0</v>
      </c>
      <c r="P449" s="33"/>
      <c r="Q449" s="99" t="s">
        <v>1198</v>
      </c>
      <c r="R449" s="100"/>
      <c r="S449" s="101">
        <v>0</v>
      </c>
      <c r="T449" s="102">
        <v>0</v>
      </c>
      <c r="U449" s="103">
        <v>0</v>
      </c>
      <c r="V449" s="103">
        <v>0</v>
      </c>
      <c r="W449" s="104">
        <v>0</v>
      </c>
      <c r="X449" s="19"/>
      <c r="Y449" s="103">
        <v>0</v>
      </c>
      <c r="Z449" s="103">
        <v>0</v>
      </c>
      <c r="AA449" s="105">
        <v>0</v>
      </c>
      <c r="AB449" s="106">
        <v>0</v>
      </c>
      <c r="AC449" s="105">
        <v>0</v>
      </c>
      <c r="AD449" s="104">
        <v>0</v>
      </c>
      <c r="AE449" s="104">
        <v>0</v>
      </c>
      <c r="AF449" s="107">
        <v>46265</v>
      </c>
    </row>
    <row r="450" spans="1:32" x14ac:dyDescent="0.25">
      <c r="A450" s="90">
        <v>1012</v>
      </c>
      <c r="B450" s="91" t="s">
        <v>32</v>
      </c>
      <c r="C450" s="29">
        <v>10120010</v>
      </c>
      <c r="D450" s="92" t="s">
        <v>41</v>
      </c>
      <c r="E450" s="93" t="s">
        <v>270</v>
      </c>
      <c r="F450" s="93" t="s">
        <v>231</v>
      </c>
      <c r="G450" s="109">
        <v>1746.5800000000002</v>
      </c>
      <c r="H450" s="109">
        <v>76778.19</v>
      </c>
      <c r="I450" s="95">
        <v>0</v>
      </c>
      <c r="J450" s="95">
        <v>2800</v>
      </c>
      <c r="K450" s="95">
        <v>0</v>
      </c>
      <c r="L450" s="95">
        <v>0</v>
      </c>
      <c r="M450" s="96">
        <v>0</v>
      </c>
      <c r="N450" s="97">
        <v>0</v>
      </c>
      <c r="O450" s="98">
        <v>0</v>
      </c>
      <c r="P450" s="33"/>
      <c r="Q450" s="99" t="s">
        <v>1198</v>
      </c>
      <c r="R450" s="100"/>
      <c r="S450" s="101">
        <v>0</v>
      </c>
      <c r="T450" s="102">
        <v>0</v>
      </c>
      <c r="U450" s="103">
        <v>0</v>
      </c>
      <c r="V450" s="103">
        <v>0</v>
      </c>
      <c r="W450" s="104">
        <v>0</v>
      </c>
      <c r="X450" s="19"/>
      <c r="Y450" s="103">
        <v>0</v>
      </c>
      <c r="Z450" s="103">
        <v>0</v>
      </c>
      <c r="AA450" s="105">
        <v>0</v>
      </c>
      <c r="AB450" s="106">
        <v>0</v>
      </c>
      <c r="AC450" s="105">
        <v>0</v>
      </c>
      <c r="AD450" s="104">
        <v>0</v>
      </c>
      <c r="AE450" s="104">
        <v>0</v>
      </c>
      <c r="AF450" s="107">
        <v>46265</v>
      </c>
    </row>
    <row r="451" spans="1:32" x14ac:dyDescent="0.25">
      <c r="A451" s="90">
        <v>1012</v>
      </c>
      <c r="B451" s="91" t="s">
        <v>32</v>
      </c>
      <c r="C451" s="29">
        <v>10120011</v>
      </c>
      <c r="D451" s="92" t="s">
        <v>151</v>
      </c>
      <c r="E451" s="93" t="s">
        <v>270</v>
      </c>
      <c r="F451" s="93" t="s">
        <v>231</v>
      </c>
      <c r="G451" s="109">
        <v>482.93000000000006</v>
      </c>
      <c r="H451" s="109">
        <v>20179.21</v>
      </c>
      <c r="I451" s="95">
        <v>0</v>
      </c>
      <c r="J451" s="95">
        <v>4650</v>
      </c>
      <c r="K451" s="95">
        <v>0</v>
      </c>
      <c r="L451" s="95">
        <v>0</v>
      </c>
      <c r="M451" s="96">
        <v>0</v>
      </c>
      <c r="N451" s="97">
        <v>0</v>
      </c>
      <c r="O451" s="98">
        <v>0</v>
      </c>
      <c r="P451" s="33"/>
      <c r="Q451" s="99" t="s">
        <v>1198</v>
      </c>
      <c r="R451" s="100"/>
      <c r="S451" s="101">
        <v>0</v>
      </c>
      <c r="T451" s="102">
        <v>0</v>
      </c>
      <c r="U451" s="103">
        <v>0</v>
      </c>
      <c r="V451" s="103">
        <v>0</v>
      </c>
      <c r="W451" s="104">
        <v>0</v>
      </c>
      <c r="X451" s="19"/>
      <c r="Y451" s="103">
        <v>0</v>
      </c>
      <c r="Z451" s="103">
        <v>0</v>
      </c>
      <c r="AA451" s="105">
        <v>0</v>
      </c>
      <c r="AB451" s="106">
        <v>0</v>
      </c>
      <c r="AC451" s="105">
        <v>0</v>
      </c>
      <c r="AD451" s="104">
        <v>0</v>
      </c>
      <c r="AE451" s="104">
        <v>0</v>
      </c>
      <c r="AF451" s="107">
        <v>46265</v>
      </c>
    </row>
    <row r="452" spans="1:32" x14ac:dyDescent="0.25">
      <c r="A452" s="90">
        <v>1012</v>
      </c>
      <c r="B452" s="91" t="s">
        <v>32</v>
      </c>
      <c r="C452" s="29">
        <v>10120012</v>
      </c>
      <c r="D452" s="92" t="s">
        <v>711</v>
      </c>
      <c r="E452" s="93" t="s">
        <v>270</v>
      </c>
      <c r="F452" s="93" t="s">
        <v>230</v>
      </c>
      <c r="G452" s="109">
        <v>534.90000000000009</v>
      </c>
      <c r="H452" s="109">
        <v>26318.219999999998</v>
      </c>
      <c r="I452" s="95">
        <v>1743</v>
      </c>
      <c r="J452" s="95">
        <v>0</v>
      </c>
      <c r="K452" s="95">
        <v>0</v>
      </c>
      <c r="L452" s="95">
        <v>0</v>
      </c>
      <c r="M452" s="96">
        <v>2</v>
      </c>
      <c r="N452" s="97">
        <v>0</v>
      </c>
      <c r="O452" s="98">
        <v>2</v>
      </c>
      <c r="P452" s="33" t="s">
        <v>328</v>
      </c>
      <c r="Q452" s="99" t="s">
        <v>1198</v>
      </c>
      <c r="R452" s="100"/>
      <c r="S452" s="101">
        <v>1.6338490976846197E-5</v>
      </c>
      <c r="T452" s="102">
        <v>17</v>
      </c>
      <c r="U452" s="103">
        <v>0</v>
      </c>
      <c r="V452" s="103">
        <v>0</v>
      </c>
      <c r="W452" s="104">
        <v>0</v>
      </c>
      <c r="X452" s="19"/>
      <c r="Y452" s="103">
        <v>0</v>
      </c>
      <c r="Z452" s="103">
        <v>0</v>
      </c>
      <c r="AA452" s="105">
        <v>0</v>
      </c>
      <c r="AB452" s="106">
        <v>0</v>
      </c>
      <c r="AC452" s="105">
        <v>0</v>
      </c>
      <c r="AD452" s="104">
        <v>0</v>
      </c>
      <c r="AE452" s="104">
        <v>0</v>
      </c>
      <c r="AF452" s="107">
        <v>46265</v>
      </c>
    </row>
    <row r="453" spans="1:32" x14ac:dyDescent="0.25">
      <c r="A453" s="90">
        <v>1012</v>
      </c>
      <c r="B453" s="91" t="s">
        <v>32</v>
      </c>
      <c r="C453" s="29">
        <v>10120013</v>
      </c>
      <c r="D453" s="92" t="s">
        <v>49</v>
      </c>
      <c r="E453" s="93" t="s">
        <v>270</v>
      </c>
      <c r="F453" s="93" t="s">
        <v>231</v>
      </c>
      <c r="G453" s="109">
        <v>288.75000000000006</v>
      </c>
      <c r="H453" s="109">
        <v>10361.840000000002</v>
      </c>
      <c r="I453" s="95">
        <v>0</v>
      </c>
      <c r="J453" s="95">
        <v>2800</v>
      </c>
      <c r="K453" s="95">
        <v>0</v>
      </c>
      <c r="L453" s="95">
        <v>0</v>
      </c>
      <c r="M453" s="96">
        <v>0</v>
      </c>
      <c r="N453" s="97">
        <v>0</v>
      </c>
      <c r="O453" s="98">
        <v>0</v>
      </c>
      <c r="P453" s="33"/>
      <c r="Q453" s="99" t="s">
        <v>1198</v>
      </c>
      <c r="R453" s="100"/>
      <c r="S453" s="101">
        <v>0</v>
      </c>
      <c r="T453" s="102">
        <v>0</v>
      </c>
      <c r="U453" s="103">
        <v>0</v>
      </c>
      <c r="V453" s="103">
        <v>0</v>
      </c>
      <c r="W453" s="104">
        <v>0</v>
      </c>
      <c r="X453" s="19"/>
      <c r="Y453" s="103">
        <v>0</v>
      </c>
      <c r="Z453" s="103">
        <v>0</v>
      </c>
      <c r="AA453" s="105">
        <v>0</v>
      </c>
      <c r="AB453" s="106">
        <v>0</v>
      </c>
      <c r="AC453" s="105">
        <v>0</v>
      </c>
      <c r="AD453" s="104">
        <v>0</v>
      </c>
      <c r="AE453" s="104">
        <v>0</v>
      </c>
      <c r="AF453" s="107">
        <v>46265</v>
      </c>
    </row>
    <row r="454" spans="1:32" x14ac:dyDescent="0.25">
      <c r="A454" s="90">
        <v>1012</v>
      </c>
      <c r="B454" s="91" t="s">
        <v>32</v>
      </c>
      <c r="C454" s="29">
        <v>10120014</v>
      </c>
      <c r="D454" s="92" t="s">
        <v>712</v>
      </c>
      <c r="E454" s="93" t="s">
        <v>270</v>
      </c>
      <c r="F454" s="93" t="s">
        <v>230</v>
      </c>
      <c r="G454" s="109">
        <v>1029.7599999999998</v>
      </c>
      <c r="H454" s="109">
        <v>44310.060000000005</v>
      </c>
      <c r="I454" s="95">
        <v>0</v>
      </c>
      <c r="J454" s="95">
        <v>0</v>
      </c>
      <c r="K454" s="95">
        <v>0</v>
      </c>
      <c r="L454" s="95">
        <v>0</v>
      </c>
      <c r="M454" s="96">
        <v>0</v>
      </c>
      <c r="N454" s="97">
        <v>0</v>
      </c>
      <c r="O454" s="98">
        <v>0</v>
      </c>
      <c r="P454" s="33"/>
      <c r="Q454" s="99" t="s">
        <v>1198</v>
      </c>
      <c r="R454" s="100"/>
      <c r="S454" s="101">
        <v>-1.2496710679245206E-2</v>
      </c>
      <c r="T454" s="102">
        <v>17</v>
      </c>
      <c r="U454" s="103">
        <v>0</v>
      </c>
      <c r="V454" s="103">
        <v>0</v>
      </c>
      <c r="W454" s="104">
        <v>0</v>
      </c>
      <c r="X454" s="19"/>
      <c r="Y454" s="103">
        <v>0</v>
      </c>
      <c r="Z454" s="103">
        <v>0</v>
      </c>
      <c r="AA454" s="105">
        <v>0</v>
      </c>
      <c r="AB454" s="106">
        <v>0</v>
      </c>
      <c r="AC454" s="105">
        <v>0</v>
      </c>
      <c r="AD454" s="104">
        <v>0</v>
      </c>
      <c r="AE454" s="104">
        <v>0</v>
      </c>
      <c r="AF454" s="107">
        <v>46265</v>
      </c>
    </row>
    <row r="455" spans="1:32" x14ac:dyDescent="0.25">
      <c r="A455" s="90">
        <v>1012</v>
      </c>
      <c r="B455" s="91" t="s">
        <v>32</v>
      </c>
      <c r="C455" s="29">
        <v>10120015</v>
      </c>
      <c r="D455" s="92" t="s">
        <v>556</v>
      </c>
      <c r="E455" s="93" t="s">
        <v>270</v>
      </c>
      <c r="F455" s="93" t="s">
        <v>230</v>
      </c>
      <c r="G455" s="109">
        <v>1119.21</v>
      </c>
      <c r="H455" s="109">
        <v>44904.84</v>
      </c>
      <c r="I455" s="95">
        <v>0</v>
      </c>
      <c r="J455" s="95">
        <v>0</v>
      </c>
      <c r="K455" s="95">
        <v>0</v>
      </c>
      <c r="L455" s="95">
        <v>0</v>
      </c>
      <c r="M455" s="96">
        <v>3</v>
      </c>
      <c r="N455" s="97">
        <v>0</v>
      </c>
      <c r="O455" s="98">
        <v>2</v>
      </c>
      <c r="P455" s="33"/>
      <c r="Q455" s="99" t="s">
        <v>1198</v>
      </c>
      <c r="R455" s="100"/>
      <c r="S455" s="101">
        <v>2.7391256710767158E-5</v>
      </c>
      <c r="T455" s="102">
        <v>16</v>
      </c>
      <c r="U455" s="103">
        <v>0</v>
      </c>
      <c r="V455" s="103">
        <v>0</v>
      </c>
      <c r="W455" s="104">
        <v>0</v>
      </c>
      <c r="X455" s="19"/>
      <c r="Y455" s="103">
        <v>0</v>
      </c>
      <c r="Z455" s="103">
        <v>0</v>
      </c>
      <c r="AA455" s="105">
        <v>0</v>
      </c>
      <c r="AB455" s="106">
        <v>0</v>
      </c>
      <c r="AC455" s="105">
        <v>0</v>
      </c>
      <c r="AD455" s="104">
        <v>0</v>
      </c>
      <c r="AE455" s="104">
        <v>0</v>
      </c>
      <c r="AF455" s="107">
        <v>46265</v>
      </c>
    </row>
    <row r="456" spans="1:32" x14ac:dyDescent="0.25">
      <c r="A456" s="90">
        <v>1012</v>
      </c>
      <c r="B456" s="91" t="s">
        <v>32</v>
      </c>
      <c r="C456" s="29">
        <v>10120016</v>
      </c>
      <c r="D456" s="92" t="s">
        <v>713</v>
      </c>
      <c r="E456" s="93" t="s">
        <v>270</v>
      </c>
      <c r="F456" s="93" t="s">
        <v>230</v>
      </c>
      <c r="G456" s="109">
        <v>180.25</v>
      </c>
      <c r="H456" s="109">
        <v>6608.6399999999994</v>
      </c>
      <c r="I456" s="95">
        <v>0</v>
      </c>
      <c r="J456" s="95">
        <v>0</v>
      </c>
      <c r="K456" s="95">
        <v>0</v>
      </c>
      <c r="L456" s="95">
        <v>0</v>
      </c>
      <c r="M456" s="96">
        <v>4</v>
      </c>
      <c r="N456" s="97">
        <v>0</v>
      </c>
      <c r="O456" s="98">
        <v>1</v>
      </c>
      <c r="P456" s="33"/>
      <c r="Q456" s="99" t="s">
        <v>1198</v>
      </c>
      <c r="R456" s="100"/>
      <c r="S456" s="101">
        <v>5.3566240557800912E-4</v>
      </c>
      <c r="T456" s="102">
        <v>5</v>
      </c>
      <c r="U456" s="103">
        <v>0</v>
      </c>
      <c r="V456" s="103">
        <v>0</v>
      </c>
      <c r="W456" s="104">
        <v>0</v>
      </c>
      <c r="X456" s="19"/>
      <c r="Y456" s="103">
        <v>0</v>
      </c>
      <c r="Z456" s="103">
        <v>0</v>
      </c>
      <c r="AA456" s="105">
        <v>0</v>
      </c>
      <c r="AB456" s="106">
        <v>0</v>
      </c>
      <c r="AC456" s="105">
        <v>0</v>
      </c>
      <c r="AD456" s="104">
        <v>0</v>
      </c>
      <c r="AE456" s="104">
        <v>0</v>
      </c>
      <c r="AF456" s="107">
        <v>46265</v>
      </c>
    </row>
    <row r="457" spans="1:32" x14ac:dyDescent="0.25">
      <c r="A457" s="90">
        <v>1012</v>
      </c>
      <c r="B457" s="91" t="s">
        <v>32</v>
      </c>
      <c r="C457" s="29">
        <v>10120017</v>
      </c>
      <c r="D457" s="92" t="s">
        <v>101</v>
      </c>
      <c r="E457" s="93" t="s">
        <v>270</v>
      </c>
      <c r="F457" s="93" t="s">
        <v>230</v>
      </c>
      <c r="G457" s="109">
        <v>443.66999999999996</v>
      </c>
      <c r="H457" s="109">
        <v>17971.930000000004</v>
      </c>
      <c r="I457" s="95">
        <v>0</v>
      </c>
      <c r="J457" s="95">
        <v>9148</v>
      </c>
      <c r="K457" s="95">
        <v>0</v>
      </c>
      <c r="L457" s="95">
        <v>0</v>
      </c>
      <c r="M457" s="96">
        <v>10</v>
      </c>
      <c r="N457" s="97">
        <v>0</v>
      </c>
      <c r="O457" s="98">
        <v>0</v>
      </c>
      <c r="P457" s="33"/>
      <c r="Q457" s="99" t="s">
        <v>1198</v>
      </c>
      <c r="R457" s="100"/>
      <c r="S457" s="101">
        <v>5.2637641032447617E-4</v>
      </c>
      <c r="T457" s="102">
        <v>3</v>
      </c>
      <c r="U457" s="103">
        <v>0</v>
      </c>
      <c r="V457" s="103">
        <v>0</v>
      </c>
      <c r="W457" s="104">
        <v>0</v>
      </c>
      <c r="X457" s="19"/>
      <c r="Y457" s="103">
        <v>0</v>
      </c>
      <c r="Z457" s="103">
        <v>0</v>
      </c>
      <c r="AA457" s="105">
        <v>0</v>
      </c>
      <c r="AB457" s="106">
        <v>0</v>
      </c>
      <c r="AC457" s="105">
        <v>0</v>
      </c>
      <c r="AD457" s="104">
        <v>0</v>
      </c>
      <c r="AE457" s="104">
        <v>0</v>
      </c>
      <c r="AF457" s="107">
        <v>46265</v>
      </c>
    </row>
    <row r="458" spans="1:32" x14ac:dyDescent="0.25">
      <c r="A458" s="90">
        <v>1012</v>
      </c>
      <c r="B458" s="91" t="s">
        <v>32</v>
      </c>
      <c r="C458" s="29">
        <v>10120018</v>
      </c>
      <c r="D458" s="92" t="s">
        <v>714</v>
      </c>
      <c r="E458" s="93" t="s">
        <v>270</v>
      </c>
      <c r="F458" s="93" t="s">
        <v>230</v>
      </c>
      <c r="G458" s="109">
        <v>311.34999999999997</v>
      </c>
      <c r="H458" s="109">
        <v>13097.539999999999</v>
      </c>
      <c r="I458" s="95">
        <v>0</v>
      </c>
      <c r="J458" s="95">
        <v>0</v>
      </c>
      <c r="K458" s="95">
        <v>0</v>
      </c>
      <c r="L458" s="95">
        <v>0</v>
      </c>
      <c r="M458" s="96">
        <v>2</v>
      </c>
      <c r="N458" s="97">
        <v>0</v>
      </c>
      <c r="O458" s="98">
        <v>0</v>
      </c>
      <c r="P458" s="33"/>
      <c r="Q458" s="99" t="s">
        <v>1198</v>
      </c>
      <c r="R458" s="100"/>
      <c r="S458" s="101">
        <v>8.3985236922381145E-5</v>
      </c>
      <c r="T458" s="102">
        <v>4</v>
      </c>
      <c r="U458" s="103">
        <v>0</v>
      </c>
      <c r="V458" s="103">
        <v>0</v>
      </c>
      <c r="W458" s="104">
        <v>0</v>
      </c>
      <c r="X458" s="19"/>
      <c r="Y458" s="103">
        <v>0</v>
      </c>
      <c r="Z458" s="103">
        <v>0</v>
      </c>
      <c r="AA458" s="105">
        <v>0</v>
      </c>
      <c r="AB458" s="106">
        <v>0</v>
      </c>
      <c r="AC458" s="105">
        <v>0</v>
      </c>
      <c r="AD458" s="104">
        <v>0</v>
      </c>
      <c r="AE458" s="104">
        <v>0</v>
      </c>
      <c r="AF458" s="107">
        <v>46265</v>
      </c>
    </row>
    <row r="459" spans="1:32" x14ac:dyDescent="0.25">
      <c r="A459" s="90">
        <v>1012</v>
      </c>
      <c r="B459" s="91" t="s">
        <v>32</v>
      </c>
      <c r="C459" s="29">
        <v>10120019</v>
      </c>
      <c r="D459" s="92" t="s">
        <v>715</v>
      </c>
      <c r="E459" s="93" t="s">
        <v>270</v>
      </c>
      <c r="F459" s="93" t="s">
        <v>230</v>
      </c>
      <c r="G459" s="109">
        <v>218.31</v>
      </c>
      <c r="H459" s="109">
        <v>9911.5499999999993</v>
      </c>
      <c r="I459" s="95">
        <v>0</v>
      </c>
      <c r="J459" s="95">
        <v>0</v>
      </c>
      <c r="K459" s="95">
        <v>0</v>
      </c>
      <c r="L459" s="95">
        <v>0</v>
      </c>
      <c r="M459" s="96">
        <v>0</v>
      </c>
      <c r="N459" s="97">
        <v>0</v>
      </c>
      <c r="O459" s="98">
        <v>-1</v>
      </c>
      <c r="P459" s="33"/>
      <c r="Q459" s="99" t="s">
        <v>1198</v>
      </c>
      <c r="R459" s="100"/>
      <c r="S459" s="101">
        <v>9.98834692859947E-5</v>
      </c>
      <c r="T459" s="102">
        <v>6</v>
      </c>
      <c r="U459" s="103">
        <v>0</v>
      </c>
      <c r="V459" s="103">
        <v>0</v>
      </c>
      <c r="W459" s="104">
        <v>0</v>
      </c>
      <c r="X459" s="19"/>
      <c r="Y459" s="103">
        <v>0</v>
      </c>
      <c r="Z459" s="103">
        <v>0</v>
      </c>
      <c r="AA459" s="105">
        <v>0</v>
      </c>
      <c r="AB459" s="106">
        <v>0</v>
      </c>
      <c r="AC459" s="105">
        <v>0</v>
      </c>
      <c r="AD459" s="104">
        <v>0</v>
      </c>
      <c r="AE459" s="104">
        <v>0</v>
      </c>
      <c r="AF459" s="107">
        <v>46265</v>
      </c>
    </row>
    <row r="460" spans="1:32" x14ac:dyDescent="0.25">
      <c r="A460" s="90">
        <v>1012</v>
      </c>
      <c r="B460" s="91" t="s">
        <v>32</v>
      </c>
      <c r="C460" s="29">
        <v>10120022</v>
      </c>
      <c r="D460" s="92" t="s">
        <v>144</v>
      </c>
      <c r="E460" s="93" t="s">
        <v>270</v>
      </c>
      <c r="F460" s="93" t="s">
        <v>231</v>
      </c>
      <c r="G460" s="109">
        <v>140.51000000000002</v>
      </c>
      <c r="H460" s="109">
        <v>6527.98</v>
      </c>
      <c r="I460" s="95">
        <v>0</v>
      </c>
      <c r="J460" s="95">
        <v>640</v>
      </c>
      <c r="K460" s="95">
        <v>0</v>
      </c>
      <c r="L460" s="95">
        <v>0</v>
      </c>
      <c r="M460" s="96">
        <v>0</v>
      </c>
      <c r="N460" s="97">
        <v>0</v>
      </c>
      <c r="O460" s="98">
        <v>0</v>
      </c>
      <c r="P460" s="33"/>
      <c r="Q460" s="99" t="s">
        <v>1198</v>
      </c>
      <c r="R460" s="100"/>
      <c r="S460" s="101">
        <v>0</v>
      </c>
      <c r="T460" s="102">
        <v>0</v>
      </c>
      <c r="U460" s="103">
        <v>0</v>
      </c>
      <c r="V460" s="103">
        <v>0</v>
      </c>
      <c r="W460" s="104">
        <v>0</v>
      </c>
      <c r="X460" s="19"/>
      <c r="Y460" s="103">
        <v>0</v>
      </c>
      <c r="Z460" s="103">
        <v>0</v>
      </c>
      <c r="AA460" s="105">
        <v>0</v>
      </c>
      <c r="AB460" s="106">
        <v>0</v>
      </c>
      <c r="AC460" s="105">
        <v>0</v>
      </c>
      <c r="AD460" s="104">
        <v>0</v>
      </c>
      <c r="AE460" s="104">
        <v>0</v>
      </c>
      <c r="AF460" s="107">
        <v>46265</v>
      </c>
    </row>
    <row r="461" spans="1:32" x14ac:dyDescent="0.25">
      <c r="A461" s="90">
        <v>1012</v>
      </c>
      <c r="B461" s="91" t="s">
        <v>32</v>
      </c>
      <c r="C461" s="29">
        <v>10120023</v>
      </c>
      <c r="D461" s="92" t="s">
        <v>716</v>
      </c>
      <c r="E461" s="93" t="s">
        <v>270</v>
      </c>
      <c r="F461" s="93" t="s">
        <v>231</v>
      </c>
      <c r="G461" s="109">
        <v>164.84</v>
      </c>
      <c r="H461" s="109">
        <v>6587.1900000000005</v>
      </c>
      <c r="I461" s="95">
        <v>0</v>
      </c>
      <c r="J461" s="95">
        <v>0</v>
      </c>
      <c r="K461" s="95">
        <v>0</v>
      </c>
      <c r="L461" s="95">
        <v>0</v>
      </c>
      <c r="M461" s="96">
        <v>0</v>
      </c>
      <c r="N461" s="97">
        <v>0</v>
      </c>
      <c r="O461" s="98">
        <v>0</v>
      </c>
      <c r="P461" s="33"/>
      <c r="Q461" s="99" t="s">
        <v>1198</v>
      </c>
      <c r="R461" s="100"/>
      <c r="S461" s="101">
        <v>0</v>
      </c>
      <c r="T461" s="102">
        <v>0</v>
      </c>
      <c r="U461" s="103">
        <v>0</v>
      </c>
      <c r="V461" s="103">
        <v>0</v>
      </c>
      <c r="W461" s="104">
        <v>0</v>
      </c>
      <c r="X461" s="19"/>
      <c r="Y461" s="103">
        <v>0</v>
      </c>
      <c r="Z461" s="103">
        <v>0</v>
      </c>
      <c r="AA461" s="105">
        <v>0</v>
      </c>
      <c r="AB461" s="106">
        <v>0</v>
      </c>
      <c r="AC461" s="105">
        <v>0</v>
      </c>
      <c r="AD461" s="104">
        <v>0</v>
      </c>
      <c r="AE461" s="104">
        <v>0</v>
      </c>
      <c r="AF461" s="107">
        <v>46265</v>
      </c>
    </row>
    <row r="462" spans="1:32" x14ac:dyDescent="0.25">
      <c r="A462" s="90">
        <v>1012</v>
      </c>
      <c r="B462" s="91" t="s">
        <v>32</v>
      </c>
      <c r="C462" s="29">
        <v>10120024</v>
      </c>
      <c r="D462" s="92" t="s">
        <v>717</v>
      </c>
      <c r="E462" s="93" t="s">
        <v>270</v>
      </c>
      <c r="F462" s="93" t="s">
        <v>231</v>
      </c>
      <c r="G462" s="109">
        <v>143.84</v>
      </c>
      <c r="H462" s="109">
        <v>5257.64</v>
      </c>
      <c r="I462" s="95">
        <v>0</v>
      </c>
      <c r="J462" s="95">
        <v>0</v>
      </c>
      <c r="K462" s="95">
        <v>0</v>
      </c>
      <c r="L462" s="95">
        <v>0</v>
      </c>
      <c r="M462" s="96">
        <v>0</v>
      </c>
      <c r="N462" s="97">
        <v>0</v>
      </c>
      <c r="O462" s="98">
        <v>0</v>
      </c>
      <c r="P462" s="33"/>
      <c r="Q462" s="99" t="s">
        <v>1198</v>
      </c>
      <c r="R462" s="100"/>
      <c r="S462" s="101">
        <v>0</v>
      </c>
      <c r="T462" s="102">
        <v>0</v>
      </c>
      <c r="U462" s="103">
        <v>0</v>
      </c>
      <c r="V462" s="103">
        <v>0</v>
      </c>
      <c r="W462" s="104">
        <v>0</v>
      </c>
      <c r="X462" s="19"/>
      <c r="Y462" s="103">
        <v>0</v>
      </c>
      <c r="Z462" s="103">
        <v>0</v>
      </c>
      <c r="AA462" s="105">
        <v>0</v>
      </c>
      <c r="AB462" s="106">
        <v>0</v>
      </c>
      <c r="AC462" s="105">
        <v>0</v>
      </c>
      <c r="AD462" s="104">
        <v>0</v>
      </c>
      <c r="AE462" s="104">
        <v>0</v>
      </c>
      <c r="AF462" s="107">
        <v>46265</v>
      </c>
    </row>
    <row r="463" spans="1:32" x14ac:dyDescent="0.25">
      <c r="A463" s="90">
        <v>1012</v>
      </c>
      <c r="B463" s="91" t="s">
        <v>32</v>
      </c>
      <c r="C463" s="29">
        <v>10120025</v>
      </c>
      <c r="D463" s="92" t="s">
        <v>718</v>
      </c>
      <c r="E463" s="93" t="s">
        <v>270</v>
      </c>
      <c r="F463" s="93" t="s">
        <v>230</v>
      </c>
      <c r="G463" s="109">
        <v>2626.1200000000003</v>
      </c>
      <c r="H463" s="109">
        <v>111036.74</v>
      </c>
      <c r="I463" s="95">
        <v>0</v>
      </c>
      <c r="J463" s="95">
        <v>0</v>
      </c>
      <c r="K463" s="95">
        <v>0</v>
      </c>
      <c r="L463" s="95">
        <v>0</v>
      </c>
      <c r="M463" s="96">
        <v>5</v>
      </c>
      <c r="N463" s="97">
        <v>0</v>
      </c>
      <c r="O463" s="98">
        <v>3</v>
      </c>
      <c r="P463" s="33"/>
      <c r="Q463" s="99" t="s">
        <v>1198</v>
      </c>
      <c r="R463" s="100"/>
      <c r="S463" s="101">
        <v>1.350904214239856E-5</v>
      </c>
      <c r="T463" s="102">
        <v>28</v>
      </c>
      <c r="U463" s="103">
        <v>0</v>
      </c>
      <c r="V463" s="103">
        <v>0</v>
      </c>
      <c r="W463" s="104">
        <v>0</v>
      </c>
      <c r="X463" s="19"/>
      <c r="Y463" s="103">
        <v>0</v>
      </c>
      <c r="Z463" s="103">
        <v>0</v>
      </c>
      <c r="AA463" s="105">
        <v>0</v>
      </c>
      <c r="AB463" s="106">
        <v>0</v>
      </c>
      <c r="AC463" s="105">
        <v>0</v>
      </c>
      <c r="AD463" s="104">
        <v>0</v>
      </c>
      <c r="AE463" s="104">
        <v>0</v>
      </c>
      <c r="AF463" s="107">
        <v>46265</v>
      </c>
    </row>
    <row r="464" spans="1:32" x14ac:dyDescent="0.25">
      <c r="A464" s="90">
        <v>1012</v>
      </c>
      <c r="B464" s="91" t="s">
        <v>32</v>
      </c>
      <c r="C464" s="29">
        <v>10120026</v>
      </c>
      <c r="D464" s="92" t="s">
        <v>719</v>
      </c>
      <c r="E464" s="93" t="s">
        <v>270</v>
      </c>
      <c r="F464" s="93" t="s">
        <v>231</v>
      </c>
      <c r="G464" s="109">
        <v>26.450000000000003</v>
      </c>
      <c r="H464" s="109">
        <v>972.32999999999993</v>
      </c>
      <c r="I464" s="95">
        <v>0</v>
      </c>
      <c r="J464" s="95">
        <v>0</v>
      </c>
      <c r="K464" s="95">
        <v>0</v>
      </c>
      <c r="L464" s="95">
        <v>0</v>
      </c>
      <c r="M464" s="96">
        <v>0</v>
      </c>
      <c r="N464" s="97">
        <v>0</v>
      </c>
      <c r="O464" s="98">
        <v>0</v>
      </c>
      <c r="P464" s="33"/>
      <c r="Q464" s="99" t="s">
        <v>1198</v>
      </c>
      <c r="R464" s="100"/>
      <c r="S464" s="101">
        <v>0</v>
      </c>
      <c r="T464" s="102">
        <v>0</v>
      </c>
      <c r="U464" s="103">
        <v>0</v>
      </c>
      <c r="V464" s="103">
        <v>0</v>
      </c>
      <c r="W464" s="104">
        <v>0</v>
      </c>
      <c r="X464" s="19"/>
      <c r="Y464" s="103">
        <v>0</v>
      </c>
      <c r="Z464" s="103">
        <v>0</v>
      </c>
      <c r="AA464" s="105">
        <v>0</v>
      </c>
      <c r="AB464" s="106">
        <v>0</v>
      </c>
      <c r="AC464" s="105">
        <v>0</v>
      </c>
      <c r="AD464" s="104">
        <v>0</v>
      </c>
      <c r="AE464" s="104">
        <v>0</v>
      </c>
      <c r="AF464" s="107">
        <v>46265</v>
      </c>
    </row>
    <row r="465" spans="1:32" x14ac:dyDescent="0.25">
      <c r="A465" s="90">
        <v>1012</v>
      </c>
      <c r="B465" s="91" t="s">
        <v>32</v>
      </c>
      <c r="C465" s="29">
        <v>10120029</v>
      </c>
      <c r="D465" s="92" t="s">
        <v>720</v>
      </c>
      <c r="E465" s="93" t="s">
        <v>270</v>
      </c>
      <c r="F465" s="93" t="s">
        <v>230</v>
      </c>
      <c r="G465" s="109">
        <v>462.38</v>
      </c>
      <c r="H465" s="109">
        <v>18446.450000000004</v>
      </c>
      <c r="I465" s="95">
        <v>0</v>
      </c>
      <c r="J465" s="95">
        <v>0</v>
      </c>
      <c r="K465" s="95">
        <v>0</v>
      </c>
      <c r="L465" s="95">
        <v>0</v>
      </c>
      <c r="M465" s="96">
        <v>3</v>
      </c>
      <c r="N465" s="97">
        <v>0</v>
      </c>
      <c r="O465" s="98">
        <v>0</v>
      </c>
      <c r="P465" s="33"/>
      <c r="Q465" s="99" t="s">
        <v>1198</v>
      </c>
      <c r="R465" s="100"/>
      <c r="S465" s="101">
        <v>1.6317502825758E-4</v>
      </c>
      <c r="T465" s="102">
        <v>14</v>
      </c>
      <c r="U465" s="103">
        <v>0</v>
      </c>
      <c r="V465" s="103">
        <v>0</v>
      </c>
      <c r="W465" s="104">
        <v>0</v>
      </c>
      <c r="X465" s="19"/>
      <c r="Y465" s="103">
        <v>0</v>
      </c>
      <c r="Z465" s="103">
        <v>0</v>
      </c>
      <c r="AA465" s="105">
        <v>0</v>
      </c>
      <c r="AB465" s="106">
        <v>0</v>
      </c>
      <c r="AC465" s="105">
        <v>0</v>
      </c>
      <c r="AD465" s="104">
        <v>0</v>
      </c>
      <c r="AE465" s="104">
        <v>0</v>
      </c>
      <c r="AF465" s="107">
        <v>46265</v>
      </c>
    </row>
    <row r="466" spans="1:32" x14ac:dyDescent="0.25">
      <c r="A466" s="90">
        <v>1012</v>
      </c>
      <c r="B466" s="91" t="s">
        <v>32</v>
      </c>
      <c r="C466" s="29">
        <v>10120031</v>
      </c>
      <c r="D466" s="92" t="s">
        <v>35</v>
      </c>
      <c r="E466" s="93" t="s">
        <v>270</v>
      </c>
      <c r="F466" s="93" t="s">
        <v>230</v>
      </c>
      <c r="G466" s="109">
        <v>419.78999999999996</v>
      </c>
      <c r="H466" s="109">
        <v>19569.93</v>
      </c>
      <c r="I466" s="95">
        <v>0</v>
      </c>
      <c r="J466" s="95">
        <v>2800</v>
      </c>
      <c r="K466" s="95">
        <v>0</v>
      </c>
      <c r="L466" s="95">
        <v>0</v>
      </c>
      <c r="M466" s="96">
        <v>5</v>
      </c>
      <c r="N466" s="97">
        <v>0</v>
      </c>
      <c r="O466" s="98">
        <v>2</v>
      </c>
      <c r="P466" s="33"/>
      <c r="Q466" s="99" t="s">
        <v>1198</v>
      </c>
      <c r="R466" s="100"/>
      <c r="S466" s="101">
        <v>1.497194931205134E-4</v>
      </c>
      <c r="T466" s="102">
        <v>13</v>
      </c>
      <c r="U466" s="103">
        <v>0</v>
      </c>
      <c r="V466" s="103">
        <v>0</v>
      </c>
      <c r="W466" s="104">
        <v>0</v>
      </c>
      <c r="X466" s="19"/>
      <c r="Y466" s="103">
        <v>0</v>
      </c>
      <c r="Z466" s="103">
        <v>0</v>
      </c>
      <c r="AA466" s="105">
        <v>0</v>
      </c>
      <c r="AB466" s="106">
        <v>0</v>
      </c>
      <c r="AC466" s="105">
        <v>0</v>
      </c>
      <c r="AD466" s="104">
        <v>0</v>
      </c>
      <c r="AE466" s="104">
        <v>0</v>
      </c>
      <c r="AF466" s="107">
        <v>46265</v>
      </c>
    </row>
    <row r="467" spans="1:32" x14ac:dyDescent="0.25">
      <c r="A467" s="90">
        <v>1012</v>
      </c>
      <c r="B467" s="91" t="s">
        <v>32</v>
      </c>
      <c r="C467" s="29">
        <v>10120034</v>
      </c>
      <c r="D467" s="92" t="s">
        <v>103</v>
      </c>
      <c r="E467" s="93" t="s">
        <v>270</v>
      </c>
      <c r="F467" s="93" t="s">
        <v>230</v>
      </c>
      <c r="G467" s="109">
        <v>174.54</v>
      </c>
      <c r="H467" s="109">
        <v>6446.3300000000008</v>
      </c>
      <c r="I467" s="95">
        <v>0</v>
      </c>
      <c r="J467" s="95">
        <v>4200</v>
      </c>
      <c r="K467" s="95">
        <v>0</v>
      </c>
      <c r="L467" s="95">
        <v>0</v>
      </c>
      <c r="M467" s="96">
        <v>0</v>
      </c>
      <c r="N467" s="97">
        <v>0</v>
      </c>
      <c r="O467" s="98">
        <v>0</v>
      </c>
      <c r="P467" s="33"/>
      <c r="Q467" s="99" t="s">
        <v>1198</v>
      </c>
      <c r="R467" s="100"/>
      <c r="S467" s="101">
        <v>-1.7606917424330655E-3</v>
      </c>
      <c r="T467" s="102">
        <v>5</v>
      </c>
      <c r="U467" s="103">
        <v>0</v>
      </c>
      <c r="V467" s="103">
        <v>0</v>
      </c>
      <c r="W467" s="104">
        <v>0</v>
      </c>
      <c r="X467" s="19"/>
      <c r="Y467" s="103">
        <v>0</v>
      </c>
      <c r="Z467" s="103">
        <v>0</v>
      </c>
      <c r="AA467" s="105">
        <v>0</v>
      </c>
      <c r="AB467" s="106">
        <v>0</v>
      </c>
      <c r="AC467" s="105">
        <v>0</v>
      </c>
      <c r="AD467" s="104">
        <v>0</v>
      </c>
      <c r="AE467" s="104">
        <v>0</v>
      </c>
      <c r="AF467" s="107">
        <v>46265</v>
      </c>
    </row>
    <row r="468" spans="1:32" x14ac:dyDescent="0.25">
      <c r="A468" s="90">
        <v>1012</v>
      </c>
      <c r="B468" s="91" t="s">
        <v>32</v>
      </c>
      <c r="C468" s="29">
        <v>10120035</v>
      </c>
      <c r="D468" s="92" t="s">
        <v>721</v>
      </c>
      <c r="E468" s="93" t="s">
        <v>270</v>
      </c>
      <c r="F468" s="93" t="s">
        <v>231</v>
      </c>
      <c r="G468" s="109">
        <v>317.23000000000008</v>
      </c>
      <c r="H468" s="109">
        <v>13748.680000000002</v>
      </c>
      <c r="I468" s="95">
        <v>0</v>
      </c>
      <c r="J468" s="95">
        <v>0</v>
      </c>
      <c r="K468" s="95">
        <v>0</v>
      </c>
      <c r="L468" s="95">
        <v>0</v>
      </c>
      <c r="M468" s="96">
        <v>0</v>
      </c>
      <c r="N468" s="97">
        <v>0</v>
      </c>
      <c r="O468" s="98">
        <v>0</v>
      </c>
      <c r="P468" s="33"/>
      <c r="Q468" s="99" t="s">
        <v>1198</v>
      </c>
      <c r="R468" s="100"/>
      <c r="S468" s="101">
        <v>0</v>
      </c>
      <c r="T468" s="102">
        <v>0</v>
      </c>
      <c r="U468" s="103">
        <v>0</v>
      </c>
      <c r="V468" s="103">
        <v>0</v>
      </c>
      <c r="W468" s="104">
        <v>0</v>
      </c>
      <c r="X468" s="19"/>
      <c r="Y468" s="103">
        <v>0</v>
      </c>
      <c r="Z468" s="103">
        <v>0</v>
      </c>
      <c r="AA468" s="105">
        <v>0</v>
      </c>
      <c r="AB468" s="106">
        <v>0</v>
      </c>
      <c r="AC468" s="105">
        <v>0</v>
      </c>
      <c r="AD468" s="104">
        <v>0</v>
      </c>
      <c r="AE468" s="104">
        <v>0</v>
      </c>
      <c r="AF468" s="107">
        <v>46265</v>
      </c>
    </row>
    <row r="469" spans="1:32" x14ac:dyDescent="0.25">
      <c r="A469" s="90">
        <v>1012</v>
      </c>
      <c r="B469" s="91" t="s">
        <v>32</v>
      </c>
      <c r="C469" s="29">
        <v>10120043</v>
      </c>
      <c r="D469" s="92" t="s">
        <v>722</v>
      </c>
      <c r="E469" s="93" t="s">
        <v>270</v>
      </c>
      <c r="F469" s="93" t="s">
        <v>230</v>
      </c>
      <c r="G469" s="109">
        <v>151.55000000000004</v>
      </c>
      <c r="H469" s="109">
        <v>8358.48</v>
      </c>
      <c r="I469" s="95">
        <v>0</v>
      </c>
      <c r="J469" s="95">
        <v>0</v>
      </c>
      <c r="K469" s="95">
        <v>500</v>
      </c>
      <c r="L469" s="95">
        <v>0</v>
      </c>
      <c r="M469" s="96">
        <v>25</v>
      </c>
      <c r="N469" s="97">
        <v>0</v>
      </c>
      <c r="O469" s="98">
        <v>-1</v>
      </c>
      <c r="P469" s="33"/>
      <c r="Q469" s="99" t="s">
        <v>1198</v>
      </c>
      <c r="R469" s="100"/>
      <c r="S469" s="101">
        <v>3.1321484289009833E-3</v>
      </c>
      <c r="T469" s="102">
        <v>7</v>
      </c>
      <c r="U469" s="103">
        <v>0</v>
      </c>
      <c r="V469" s="103">
        <v>0</v>
      </c>
      <c r="W469" s="104">
        <v>0</v>
      </c>
      <c r="X469" s="19"/>
      <c r="Y469" s="103">
        <v>500</v>
      </c>
      <c r="Z469" s="103">
        <v>0</v>
      </c>
      <c r="AA469" s="105">
        <v>0</v>
      </c>
      <c r="AB469" s="106">
        <v>500</v>
      </c>
      <c r="AC469" s="105">
        <v>500</v>
      </c>
      <c r="AD469" s="104">
        <v>0</v>
      </c>
      <c r="AE469" s="104">
        <v>0</v>
      </c>
      <c r="AF469" s="107">
        <v>46265</v>
      </c>
    </row>
    <row r="470" spans="1:32" x14ac:dyDescent="0.25">
      <c r="A470" s="90">
        <v>1012</v>
      </c>
      <c r="B470" s="91" t="s">
        <v>32</v>
      </c>
      <c r="C470" s="29">
        <v>10120046</v>
      </c>
      <c r="D470" s="92" t="s">
        <v>723</v>
      </c>
      <c r="E470" s="93" t="s">
        <v>270</v>
      </c>
      <c r="F470" s="93" t="s">
        <v>230</v>
      </c>
      <c r="G470" s="109">
        <v>2369.7600000000002</v>
      </c>
      <c r="H470" s="109">
        <v>94264.459999999992</v>
      </c>
      <c r="I470" s="95">
        <v>0</v>
      </c>
      <c r="J470" s="95">
        <v>0</v>
      </c>
      <c r="K470" s="95">
        <v>0</v>
      </c>
      <c r="L470" s="95">
        <v>0</v>
      </c>
      <c r="M470" s="96">
        <v>5</v>
      </c>
      <c r="N470" s="97">
        <v>0</v>
      </c>
      <c r="O470" s="98">
        <v>-1</v>
      </c>
      <c r="P470" s="33"/>
      <c r="Q470" s="99" t="s">
        <v>1198</v>
      </c>
      <c r="R470" s="100"/>
      <c r="S470" s="101">
        <v>5.7603894405246342E-5</v>
      </c>
      <c r="T470" s="102">
        <v>35</v>
      </c>
      <c r="U470" s="103">
        <v>0</v>
      </c>
      <c r="V470" s="103">
        <v>0</v>
      </c>
      <c r="W470" s="104">
        <v>0</v>
      </c>
      <c r="X470" s="19"/>
      <c r="Y470" s="103">
        <v>0</v>
      </c>
      <c r="Z470" s="103">
        <v>0</v>
      </c>
      <c r="AA470" s="105">
        <v>0</v>
      </c>
      <c r="AB470" s="106">
        <v>0</v>
      </c>
      <c r="AC470" s="105">
        <v>0</v>
      </c>
      <c r="AD470" s="104">
        <v>0</v>
      </c>
      <c r="AE470" s="104">
        <v>0</v>
      </c>
      <c r="AF470" s="107">
        <v>46265</v>
      </c>
    </row>
    <row r="471" spans="1:32" x14ac:dyDescent="0.25">
      <c r="A471" s="90">
        <v>1012</v>
      </c>
      <c r="B471" s="91" t="s">
        <v>32</v>
      </c>
      <c r="C471" s="29">
        <v>10120049</v>
      </c>
      <c r="D471" s="92" t="s">
        <v>104</v>
      </c>
      <c r="E471" s="93" t="s">
        <v>275</v>
      </c>
      <c r="F471" s="93" t="s">
        <v>231</v>
      </c>
      <c r="G471" s="109">
        <v>265.07</v>
      </c>
      <c r="H471" s="109">
        <v>12439.38</v>
      </c>
      <c r="I471" s="95">
        <v>0</v>
      </c>
      <c r="J471" s="95">
        <v>3100</v>
      </c>
      <c r="K471" s="95">
        <v>0</v>
      </c>
      <c r="L471" s="95">
        <v>0</v>
      </c>
      <c r="M471" s="96">
        <v>0</v>
      </c>
      <c r="N471" s="97">
        <v>0</v>
      </c>
      <c r="O471" s="98">
        <v>0</v>
      </c>
      <c r="P471" s="33"/>
      <c r="Q471" s="99" t="s">
        <v>1198</v>
      </c>
      <c r="R471" s="100"/>
      <c r="S471" s="101">
        <v>0</v>
      </c>
      <c r="T471" s="102">
        <v>0</v>
      </c>
      <c r="U471" s="103">
        <v>0</v>
      </c>
      <c r="V471" s="103">
        <v>0</v>
      </c>
      <c r="W471" s="104">
        <v>0</v>
      </c>
      <c r="X471" s="19"/>
      <c r="Y471" s="103">
        <v>0</v>
      </c>
      <c r="Z471" s="103">
        <v>0</v>
      </c>
      <c r="AA471" s="105">
        <v>0</v>
      </c>
      <c r="AB471" s="106">
        <v>0</v>
      </c>
      <c r="AC471" s="105">
        <v>0</v>
      </c>
      <c r="AD471" s="104">
        <v>0</v>
      </c>
      <c r="AE471" s="104">
        <v>0</v>
      </c>
      <c r="AF471" s="107">
        <v>46265</v>
      </c>
    </row>
    <row r="472" spans="1:32" x14ac:dyDescent="0.25">
      <c r="A472" s="90">
        <v>1012</v>
      </c>
      <c r="B472" s="91" t="s">
        <v>32</v>
      </c>
      <c r="C472" s="29">
        <v>10120050</v>
      </c>
      <c r="D472" s="92" t="s">
        <v>724</v>
      </c>
      <c r="E472" s="93" t="s">
        <v>275</v>
      </c>
      <c r="F472" s="93" t="s">
        <v>231</v>
      </c>
      <c r="G472" s="109">
        <v>4820</v>
      </c>
      <c r="H472" s="109">
        <v>171937.4</v>
      </c>
      <c r="I472" s="95">
        <v>0</v>
      </c>
      <c r="J472" s="95">
        <v>0</v>
      </c>
      <c r="K472" s="95">
        <v>0</v>
      </c>
      <c r="L472" s="95">
        <v>0</v>
      </c>
      <c r="M472" s="96">
        <v>0</v>
      </c>
      <c r="N472" s="97">
        <v>0</v>
      </c>
      <c r="O472" s="98">
        <v>0</v>
      </c>
      <c r="P472" s="33"/>
      <c r="Q472" s="99" t="s">
        <v>1198</v>
      </c>
      <c r="R472" s="100"/>
      <c r="S472" s="101">
        <v>0</v>
      </c>
      <c r="T472" s="102">
        <v>0</v>
      </c>
      <c r="U472" s="103">
        <v>0</v>
      </c>
      <c r="V472" s="103">
        <v>0</v>
      </c>
      <c r="W472" s="104">
        <v>0</v>
      </c>
      <c r="X472" s="19"/>
      <c r="Y472" s="103">
        <v>0</v>
      </c>
      <c r="Z472" s="103">
        <v>0</v>
      </c>
      <c r="AA472" s="105">
        <v>0</v>
      </c>
      <c r="AB472" s="106">
        <v>0</v>
      </c>
      <c r="AC472" s="105">
        <v>0</v>
      </c>
      <c r="AD472" s="104">
        <v>0</v>
      </c>
      <c r="AE472" s="104">
        <v>0</v>
      </c>
      <c r="AF472" s="107">
        <v>46265</v>
      </c>
    </row>
    <row r="473" spans="1:32" x14ac:dyDescent="0.25">
      <c r="A473" s="90">
        <v>1012</v>
      </c>
      <c r="B473" s="91" t="s">
        <v>32</v>
      </c>
      <c r="C473" s="29">
        <v>10120051</v>
      </c>
      <c r="D473" s="92" t="s">
        <v>725</v>
      </c>
      <c r="E473" s="93" t="s">
        <v>270</v>
      </c>
      <c r="F473" s="93" t="s">
        <v>230</v>
      </c>
      <c r="G473" s="109">
        <v>307.36</v>
      </c>
      <c r="H473" s="109">
        <v>13147.71</v>
      </c>
      <c r="I473" s="95">
        <v>0</v>
      </c>
      <c r="J473" s="95">
        <v>0</v>
      </c>
      <c r="K473" s="95">
        <v>0</v>
      </c>
      <c r="L473" s="95">
        <v>0</v>
      </c>
      <c r="M473" s="96">
        <v>13</v>
      </c>
      <c r="N473" s="97">
        <v>0</v>
      </c>
      <c r="O473" s="98">
        <v>0</v>
      </c>
      <c r="P473" s="33"/>
      <c r="Q473" s="99" t="s">
        <v>1198</v>
      </c>
      <c r="R473" s="100"/>
      <c r="S473" s="101">
        <v>9.7659592430940183E-4</v>
      </c>
      <c r="T473" s="102">
        <v>11</v>
      </c>
      <c r="U473" s="103">
        <v>0</v>
      </c>
      <c r="V473" s="103">
        <v>0</v>
      </c>
      <c r="W473" s="104">
        <v>0</v>
      </c>
      <c r="X473" s="19"/>
      <c r="Y473" s="103">
        <v>0</v>
      </c>
      <c r="Z473" s="103">
        <v>0</v>
      </c>
      <c r="AA473" s="105">
        <v>0</v>
      </c>
      <c r="AB473" s="106">
        <v>0</v>
      </c>
      <c r="AC473" s="105">
        <v>0</v>
      </c>
      <c r="AD473" s="104">
        <v>0</v>
      </c>
      <c r="AE473" s="104">
        <v>0</v>
      </c>
      <c r="AF473" s="107">
        <v>46265</v>
      </c>
    </row>
    <row r="474" spans="1:32" x14ac:dyDescent="0.25">
      <c r="A474" s="90">
        <v>1012</v>
      </c>
      <c r="B474" s="91" t="s">
        <v>32</v>
      </c>
      <c r="C474" s="29">
        <v>10120052</v>
      </c>
      <c r="D474" s="92" t="s">
        <v>36</v>
      </c>
      <c r="E474" s="93" t="s">
        <v>270</v>
      </c>
      <c r="F474" s="93" t="s">
        <v>230</v>
      </c>
      <c r="G474" s="109">
        <v>1288.43</v>
      </c>
      <c r="H474" s="109">
        <v>51643.62</v>
      </c>
      <c r="I474" s="95">
        <v>0</v>
      </c>
      <c r="J474" s="95">
        <v>2800</v>
      </c>
      <c r="K474" s="95">
        <v>0</v>
      </c>
      <c r="L474" s="95">
        <v>0</v>
      </c>
      <c r="M474" s="96">
        <v>0</v>
      </c>
      <c r="N474" s="97">
        <v>0</v>
      </c>
      <c r="O474" s="98">
        <v>-2</v>
      </c>
      <c r="P474" s="33"/>
      <c r="Q474" s="99" t="s">
        <v>1198</v>
      </c>
      <c r="R474" s="100"/>
      <c r="S474" s="101">
        <v>2.2074362719086963E-5</v>
      </c>
      <c r="T474" s="102">
        <v>35</v>
      </c>
      <c r="U474" s="103">
        <v>0</v>
      </c>
      <c r="V474" s="103">
        <v>0</v>
      </c>
      <c r="W474" s="104">
        <v>0</v>
      </c>
      <c r="X474" s="19"/>
      <c r="Y474" s="103">
        <v>0</v>
      </c>
      <c r="Z474" s="103">
        <v>0</v>
      </c>
      <c r="AA474" s="105">
        <v>0</v>
      </c>
      <c r="AB474" s="106">
        <v>0</v>
      </c>
      <c r="AC474" s="105">
        <v>0</v>
      </c>
      <c r="AD474" s="104">
        <v>0</v>
      </c>
      <c r="AE474" s="104">
        <v>0</v>
      </c>
      <c r="AF474" s="107">
        <v>46265</v>
      </c>
    </row>
    <row r="475" spans="1:32" x14ac:dyDescent="0.25">
      <c r="A475" s="90">
        <v>1012</v>
      </c>
      <c r="B475" s="91" t="s">
        <v>32</v>
      </c>
      <c r="C475" s="29">
        <v>10120053</v>
      </c>
      <c r="D475" s="92" t="s">
        <v>726</v>
      </c>
      <c r="E475" s="93" t="s">
        <v>270</v>
      </c>
      <c r="F475" s="93" t="s">
        <v>230</v>
      </c>
      <c r="G475" s="109">
        <v>138.41999999999999</v>
      </c>
      <c r="H475" s="109">
        <v>5653.5499999999993</v>
      </c>
      <c r="I475" s="95">
        <v>0</v>
      </c>
      <c r="J475" s="95">
        <v>0</v>
      </c>
      <c r="K475" s="95">
        <v>0</v>
      </c>
      <c r="L475" s="95">
        <v>0</v>
      </c>
      <c r="M475" s="96">
        <v>34</v>
      </c>
      <c r="N475" s="97">
        <v>0</v>
      </c>
      <c r="O475" s="98">
        <v>1</v>
      </c>
      <c r="P475" s="33"/>
      <c r="Q475" s="99" t="s">
        <v>1198</v>
      </c>
      <c r="R475" s="100"/>
      <c r="S475" s="101">
        <v>5.8105084415983853E-3</v>
      </c>
      <c r="T475" s="102">
        <v>6</v>
      </c>
      <c r="U475" s="103">
        <v>0</v>
      </c>
      <c r="V475" s="103">
        <v>0</v>
      </c>
      <c r="W475" s="104">
        <v>0</v>
      </c>
      <c r="X475" s="19"/>
      <c r="Y475" s="103">
        <v>0</v>
      </c>
      <c r="Z475" s="103">
        <v>0</v>
      </c>
      <c r="AA475" s="105">
        <v>0</v>
      </c>
      <c r="AB475" s="106">
        <v>0</v>
      </c>
      <c r="AC475" s="105">
        <v>0</v>
      </c>
      <c r="AD475" s="104">
        <v>0</v>
      </c>
      <c r="AE475" s="104">
        <v>0</v>
      </c>
      <c r="AF475" s="107">
        <v>46265</v>
      </c>
    </row>
    <row r="476" spans="1:32" x14ac:dyDescent="0.25">
      <c r="A476" s="90">
        <v>1012</v>
      </c>
      <c r="B476" s="91" t="s">
        <v>32</v>
      </c>
      <c r="C476" s="29">
        <v>10120060</v>
      </c>
      <c r="D476" s="92" t="s">
        <v>727</v>
      </c>
      <c r="E476" s="93" t="s">
        <v>275</v>
      </c>
      <c r="F476" s="93" t="s">
        <v>231</v>
      </c>
      <c r="G476" s="109">
        <v>5370</v>
      </c>
      <c r="H476" s="109">
        <v>193699.5</v>
      </c>
      <c r="I476" s="95">
        <v>0</v>
      </c>
      <c r="J476" s="95">
        <v>0</v>
      </c>
      <c r="K476" s="95">
        <v>0</v>
      </c>
      <c r="L476" s="95">
        <v>0</v>
      </c>
      <c r="M476" s="96">
        <v>0</v>
      </c>
      <c r="N476" s="97">
        <v>0</v>
      </c>
      <c r="O476" s="98">
        <v>0</v>
      </c>
      <c r="P476" s="33"/>
      <c r="Q476" s="99" t="s">
        <v>1198</v>
      </c>
      <c r="R476" s="100"/>
      <c r="S476" s="101">
        <v>0</v>
      </c>
      <c r="T476" s="102">
        <v>0</v>
      </c>
      <c r="U476" s="103">
        <v>0</v>
      </c>
      <c r="V476" s="103">
        <v>0</v>
      </c>
      <c r="W476" s="104">
        <v>0</v>
      </c>
      <c r="X476" s="19"/>
      <c r="Y476" s="103">
        <v>0</v>
      </c>
      <c r="Z476" s="103">
        <v>0</v>
      </c>
      <c r="AA476" s="105">
        <v>0</v>
      </c>
      <c r="AB476" s="106">
        <v>0</v>
      </c>
      <c r="AC476" s="105">
        <v>0</v>
      </c>
      <c r="AD476" s="104">
        <v>0</v>
      </c>
      <c r="AE476" s="104">
        <v>0</v>
      </c>
      <c r="AF476" s="107">
        <v>46265</v>
      </c>
    </row>
    <row r="477" spans="1:32" x14ac:dyDescent="0.25">
      <c r="A477" s="90">
        <v>1012</v>
      </c>
      <c r="B477" s="91" t="s">
        <v>32</v>
      </c>
      <c r="C477" s="29">
        <v>10120067</v>
      </c>
      <c r="D477" s="92" t="s">
        <v>728</v>
      </c>
      <c r="E477" s="93" t="s">
        <v>275</v>
      </c>
      <c r="F477" s="93" t="s">
        <v>231</v>
      </c>
      <c r="G477" s="109">
        <v>76.45</v>
      </c>
      <c r="H477" s="109">
        <v>2700.93</v>
      </c>
      <c r="I477" s="95">
        <v>0</v>
      </c>
      <c r="J477" s="95">
        <v>0</v>
      </c>
      <c r="K477" s="95">
        <v>0</v>
      </c>
      <c r="L477" s="95">
        <v>0</v>
      </c>
      <c r="M477" s="96">
        <v>0</v>
      </c>
      <c r="N477" s="97">
        <v>0</v>
      </c>
      <c r="O477" s="98">
        <v>0</v>
      </c>
      <c r="P477" s="33"/>
      <c r="Q477" s="99" t="s">
        <v>1198</v>
      </c>
      <c r="R477" s="100"/>
      <c r="S477" s="101">
        <v>0</v>
      </c>
      <c r="T477" s="102">
        <v>0</v>
      </c>
      <c r="U477" s="103">
        <v>0</v>
      </c>
      <c r="V477" s="103">
        <v>0</v>
      </c>
      <c r="W477" s="104">
        <v>0</v>
      </c>
      <c r="X477" s="19"/>
      <c r="Y477" s="103">
        <v>0</v>
      </c>
      <c r="Z477" s="103">
        <v>0</v>
      </c>
      <c r="AA477" s="105">
        <v>0</v>
      </c>
      <c r="AB477" s="106">
        <v>0</v>
      </c>
      <c r="AC477" s="105">
        <v>0</v>
      </c>
      <c r="AD477" s="104">
        <v>0</v>
      </c>
      <c r="AE477" s="104">
        <v>0</v>
      </c>
      <c r="AF477" s="107">
        <v>46265</v>
      </c>
    </row>
    <row r="478" spans="1:32" x14ac:dyDescent="0.25">
      <c r="A478" s="90">
        <v>1012</v>
      </c>
      <c r="B478" s="91" t="s">
        <v>32</v>
      </c>
      <c r="C478" s="29">
        <v>10120071</v>
      </c>
      <c r="D478" s="92" t="s">
        <v>729</v>
      </c>
      <c r="E478" s="93" t="s">
        <v>270</v>
      </c>
      <c r="F478" s="93" t="s">
        <v>230</v>
      </c>
      <c r="G478" s="109">
        <v>883.8</v>
      </c>
      <c r="H478" s="109">
        <v>35244.879999999997</v>
      </c>
      <c r="I478" s="95">
        <v>0</v>
      </c>
      <c r="J478" s="95">
        <v>0</v>
      </c>
      <c r="K478" s="95">
        <v>0</v>
      </c>
      <c r="L478" s="95">
        <v>0</v>
      </c>
      <c r="M478" s="96">
        <v>0</v>
      </c>
      <c r="N478" s="97">
        <v>0</v>
      </c>
      <c r="O478" s="98">
        <v>0</v>
      </c>
      <c r="P478" s="33"/>
      <c r="Q478" s="99" t="s">
        <v>1198</v>
      </c>
      <c r="R478" s="100"/>
      <c r="S478" s="101">
        <v>3.9722081618498325E-6</v>
      </c>
      <c r="T478" s="102">
        <v>12</v>
      </c>
      <c r="U478" s="103">
        <v>0</v>
      </c>
      <c r="V478" s="103">
        <v>0</v>
      </c>
      <c r="W478" s="104">
        <v>0</v>
      </c>
      <c r="X478" s="19"/>
      <c r="Y478" s="103">
        <v>0</v>
      </c>
      <c r="Z478" s="103">
        <v>0</v>
      </c>
      <c r="AA478" s="105">
        <v>0</v>
      </c>
      <c r="AB478" s="106">
        <v>0</v>
      </c>
      <c r="AC478" s="105">
        <v>0</v>
      </c>
      <c r="AD478" s="104">
        <v>0</v>
      </c>
      <c r="AE478" s="104">
        <v>0</v>
      </c>
      <c r="AF478" s="107">
        <v>46265</v>
      </c>
    </row>
    <row r="479" spans="1:32" x14ac:dyDescent="0.25">
      <c r="A479" s="90">
        <v>1012</v>
      </c>
      <c r="B479" s="91" t="s">
        <v>32</v>
      </c>
      <c r="C479" s="29">
        <v>10120084</v>
      </c>
      <c r="D479" s="92" t="s">
        <v>730</v>
      </c>
      <c r="E479" s="93" t="s">
        <v>270</v>
      </c>
      <c r="F479" s="93" t="s">
        <v>230</v>
      </c>
      <c r="G479" s="109">
        <v>2361.0099999999998</v>
      </c>
      <c r="H479" s="109">
        <v>126700.09999999999</v>
      </c>
      <c r="I479" s="95">
        <v>0</v>
      </c>
      <c r="J479" s="95">
        <v>0</v>
      </c>
      <c r="K479" s="95">
        <v>0</v>
      </c>
      <c r="L479" s="95">
        <v>0</v>
      </c>
      <c r="M479" s="96">
        <v>5</v>
      </c>
      <c r="N479" s="97">
        <v>0</v>
      </c>
      <c r="O479" s="98">
        <v>1</v>
      </c>
      <c r="P479" s="33"/>
      <c r="Q479" s="99" t="s">
        <v>1198</v>
      </c>
      <c r="R479" s="100"/>
      <c r="S479" s="101">
        <v>3.4017337002757849E-5</v>
      </c>
      <c r="T479" s="102">
        <v>43</v>
      </c>
      <c r="U479" s="103">
        <v>0</v>
      </c>
      <c r="V479" s="103">
        <v>0</v>
      </c>
      <c r="W479" s="104">
        <v>0</v>
      </c>
      <c r="X479" s="19"/>
      <c r="Y479" s="103">
        <v>0</v>
      </c>
      <c r="Z479" s="103">
        <v>0</v>
      </c>
      <c r="AA479" s="105">
        <v>0</v>
      </c>
      <c r="AB479" s="106">
        <v>0</v>
      </c>
      <c r="AC479" s="105">
        <v>0</v>
      </c>
      <c r="AD479" s="104">
        <v>0</v>
      </c>
      <c r="AE479" s="104">
        <v>0</v>
      </c>
      <c r="AF479" s="107">
        <v>46265</v>
      </c>
    </row>
    <row r="480" spans="1:32" x14ac:dyDescent="0.25">
      <c r="A480" s="90">
        <v>1062</v>
      </c>
      <c r="B480" s="91" t="s">
        <v>1193</v>
      </c>
      <c r="C480" s="29">
        <v>10120088</v>
      </c>
      <c r="D480" s="92" t="s">
        <v>731</v>
      </c>
      <c r="E480" s="93" t="s">
        <v>275</v>
      </c>
      <c r="F480" s="93" t="s">
        <v>231</v>
      </c>
      <c r="G480" s="109">
        <v>6907.2199999999993</v>
      </c>
      <c r="H480" s="109">
        <v>307700.37</v>
      </c>
      <c r="I480" s="95">
        <v>0</v>
      </c>
      <c r="J480" s="95">
        <v>0</v>
      </c>
      <c r="K480" s="95">
        <v>0</v>
      </c>
      <c r="L480" s="95">
        <v>0</v>
      </c>
      <c r="M480" s="96">
        <v>0</v>
      </c>
      <c r="N480" s="97">
        <v>0</v>
      </c>
      <c r="O480" s="98">
        <v>0</v>
      </c>
      <c r="P480" s="33"/>
      <c r="Q480" s="99" t="s">
        <v>1198</v>
      </c>
      <c r="R480" s="100"/>
      <c r="S480" s="101">
        <v>0</v>
      </c>
      <c r="T480" s="102">
        <v>0</v>
      </c>
      <c r="U480" s="103">
        <v>0</v>
      </c>
      <c r="V480" s="103">
        <v>0</v>
      </c>
      <c r="W480" s="104">
        <v>0</v>
      </c>
      <c r="X480" s="19"/>
      <c r="Y480" s="103">
        <v>0</v>
      </c>
      <c r="Z480" s="103">
        <v>0</v>
      </c>
      <c r="AA480" s="105">
        <v>0</v>
      </c>
      <c r="AB480" s="106">
        <v>0</v>
      </c>
      <c r="AC480" s="105">
        <v>0</v>
      </c>
      <c r="AD480" s="104">
        <v>0</v>
      </c>
      <c r="AE480" s="104">
        <v>0</v>
      </c>
      <c r="AF480" s="107">
        <v>46265</v>
      </c>
    </row>
    <row r="481" spans="1:32" x14ac:dyDescent="0.25">
      <c r="A481" s="90">
        <v>1012</v>
      </c>
      <c r="B481" s="91" t="s">
        <v>32</v>
      </c>
      <c r="C481" s="29">
        <v>10120089</v>
      </c>
      <c r="D481" s="92" t="s">
        <v>136</v>
      </c>
      <c r="E481" s="93" t="s">
        <v>270</v>
      </c>
      <c r="F481" s="93" t="s">
        <v>230</v>
      </c>
      <c r="G481" s="109">
        <v>478.42</v>
      </c>
      <c r="H481" s="109">
        <v>18999.450000000004</v>
      </c>
      <c r="I481" s="95">
        <v>0</v>
      </c>
      <c r="J481" s="95">
        <v>1400</v>
      </c>
      <c r="K481" s="95">
        <v>0</v>
      </c>
      <c r="L481" s="95">
        <v>0</v>
      </c>
      <c r="M481" s="96">
        <v>3</v>
      </c>
      <c r="N481" s="97">
        <v>0</v>
      </c>
      <c r="O481" s="98">
        <v>2</v>
      </c>
      <c r="P481" s="33"/>
      <c r="Q481" s="99" t="s">
        <v>1198</v>
      </c>
      <c r="R481" s="100"/>
      <c r="S481" s="101">
        <v>7.3160012526839223E-5</v>
      </c>
      <c r="T481" s="102">
        <v>10</v>
      </c>
      <c r="U481" s="103">
        <v>0</v>
      </c>
      <c r="V481" s="103">
        <v>0</v>
      </c>
      <c r="W481" s="104">
        <v>0</v>
      </c>
      <c r="X481" s="19"/>
      <c r="Y481" s="103">
        <v>0</v>
      </c>
      <c r="Z481" s="103">
        <v>0</v>
      </c>
      <c r="AA481" s="105">
        <v>0</v>
      </c>
      <c r="AB481" s="106">
        <v>0</v>
      </c>
      <c r="AC481" s="105">
        <v>0</v>
      </c>
      <c r="AD481" s="104">
        <v>0</v>
      </c>
      <c r="AE481" s="104">
        <v>0</v>
      </c>
      <c r="AF481" s="107">
        <v>46265</v>
      </c>
    </row>
    <row r="482" spans="1:32" x14ac:dyDescent="0.25">
      <c r="A482" s="90">
        <v>1012</v>
      </c>
      <c r="B482" s="91" t="s">
        <v>32</v>
      </c>
      <c r="C482" s="29">
        <v>10120091</v>
      </c>
      <c r="D482" s="92" t="s">
        <v>305</v>
      </c>
      <c r="E482" s="93" t="s">
        <v>270</v>
      </c>
      <c r="F482" s="93" t="s">
        <v>230</v>
      </c>
      <c r="G482" s="109">
        <v>349.89000000000004</v>
      </c>
      <c r="H482" s="109">
        <v>13658.89</v>
      </c>
      <c r="I482" s="95">
        <v>0</v>
      </c>
      <c r="J482" s="95">
        <v>0</v>
      </c>
      <c r="K482" s="95">
        <v>0</v>
      </c>
      <c r="L482" s="95">
        <v>0</v>
      </c>
      <c r="M482" s="96">
        <v>637</v>
      </c>
      <c r="N482" s="97">
        <v>0</v>
      </c>
      <c r="O482" s="98">
        <v>0</v>
      </c>
      <c r="P482" s="33"/>
      <c r="Q482" s="99" t="s">
        <v>1198</v>
      </c>
      <c r="R482" s="100"/>
      <c r="S482" s="101">
        <v>4.6648007268526206E-2</v>
      </c>
      <c r="T482" s="102">
        <v>12</v>
      </c>
      <c r="U482" s="103">
        <v>0</v>
      </c>
      <c r="V482" s="103">
        <v>0</v>
      </c>
      <c r="W482" s="104">
        <v>0</v>
      </c>
      <c r="X482" s="19"/>
      <c r="Y482" s="103">
        <v>0</v>
      </c>
      <c r="Z482" s="103">
        <v>0</v>
      </c>
      <c r="AA482" s="105">
        <v>0</v>
      </c>
      <c r="AB482" s="106">
        <v>0</v>
      </c>
      <c r="AC482" s="105">
        <v>0</v>
      </c>
      <c r="AD482" s="104">
        <v>0</v>
      </c>
      <c r="AE482" s="104">
        <v>0</v>
      </c>
      <c r="AF482" s="107">
        <v>46265</v>
      </c>
    </row>
    <row r="483" spans="1:32" x14ac:dyDescent="0.25">
      <c r="A483" s="90">
        <v>1012</v>
      </c>
      <c r="B483" s="91" t="s">
        <v>32</v>
      </c>
      <c r="C483" s="29">
        <v>10120094</v>
      </c>
      <c r="D483" s="92" t="s">
        <v>99</v>
      </c>
      <c r="E483" s="93" t="s">
        <v>270</v>
      </c>
      <c r="F483" s="93" t="s">
        <v>230</v>
      </c>
      <c r="G483" s="109">
        <v>1235.4999999999998</v>
      </c>
      <c r="H483" s="109">
        <v>57288.319999999985</v>
      </c>
      <c r="I483" s="95">
        <v>0</v>
      </c>
      <c r="J483" s="95">
        <v>7000</v>
      </c>
      <c r="K483" s="95">
        <v>0</v>
      </c>
      <c r="L483" s="95">
        <v>0</v>
      </c>
      <c r="M483" s="96">
        <v>19</v>
      </c>
      <c r="N483" s="97">
        <v>0</v>
      </c>
      <c r="O483" s="98">
        <v>2</v>
      </c>
      <c r="P483" s="33"/>
      <c r="Q483" s="99" t="s">
        <v>1198</v>
      </c>
      <c r="R483" s="100"/>
      <c r="S483" s="101">
        <v>3.1070905901915718E-4</v>
      </c>
      <c r="T483" s="102">
        <v>24</v>
      </c>
      <c r="U483" s="103">
        <v>0</v>
      </c>
      <c r="V483" s="103">
        <v>0</v>
      </c>
      <c r="W483" s="104">
        <v>0</v>
      </c>
      <c r="X483" s="19"/>
      <c r="Y483" s="103">
        <v>0</v>
      </c>
      <c r="Z483" s="103">
        <v>0</v>
      </c>
      <c r="AA483" s="105">
        <v>0</v>
      </c>
      <c r="AB483" s="106">
        <v>0</v>
      </c>
      <c r="AC483" s="105">
        <v>0</v>
      </c>
      <c r="AD483" s="104">
        <v>0</v>
      </c>
      <c r="AE483" s="104">
        <v>0</v>
      </c>
      <c r="AF483" s="107">
        <v>46265</v>
      </c>
    </row>
    <row r="484" spans="1:32" x14ac:dyDescent="0.25">
      <c r="A484" s="90">
        <v>1012</v>
      </c>
      <c r="B484" s="91" t="s">
        <v>32</v>
      </c>
      <c r="C484" s="29">
        <v>10120095</v>
      </c>
      <c r="D484" s="92" t="s">
        <v>732</v>
      </c>
      <c r="E484" s="93" t="s">
        <v>270</v>
      </c>
      <c r="F484" s="93" t="s">
        <v>230</v>
      </c>
      <c r="G484" s="109">
        <v>165.10000000000002</v>
      </c>
      <c r="H484" s="109">
        <v>7168.52</v>
      </c>
      <c r="I484" s="95">
        <v>0</v>
      </c>
      <c r="J484" s="95">
        <v>0</v>
      </c>
      <c r="K484" s="95">
        <v>500</v>
      </c>
      <c r="L484" s="95">
        <v>0</v>
      </c>
      <c r="M484" s="96">
        <v>0</v>
      </c>
      <c r="N484" s="97">
        <v>0</v>
      </c>
      <c r="O484" s="98">
        <v>0</v>
      </c>
      <c r="P484" s="33"/>
      <c r="Q484" s="99" t="s">
        <v>1198</v>
      </c>
      <c r="R484" s="100"/>
      <c r="S484" s="101">
        <v>-5.0359069933550882E-4</v>
      </c>
      <c r="T484" s="102">
        <v>5</v>
      </c>
      <c r="U484" s="103">
        <v>0</v>
      </c>
      <c r="V484" s="103">
        <v>0</v>
      </c>
      <c r="W484" s="104">
        <v>0</v>
      </c>
      <c r="X484" s="19"/>
      <c r="Y484" s="103">
        <v>500</v>
      </c>
      <c r="Z484" s="103">
        <v>0</v>
      </c>
      <c r="AA484" s="105">
        <v>0</v>
      </c>
      <c r="AB484" s="106">
        <v>500</v>
      </c>
      <c r="AC484" s="105">
        <v>500</v>
      </c>
      <c r="AD484" s="104">
        <v>0</v>
      </c>
      <c r="AE484" s="104">
        <v>0</v>
      </c>
      <c r="AF484" s="107">
        <v>46265</v>
      </c>
    </row>
    <row r="485" spans="1:32" x14ac:dyDescent="0.25">
      <c r="A485" s="90">
        <v>1012</v>
      </c>
      <c r="B485" s="91" t="s">
        <v>32</v>
      </c>
      <c r="C485" s="29">
        <v>10120096</v>
      </c>
      <c r="D485" s="92" t="s">
        <v>733</v>
      </c>
      <c r="E485" s="93" t="s">
        <v>275</v>
      </c>
      <c r="F485" s="93" t="s">
        <v>231</v>
      </c>
      <c r="G485" s="109">
        <v>3234.0799999999995</v>
      </c>
      <c r="H485" s="109">
        <v>169942.94999999998</v>
      </c>
      <c r="I485" s="95">
        <v>0</v>
      </c>
      <c r="J485" s="95">
        <v>0</v>
      </c>
      <c r="K485" s="95">
        <v>0</v>
      </c>
      <c r="L485" s="95">
        <v>0</v>
      </c>
      <c r="M485" s="96">
        <v>0</v>
      </c>
      <c r="N485" s="97">
        <v>0</v>
      </c>
      <c r="O485" s="98">
        <v>0</v>
      </c>
      <c r="P485" s="33"/>
      <c r="Q485" s="99" t="s">
        <v>1198</v>
      </c>
      <c r="R485" s="100"/>
      <c r="S485" s="101">
        <v>0</v>
      </c>
      <c r="T485" s="102">
        <v>0</v>
      </c>
      <c r="U485" s="103">
        <v>0</v>
      </c>
      <c r="V485" s="103">
        <v>0</v>
      </c>
      <c r="W485" s="104">
        <v>0</v>
      </c>
      <c r="X485" s="19"/>
      <c r="Y485" s="103">
        <v>0</v>
      </c>
      <c r="Z485" s="103">
        <v>0</v>
      </c>
      <c r="AA485" s="105">
        <v>0</v>
      </c>
      <c r="AB485" s="106">
        <v>0</v>
      </c>
      <c r="AC485" s="105">
        <v>0</v>
      </c>
      <c r="AD485" s="104">
        <v>0</v>
      </c>
      <c r="AE485" s="104">
        <v>0</v>
      </c>
      <c r="AF485" s="107">
        <v>46265</v>
      </c>
    </row>
    <row r="486" spans="1:32" x14ac:dyDescent="0.25">
      <c r="A486" s="90">
        <v>1012</v>
      </c>
      <c r="B486" s="91" t="s">
        <v>32</v>
      </c>
      <c r="C486" s="29">
        <v>10120099</v>
      </c>
      <c r="D486" s="92" t="s">
        <v>734</v>
      </c>
      <c r="E486" s="93" t="s">
        <v>275</v>
      </c>
      <c r="F486" s="93" t="s">
        <v>231</v>
      </c>
      <c r="G486" s="109">
        <v>8074</v>
      </c>
      <c r="H486" s="109">
        <v>326967.94</v>
      </c>
      <c r="I486" s="95">
        <v>0</v>
      </c>
      <c r="J486" s="95">
        <v>0</v>
      </c>
      <c r="K486" s="95">
        <v>0</v>
      </c>
      <c r="L486" s="95">
        <v>0</v>
      </c>
      <c r="M486" s="96">
        <v>0</v>
      </c>
      <c r="N486" s="97">
        <v>0</v>
      </c>
      <c r="O486" s="98">
        <v>0</v>
      </c>
      <c r="P486" s="33"/>
      <c r="Q486" s="99" t="s">
        <v>1198</v>
      </c>
      <c r="R486" s="100"/>
      <c r="S486" s="101">
        <v>0</v>
      </c>
      <c r="T486" s="102">
        <v>0</v>
      </c>
      <c r="U486" s="103">
        <v>0</v>
      </c>
      <c r="V486" s="103">
        <v>0</v>
      </c>
      <c r="W486" s="104">
        <v>0</v>
      </c>
      <c r="X486" s="19"/>
      <c r="Y486" s="103">
        <v>0</v>
      </c>
      <c r="Z486" s="103">
        <v>0</v>
      </c>
      <c r="AA486" s="105">
        <v>0</v>
      </c>
      <c r="AB486" s="106">
        <v>0</v>
      </c>
      <c r="AC486" s="105">
        <v>0</v>
      </c>
      <c r="AD486" s="104">
        <v>0</v>
      </c>
      <c r="AE486" s="104">
        <v>0</v>
      </c>
      <c r="AF486" s="107">
        <v>46265</v>
      </c>
    </row>
    <row r="487" spans="1:32" x14ac:dyDescent="0.25">
      <c r="A487" s="90">
        <v>1012</v>
      </c>
      <c r="B487" s="91" t="s">
        <v>32</v>
      </c>
      <c r="C487" s="29">
        <v>10120103</v>
      </c>
      <c r="D487" s="92" t="s">
        <v>735</v>
      </c>
      <c r="E487" s="93" t="s">
        <v>275</v>
      </c>
      <c r="F487" s="93" t="s">
        <v>231</v>
      </c>
      <c r="G487" s="109">
        <v>1945</v>
      </c>
      <c r="H487" s="109">
        <v>71554.960000000006</v>
      </c>
      <c r="I487" s="95">
        <v>0</v>
      </c>
      <c r="J487" s="95">
        <v>0</v>
      </c>
      <c r="K487" s="95">
        <v>0</v>
      </c>
      <c r="L487" s="95">
        <v>0</v>
      </c>
      <c r="M487" s="96">
        <v>0</v>
      </c>
      <c r="N487" s="97">
        <v>0</v>
      </c>
      <c r="O487" s="98">
        <v>0</v>
      </c>
      <c r="P487" s="33"/>
      <c r="Q487" s="99" t="s">
        <v>1198</v>
      </c>
      <c r="R487" s="100"/>
      <c r="S487" s="101">
        <v>0</v>
      </c>
      <c r="T487" s="102">
        <v>0</v>
      </c>
      <c r="U487" s="103">
        <v>0</v>
      </c>
      <c r="V487" s="103">
        <v>0</v>
      </c>
      <c r="W487" s="104">
        <v>0</v>
      </c>
      <c r="X487" s="19"/>
      <c r="Y487" s="103">
        <v>0</v>
      </c>
      <c r="Z487" s="103">
        <v>0</v>
      </c>
      <c r="AA487" s="105">
        <v>0</v>
      </c>
      <c r="AB487" s="106">
        <v>0</v>
      </c>
      <c r="AC487" s="105">
        <v>0</v>
      </c>
      <c r="AD487" s="104">
        <v>0</v>
      </c>
      <c r="AE487" s="104">
        <v>0</v>
      </c>
      <c r="AF487" s="107">
        <v>46265</v>
      </c>
    </row>
    <row r="488" spans="1:32" x14ac:dyDescent="0.25">
      <c r="A488" s="90">
        <v>1012</v>
      </c>
      <c r="B488" s="91" t="s">
        <v>32</v>
      </c>
      <c r="C488" s="29">
        <v>10120104</v>
      </c>
      <c r="D488" s="92" t="s">
        <v>47</v>
      </c>
      <c r="E488" s="93" t="s">
        <v>270</v>
      </c>
      <c r="F488" s="93" t="s">
        <v>230</v>
      </c>
      <c r="G488" s="109">
        <v>1149.44</v>
      </c>
      <c r="H488" s="109">
        <v>45695.650000000016</v>
      </c>
      <c r="I488" s="95">
        <v>0</v>
      </c>
      <c r="J488" s="95">
        <v>1400</v>
      </c>
      <c r="K488" s="95">
        <v>0</v>
      </c>
      <c r="L488" s="95">
        <v>0</v>
      </c>
      <c r="M488" s="96">
        <v>2</v>
      </c>
      <c r="N488" s="97">
        <v>0</v>
      </c>
      <c r="O488" s="98">
        <v>0</v>
      </c>
      <c r="P488" s="33"/>
      <c r="Q488" s="99" t="s">
        <v>1198</v>
      </c>
      <c r="R488" s="100"/>
      <c r="S488" s="101">
        <v>3.8078022744233075E-5</v>
      </c>
      <c r="T488" s="102">
        <v>17</v>
      </c>
      <c r="U488" s="103">
        <v>0</v>
      </c>
      <c r="V488" s="103">
        <v>0</v>
      </c>
      <c r="W488" s="104">
        <v>0</v>
      </c>
      <c r="X488" s="19"/>
      <c r="Y488" s="103">
        <v>0</v>
      </c>
      <c r="Z488" s="103">
        <v>0</v>
      </c>
      <c r="AA488" s="105">
        <v>0</v>
      </c>
      <c r="AB488" s="106">
        <v>0</v>
      </c>
      <c r="AC488" s="105">
        <v>0</v>
      </c>
      <c r="AD488" s="104">
        <v>0</v>
      </c>
      <c r="AE488" s="104">
        <v>0</v>
      </c>
      <c r="AF488" s="107">
        <v>46265</v>
      </c>
    </row>
    <row r="489" spans="1:32" x14ac:dyDescent="0.25">
      <c r="A489" s="90">
        <v>1012</v>
      </c>
      <c r="B489" s="91" t="s">
        <v>32</v>
      </c>
      <c r="C489" s="29">
        <v>10120106</v>
      </c>
      <c r="D489" s="92" t="s">
        <v>736</v>
      </c>
      <c r="E489" s="93" t="s">
        <v>275</v>
      </c>
      <c r="F489" s="93" t="s">
        <v>231</v>
      </c>
      <c r="G489" s="109">
        <v>980</v>
      </c>
      <c r="H489" s="109">
        <v>34055</v>
      </c>
      <c r="I489" s="95">
        <v>0</v>
      </c>
      <c r="J489" s="95">
        <v>0</v>
      </c>
      <c r="K489" s="95">
        <v>0</v>
      </c>
      <c r="L489" s="95">
        <v>0</v>
      </c>
      <c r="M489" s="96">
        <v>0</v>
      </c>
      <c r="N489" s="97">
        <v>0</v>
      </c>
      <c r="O489" s="98">
        <v>0</v>
      </c>
      <c r="P489" s="33"/>
      <c r="Q489" s="99" t="s">
        <v>1198</v>
      </c>
      <c r="R489" s="100"/>
      <c r="S489" s="101">
        <v>0</v>
      </c>
      <c r="T489" s="102">
        <v>0</v>
      </c>
      <c r="U489" s="103">
        <v>0</v>
      </c>
      <c r="V489" s="103">
        <v>0</v>
      </c>
      <c r="W489" s="104">
        <v>0</v>
      </c>
      <c r="X489" s="19"/>
      <c r="Y489" s="103">
        <v>0</v>
      </c>
      <c r="Z489" s="103">
        <v>0</v>
      </c>
      <c r="AA489" s="105">
        <v>0</v>
      </c>
      <c r="AB489" s="106">
        <v>0</v>
      </c>
      <c r="AC489" s="105">
        <v>0</v>
      </c>
      <c r="AD489" s="104">
        <v>0</v>
      </c>
      <c r="AE489" s="104">
        <v>0</v>
      </c>
      <c r="AF489" s="107">
        <v>46265</v>
      </c>
    </row>
    <row r="490" spans="1:32" x14ac:dyDescent="0.25">
      <c r="A490" s="90">
        <v>1012</v>
      </c>
      <c r="B490" s="91" t="s">
        <v>32</v>
      </c>
      <c r="C490" s="29">
        <v>10120107</v>
      </c>
      <c r="D490" s="92" t="s">
        <v>737</v>
      </c>
      <c r="E490" s="93" t="s">
        <v>270</v>
      </c>
      <c r="F490" s="93" t="s">
        <v>230</v>
      </c>
      <c r="G490" s="109">
        <v>667.84999999999991</v>
      </c>
      <c r="H490" s="109">
        <v>27023.01</v>
      </c>
      <c r="I490" s="95">
        <v>0</v>
      </c>
      <c r="J490" s="95">
        <v>0</v>
      </c>
      <c r="K490" s="95">
        <v>0</v>
      </c>
      <c r="L490" s="95">
        <v>0</v>
      </c>
      <c r="M490" s="96">
        <v>2</v>
      </c>
      <c r="N490" s="97">
        <v>0</v>
      </c>
      <c r="O490" s="98">
        <v>-1</v>
      </c>
      <c r="P490" s="33"/>
      <c r="Q490" s="99" t="s">
        <v>1198</v>
      </c>
      <c r="R490" s="100"/>
      <c r="S490" s="101">
        <v>1.1656732540162829E-4</v>
      </c>
      <c r="T490" s="102">
        <v>11</v>
      </c>
      <c r="U490" s="103">
        <v>0</v>
      </c>
      <c r="V490" s="103">
        <v>0</v>
      </c>
      <c r="W490" s="104">
        <v>0</v>
      </c>
      <c r="X490" s="19"/>
      <c r="Y490" s="103">
        <v>0</v>
      </c>
      <c r="Z490" s="103">
        <v>0</v>
      </c>
      <c r="AA490" s="105">
        <v>0</v>
      </c>
      <c r="AB490" s="106">
        <v>0</v>
      </c>
      <c r="AC490" s="105">
        <v>0</v>
      </c>
      <c r="AD490" s="104">
        <v>0</v>
      </c>
      <c r="AE490" s="104">
        <v>0</v>
      </c>
      <c r="AF490" s="107">
        <v>46265</v>
      </c>
    </row>
    <row r="491" spans="1:32" x14ac:dyDescent="0.25">
      <c r="A491" s="90">
        <v>1012</v>
      </c>
      <c r="B491" s="91" t="s">
        <v>32</v>
      </c>
      <c r="C491" s="29">
        <v>10120108</v>
      </c>
      <c r="D491" s="92" t="s">
        <v>738</v>
      </c>
      <c r="E491" s="93" t="s">
        <v>270</v>
      </c>
      <c r="F491" s="93" t="s">
        <v>230</v>
      </c>
      <c r="G491" s="109">
        <v>416.7600000000001</v>
      </c>
      <c r="H491" s="109">
        <v>16796.080000000002</v>
      </c>
      <c r="I491" s="95">
        <v>0</v>
      </c>
      <c r="J491" s="95">
        <v>0</v>
      </c>
      <c r="K491" s="95">
        <v>0</v>
      </c>
      <c r="L491" s="95">
        <v>0</v>
      </c>
      <c r="M491" s="96">
        <v>13</v>
      </c>
      <c r="N491" s="97">
        <v>0</v>
      </c>
      <c r="O491" s="98">
        <v>0</v>
      </c>
      <c r="P491" s="115"/>
      <c r="Q491" s="99" t="s">
        <v>1198</v>
      </c>
      <c r="R491" s="100"/>
      <c r="S491" s="101">
        <v>7.686317283558718E-4</v>
      </c>
      <c r="T491" s="102">
        <v>13</v>
      </c>
      <c r="U491" s="103">
        <v>0</v>
      </c>
      <c r="V491" s="103">
        <v>0</v>
      </c>
      <c r="W491" s="104">
        <v>0</v>
      </c>
      <c r="X491" s="19"/>
      <c r="Y491" s="103">
        <v>0</v>
      </c>
      <c r="Z491" s="103">
        <v>0</v>
      </c>
      <c r="AA491" s="105">
        <v>0</v>
      </c>
      <c r="AB491" s="106">
        <v>0</v>
      </c>
      <c r="AC491" s="105">
        <v>0</v>
      </c>
      <c r="AD491" s="104">
        <v>0</v>
      </c>
      <c r="AE491" s="104">
        <v>0</v>
      </c>
      <c r="AF491" s="107">
        <v>46265</v>
      </c>
    </row>
    <row r="492" spans="1:32" x14ac:dyDescent="0.25">
      <c r="A492" s="90">
        <v>1012</v>
      </c>
      <c r="B492" s="91" t="s">
        <v>32</v>
      </c>
      <c r="C492" s="29">
        <v>10120109</v>
      </c>
      <c r="D492" s="92" t="s">
        <v>739</v>
      </c>
      <c r="E492" s="93" t="s">
        <v>275</v>
      </c>
      <c r="F492" s="93" t="s">
        <v>231</v>
      </c>
      <c r="G492" s="109">
        <v>1477.9199999999998</v>
      </c>
      <c r="H492" s="109">
        <v>56013.760000000009</v>
      </c>
      <c r="I492" s="95">
        <v>0</v>
      </c>
      <c r="J492" s="95">
        <v>0</v>
      </c>
      <c r="K492" s="95">
        <v>0</v>
      </c>
      <c r="L492" s="95">
        <v>0</v>
      </c>
      <c r="M492" s="96">
        <v>0</v>
      </c>
      <c r="N492" s="97">
        <v>0</v>
      </c>
      <c r="O492" s="98">
        <v>0</v>
      </c>
      <c r="P492" s="33"/>
      <c r="Q492" s="99" t="s">
        <v>1198</v>
      </c>
      <c r="R492" s="100"/>
      <c r="S492" s="101">
        <v>0</v>
      </c>
      <c r="T492" s="102">
        <v>0</v>
      </c>
      <c r="U492" s="103">
        <v>0</v>
      </c>
      <c r="V492" s="103">
        <v>0</v>
      </c>
      <c r="W492" s="104">
        <v>0</v>
      </c>
      <c r="X492" s="19"/>
      <c r="Y492" s="103">
        <v>0</v>
      </c>
      <c r="Z492" s="103">
        <v>0</v>
      </c>
      <c r="AA492" s="105">
        <v>0</v>
      </c>
      <c r="AB492" s="106">
        <v>0</v>
      </c>
      <c r="AC492" s="105">
        <v>0</v>
      </c>
      <c r="AD492" s="104">
        <v>0</v>
      </c>
      <c r="AE492" s="104">
        <v>0</v>
      </c>
      <c r="AF492" s="107">
        <v>46265</v>
      </c>
    </row>
    <row r="493" spans="1:32" x14ac:dyDescent="0.25">
      <c r="A493" s="90">
        <v>1012</v>
      </c>
      <c r="B493" s="91" t="s">
        <v>32</v>
      </c>
      <c r="C493" s="29">
        <v>10120111</v>
      </c>
      <c r="D493" s="92" t="s">
        <v>740</v>
      </c>
      <c r="E493" s="93" t="s">
        <v>270</v>
      </c>
      <c r="F493" s="93" t="s">
        <v>230</v>
      </c>
      <c r="G493" s="109">
        <v>895.17</v>
      </c>
      <c r="H493" s="109">
        <v>37818.479999999996</v>
      </c>
      <c r="I493" s="95">
        <v>0</v>
      </c>
      <c r="J493" s="95">
        <v>0</v>
      </c>
      <c r="K493" s="95">
        <v>0</v>
      </c>
      <c r="L493" s="95">
        <v>0</v>
      </c>
      <c r="M493" s="96">
        <v>3</v>
      </c>
      <c r="N493" s="97">
        <v>0</v>
      </c>
      <c r="O493" s="98">
        <v>0</v>
      </c>
      <c r="P493" s="33"/>
      <c r="Q493" s="99" t="s">
        <v>1198</v>
      </c>
      <c r="R493" s="100"/>
      <c r="S493" s="101">
        <v>8.1177244563833173E-5</v>
      </c>
      <c r="T493" s="102">
        <v>12</v>
      </c>
      <c r="U493" s="103">
        <v>0</v>
      </c>
      <c r="V493" s="103">
        <v>0</v>
      </c>
      <c r="W493" s="104">
        <v>0</v>
      </c>
      <c r="X493" s="19"/>
      <c r="Y493" s="103">
        <v>0</v>
      </c>
      <c r="Z493" s="103">
        <v>0</v>
      </c>
      <c r="AA493" s="105">
        <v>0</v>
      </c>
      <c r="AB493" s="106">
        <v>0</v>
      </c>
      <c r="AC493" s="105">
        <v>0</v>
      </c>
      <c r="AD493" s="104">
        <v>0</v>
      </c>
      <c r="AE493" s="104">
        <v>0</v>
      </c>
      <c r="AF493" s="107">
        <v>46265</v>
      </c>
    </row>
    <row r="494" spans="1:32" x14ac:dyDescent="0.25">
      <c r="A494" s="90">
        <v>1012</v>
      </c>
      <c r="B494" s="91" t="s">
        <v>32</v>
      </c>
      <c r="C494" s="29">
        <v>10120113</v>
      </c>
      <c r="D494" s="92" t="s">
        <v>741</v>
      </c>
      <c r="E494" s="93" t="s">
        <v>270</v>
      </c>
      <c r="F494" s="93" t="s">
        <v>230</v>
      </c>
      <c r="G494" s="109">
        <v>77.179999999999993</v>
      </c>
      <c r="H494" s="109">
        <v>3077.89</v>
      </c>
      <c r="I494" s="95">
        <v>0</v>
      </c>
      <c r="J494" s="95">
        <v>0</v>
      </c>
      <c r="K494" s="95">
        <v>500</v>
      </c>
      <c r="L494" s="95">
        <v>0</v>
      </c>
      <c r="M494" s="96">
        <v>1</v>
      </c>
      <c r="N494" s="97">
        <v>0</v>
      </c>
      <c r="O494" s="98">
        <v>0</v>
      </c>
      <c r="P494" s="33"/>
      <c r="Q494" s="99" t="s">
        <v>1198</v>
      </c>
      <c r="R494" s="100"/>
      <c r="S494" s="101">
        <v>4.3211420810993005E-4</v>
      </c>
      <c r="T494" s="102">
        <v>3</v>
      </c>
      <c r="U494" s="103">
        <v>0</v>
      </c>
      <c r="V494" s="103">
        <v>0</v>
      </c>
      <c r="W494" s="104">
        <v>0</v>
      </c>
      <c r="X494" s="19"/>
      <c r="Y494" s="103">
        <v>500</v>
      </c>
      <c r="Z494" s="103">
        <v>0</v>
      </c>
      <c r="AA494" s="105">
        <v>0</v>
      </c>
      <c r="AB494" s="106">
        <v>500</v>
      </c>
      <c r="AC494" s="105">
        <v>500</v>
      </c>
      <c r="AD494" s="104">
        <v>0</v>
      </c>
      <c r="AE494" s="104">
        <v>0</v>
      </c>
      <c r="AF494" s="107">
        <v>46265</v>
      </c>
    </row>
    <row r="495" spans="1:32" x14ac:dyDescent="0.25">
      <c r="A495" s="90">
        <v>1012</v>
      </c>
      <c r="B495" s="91" t="s">
        <v>32</v>
      </c>
      <c r="C495" s="29">
        <v>10120114</v>
      </c>
      <c r="D495" s="92" t="s">
        <v>742</v>
      </c>
      <c r="E495" s="93" t="s">
        <v>270</v>
      </c>
      <c r="F495" s="93" t="s">
        <v>230</v>
      </c>
      <c r="G495" s="109">
        <v>149.54</v>
      </c>
      <c r="H495" s="109">
        <v>6462.5999999999995</v>
      </c>
      <c r="I495" s="95">
        <v>0</v>
      </c>
      <c r="J495" s="95">
        <v>0</v>
      </c>
      <c r="K495" s="95">
        <v>500</v>
      </c>
      <c r="L495" s="95">
        <v>0</v>
      </c>
      <c r="M495" s="96">
        <v>65</v>
      </c>
      <c r="N495" s="97">
        <v>0</v>
      </c>
      <c r="O495" s="98">
        <v>-1</v>
      </c>
      <c r="P495" s="33"/>
      <c r="Q495" s="99" t="s">
        <v>1198</v>
      </c>
      <c r="R495" s="100"/>
      <c r="S495" s="101">
        <v>1.0118218673598632E-2</v>
      </c>
      <c r="T495" s="102">
        <v>4</v>
      </c>
      <c r="U495" s="103">
        <v>0</v>
      </c>
      <c r="V495" s="103">
        <v>0</v>
      </c>
      <c r="W495" s="104">
        <v>0</v>
      </c>
      <c r="X495" s="19"/>
      <c r="Y495" s="103">
        <v>500</v>
      </c>
      <c r="Z495" s="103">
        <v>0</v>
      </c>
      <c r="AA495" s="105">
        <v>0</v>
      </c>
      <c r="AB495" s="106">
        <v>500</v>
      </c>
      <c r="AC495" s="105">
        <v>500</v>
      </c>
      <c r="AD495" s="104">
        <v>0</v>
      </c>
      <c r="AE495" s="104">
        <v>0</v>
      </c>
      <c r="AF495" s="107">
        <v>46265</v>
      </c>
    </row>
    <row r="496" spans="1:32" x14ac:dyDescent="0.25">
      <c r="A496" s="90">
        <v>1012</v>
      </c>
      <c r="B496" s="91" t="s">
        <v>32</v>
      </c>
      <c r="C496" s="29">
        <v>10120115</v>
      </c>
      <c r="D496" s="92" t="s">
        <v>743</v>
      </c>
      <c r="E496" s="93" t="s">
        <v>275</v>
      </c>
      <c r="F496" s="93" t="s">
        <v>231</v>
      </c>
      <c r="G496" s="109">
        <v>1601.8700000000001</v>
      </c>
      <c r="H496" s="109">
        <v>65251.520000000004</v>
      </c>
      <c r="I496" s="95">
        <v>0</v>
      </c>
      <c r="J496" s="95">
        <v>0</v>
      </c>
      <c r="K496" s="95">
        <v>0</v>
      </c>
      <c r="L496" s="95">
        <v>0</v>
      </c>
      <c r="M496" s="96">
        <v>0</v>
      </c>
      <c r="N496" s="97">
        <v>0</v>
      </c>
      <c r="O496" s="98">
        <v>0</v>
      </c>
      <c r="P496" s="33"/>
      <c r="Q496" s="99" t="s">
        <v>1198</v>
      </c>
      <c r="R496" s="100"/>
      <c r="S496" s="101">
        <v>0</v>
      </c>
      <c r="T496" s="102">
        <v>0</v>
      </c>
      <c r="U496" s="103">
        <v>0</v>
      </c>
      <c r="V496" s="103">
        <v>0</v>
      </c>
      <c r="W496" s="104">
        <v>0</v>
      </c>
      <c r="X496" s="19"/>
      <c r="Y496" s="103">
        <v>0</v>
      </c>
      <c r="Z496" s="103">
        <v>0</v>
      </c>
      <c r="AA496" s="105">
        <v>0</v>
      </c>
      <c r="AB496" s="106">
        <v>0</v>
      </c>
      <c r="AC496" s="105">
        <v>0</v>
      </c>
      <c r="AD496" s="104">
        <v>0</v>
      </c>
      <c r="AE496" s="104">
        <v>0</v>
      </c>
      <c r="AF496" s="107">
        <v>46265</v>
      </c>
    </row>
    <row r="497" spans="1:32" x14ac:dyDescent="0.25">
      <c r="A497" s="90">
        <v>1012</v>
      </c>
      <c r="B497" s="91" t="s">
        <v>32</v>
      </c>
      <c r="C497" s="29">
        <v>10120116</v>
      </c>
      <c r="D497" s="92" t="s">
        <v>744</v>
      </c>
      <c r="E497" s="93" t="s">
        <v>270</v>
      </c>
      <c r="F497" s="93" t="s">
        <v>230</v>
      </c>
      <c r="G497" s="109">
        <v>1319.1400000000003</v>
      </c>
      <c r="H497" s="109">
        <v>57979.65</v>
      </c>
      <c r="I497" s="95">
        <v>0</v>
      </c>
      <c r="J497" s="95">
        <v>0</v>
      </c>
      <c r="K497" s="95">
        <v>0</v>
      </c>
      <c r="L497" s="95">
        <v>0</v>
      </c>
      <c r="M497" s="96">
        <v>5</v>
      </c>
      <c r="N497" s="97">
        <v>0</v>
      </c>
      <c r="O497" s="98">
        <v>2</v>
      </c>
      <c r="P497" s="33"/>
      <c r="Q497" s="99" t="s">
        <v>1198</v>
      </c>
      <c r="R497" s="100"/>
      <c r="S497" s="101">
        <v>5.2949612493218447E-5</v>
      </c>
      <c r="T497" s="102">
        <v>29</v>
      </c>
      <c r="U497" s="103">
        <v>0</v>
      </c>
      <c r="V497" s="103">
        <v>0</v>
      </c>
      <c r="W497" s="104">
        <v>0</v>
      </c>
      <c r="X497" s="19"/>
      <c r="Y497" s="103">
        <v>0</v>
      </c>
      <c r="Z497" s="103">
        <v>0</v>
      </c>
      <c r="AA497" s="105">
        <v>0</v>
      </c>
      <c r="AB497" s="106">
        <v>0</v>
      </c>
      <c r="AC497" s="105">
        <v>0</v>
      </c>
      <c r="AD497" s="104">
        <v>0</v>
      </c>
      <c r="AE497" s="104">
        <v>0</v>
      </c>
      <c r="AF497" s="107">
        <v>46265</v>
      </c>
    </row>
    <row r="498" spans="1:32" x14ac:dyDescent="0.25">
      <c r="A498" s="90">
        <v>1012</v>
      </c>
      <c r="B498" s="91" t="s">
        <v>32</v>
      </c>
      <c r="C498" s="29">
        <v>10120120</v>
      </c>
      <c r="D498" s="92" t="s">
        <v>139</v>
      </c>
      <c r="E498" s="93" t="s">
        <v>270</v>
      </c>
      <c r="F498" s="93" t="s">
        <v>230</v>
      </c>
      <c r="G498" s="109">
        <v>369.2</v>
      </c>
      <c r="H498" s="109">
        <v>14961.039999999999</v>
      </c>
      <c r="I498" s="95">
        <v>0</v>
      </c>
      <c r="J498" s="95">
        <v>7000</v>
      </c>
      <c r="K498" s="95">
        <v>0</v>
      </c>
      <c r="L498" s="95">
        <v>0</v>
      </c>
      <c r="M498" s="96">
        <v>5</v>
      </c>
      <c r="N498" s="97">
        <v>0</v>
      </c>
      <c r="O498" s="98">
        <v>0</v>
      </c>
      <c r="P498" s="33"/>
      <c r="Q498" s="99" t="s">
        <v>1198</v>
      </c>
      <c r="R498" s="100"/>
      <c r="S498" s="101">
        <v>3.1815970012769165E-4</v>
      </c>
      <c r="T498" s="102">
        <v>11</v>
      </c>
      <c r="U498" s="103">
        <v>0</v>
      </c>
      <c r="V498" s="103">
        <v>0</v>
      </c>
      <c r="W498" s="104">
        <v>0</v>
      </c>
      <c r="X498" s="19"/>
      <c r="Y498" s="103">
        <v>0</v>
      </c>
      <c r="Z498" s="103">
        <v>0</v>
      </c>
      <c r="AA498" s="105">
        <v>0</v>
      </c>
      <c r="AB498" s="106">
        <v>0</v>
      </c>
      <c r="AC498" s="105">
        <v>0</v>
      </c>
      <c r="AD498" s="104">
        <v>0</v>
      </c>
      <c r="AE498" s="104">
        <v>0</v>
      </c>
      <c r="AF498" s="107">
        <v>46265</v>
      </c>
    </row>
    <row r="499" spans="1:32" x14ac:dyDescent="0.25">
      <c r="A499" s="90">
        <v>1012</v>
      </c>
      <c r="B499" s="91" t="s">
        <v>32</v>
      </c>
      <c r="C499" s="29">
        <v>10120122</v>
      </c>
      <c r="D499" s="92" t="s">
        <v>128</v>
      </c>
      <c r="E499" s="93" t="s">
        <v>270</v>
      </c>
      <c r="F499" s="93" t="s">
        <v>230</v>
      </c>
      <c r="G499" s="109">
        <v>1025.7199999999998</v>
      </c>
      <c r="H499" s="109">
        <v>43583.96</v>
      </c>
      <c r="I499" s="95">
        <v>0</v>
      </c>
      <c r="J499" s="95">
        <v>11092</v>
      </c>
      <c r="K499" s="95">
        <v>0</v>
      </c>
      <c r="L499" s="95">
        <v>0</v>
      </c>
      <c r="M499" s="96">
        <v>13</v>
      </c>
      <c r="N499" s="97">
        <v>0</v>
      </c>
      <c r="O499" s="98">
        <v>1</v>
      </c>
      <c r="P499" s="116"/>
      <c r="Q499" s="99" t="s">
        <v>1198</v>
      </c>
      <c r="R499" s="100"/>
      <c r="S499" s="101">
        <v>2.6408798099121874E-4</v>
      </c>
      <c r="T499" s="102">
        <v>20</v>
      </c>
      <c r="U499" s="103">
        <v>0</v>
      </c>
      <c r="V499" s="103">
        <v>0</v>
      </c>
      <c r="W499" s="104">
        <v>0</v>
      </c>
      <c r="X499" s="19"/>
      <c r="Y499" s="103">
        <v>0</v>
      </c>
      <c r="Z499" s="103">
        <v>0</v>
      </c>
      <c r="AA499" s="105">
        <v>0</v>
      </c>
      <c r="AB499" s="106">
        <v>0</v>
      </c>
      <c r="AC499" s="105">
        <v>0</v>
      </c>
      <c r="AD499" s="104">
        <v>0</v>
      </c>
      <c r="AE499" s="104">
        <v>0</v>
      </c>
      <c r="AF499" s="107">
        <v>46265</v>
      </c>
    </row>
    <row r="500" spans="1:32" x14ac:dyDescent="0.25">
      <c r="A500" s="90">
        <v>1012</v>
      </c>
      <c r="B500" s="91" t="s">
        <v>32</v>
      </c>
      <c r="C500" s="29">
        <v>10120123</v>
      </c>
      <c r="D500" s="92" t="s">
        <v>745</v>
      </c>
      <c r="E500" s="93" t="s">
        <v>270</v>
      </c>
      <c r="F500" s="93" t="s">
        <v>230</v>
      </c>
      <c r="G500" s="109">
        <v>973.37</v>
      </c>
      <c r="H500" s="109">
        <v>37819.24</v>
      </c>
      <c r="I500" s="95">
        <v>0</v>
      </c>
      <c r="J500" s="95">
        <v>0</v>
      </c>
      <c r="K500" s="95">
        <v>0</v>
      </c>
      <c r="L500" s="95">
        <v>0</v>
      </c>
      <c r="M500" s="96">
        <v>6</v>
      </c>
      <c r="N500" s="97">
        <v>0</v>
      </c>
      <c r="O500" s="98">
        <v>2</v>
      </c>
      <c r="P500" s="33"/>
      <c r="Q500" s="99" t="s">
        <v>1198</v>
      </c>
      <c r="R500" s="100"/>
      <c r="S500" s="101">
        <v>1.1845822390920404E-4</v>
      </c>
      <c r="T500" s="102">
        <v>23</v>
      </c>
      <c r="U500" s="103">
        <v>0</v>
      </c>
      <c r="V500" s="103">
        <v>0</v>
      </c>
      <c r="W500" s="104">
        <v>0</v>
      </c>
      <c r="X500" s="19"/>
      <c r="Y500" s="103">
        <v>0</v>
      </c>
      <c r="Z500" s="103">
        <v>0</v>
      </c>
      <c r="AA500" s="105">
        <v>0</v>
      </c>
      <c r="AB500" s="106">
        <v>0</v>
      </c>
      <c r="AC500" s="105">
        <v>0</v>
      </c>
      <c r="AD500" s="104">
        <v>0</v>
      </c>
      <c r="AE500" s="104">
        <v>0</v>
      </c>
      <c r="AF500" s="107">
        <v>46265</v>
      </c>
    </row>
    <row r="501" spans="1:32" x14ac:dyDescent="0.25">
      <c r="A501" s="90">
        <v>1012</v>
      </c>
      <c r="B501" s="91" t="s">
        <v>32</v>
      </c>
      <c r="C501" s="29">
        <v>10120124</v>
      </c>
      <c r="D501" s="92" t="s">
        <v>746</v>
      </c>
      <c r="E501" s="93" t="s">
        <v>275</v>
      </c>
      <c r="F501" s="93" t="s">
        <v>231</v>
      </c>
      <c r="G501" s="109">
        <v>978.19999999999993</v>
      </c>
      <c r="H501" s="109">
        <v>40850.450000000004</v>
      </c>
      <c r="I501" s="95">
        <v>0</v>
      </c>
      <c r="J501" s="95">
        <v>0</v>
      </c>
      <c r="K501" s="95">
        <v>0</v>
      </c>
      <c r="L501" s="95">
        <v>0</v>
      </c>
      <c r="M501" s="96">
        <v>0</v>
      </c>
      <c r="N501" s="97">
        <v>0</v>
      </c>
      <c r="O501" s="98">
        <v>0</v>
      </c>
      <c r="P501" s="33"/>
      <c r="Q501" s="99" t="s">
        <v>1198</v>
      </c>
      <c r="R501" s="100"/>
      <c r="S501" s="101">
        <v>0</v>
      </c>
      <c r="T501" s="102">
        <v>0</v>
      </c>
      <c r="U501" s="103">
        <v>0</v>
      </c>
      <c r="V501" s="103">
        <v>0</v>
      </c>
      <c r="W501" s="104">
        <v>0</v>
      </c>
      <c r="X501" s="19"/>
      <c r="Y501" s="103">
        <v>0</v>
      </c>
      <c r="Z501" s="103">
        <v>0</v>
      </c>
      <c r="AA501" s="105">
        <v>0</v>
      </c>
      <c r="AB501" s="106">
        <v>0</v>
      </c>
      <c r="AC501" s="105">
        <v>0</v>
      </c>
      <c r="AD501" s="104">
        <v>0</v>
      </c>
      <c r="AE501" s="104">
        <v>0</v>
      </c>
      <c r="AF501" s="107">
        <v>46265</v>
      </c>
    </row>
    <row r="502" spans="1:32" x14ac:dyDescent="0.25">
      <c r="A502" s="90">
        <v>1013</v>
      </c>
      <c r="B502" s="91" t="s">
        <v>88</v>
      </c>
      <c r="C502" s="29">
        <v>10130001</v>
      </c>
      <c r="D502" s="92" t="s">
        <v>747</v>
      </c>
      <c r="E502" s="93" t="s">
        <v>270</v>
      </c>
      <c r="F502" s="93" t="s">
        <v>230</v>
      </c>
      <c r="G502" s="109">
        <v>512.79999999999995</v>
      </c>
      <c r="H502" s="109">
        <v>18832.54</v>
      </c>
      <c r="I502" s="95">
        <v>0</v>
      </c>
      <c r="J502" s="95">
        <v>0</v>
      </c>
      <c r="K502" s="95">
        <v>0</v>
      </c>
      <c r="L502" s="95">
        <v>0</v>
      </c>
      <c r="M502" s="96">
        <v>41</v>
      </c>
      <c r="N502" s="97">
        <v>0</v>
      </c>
      <c r="O502" s="98">
        <v>1</v>
      </c>
      <c r="P502" s="33"/>
      <c r="Q502" s="99" t="s">
        <v>1198</v>
      </c>
      <c r="R502" s="100"/>
      <c r="S502" s="101">
        <v>2.1048674262738546E-3</v>
      </c>
      <c r="T502" s="102">
        <v>13</v>
      </c>
      <c r="U502" s="103">
        <v>0</v>
      </c>
      <c r="V502" s="103">
        <v>0</v>
      </c>
      <c r="W502" s="104">
        <v>0</v>
      </c>
      <c r="X502" s="19"/>
      <c r="Y502" s="103">
        <v>0</v>
      </c>
      <c r="Z502" s="103">
        <v>0</v>
      </c>
      <c r="AA502" s="105">
        <v>0</v>
      </c>
      <c r="AB502" s="106">
        <v>0</v>
      </c>
      <c r="AC502" s="105">
        <v>0</v>
      </c>
      <c r="AD502" s="104">
        <v>0</v>
      </c>
      <c r="AE502" s="104">
        <v>0</v>
      </c>
      <c r="AF502" s="107">
        <v>46265</v>
      </c>
    </row>
    <row r="503" spans="1:32" x14ac:dyDescent="0.25">
      <c r="A503" s="90">
        <v>1013</v>
      </c>
      <c r="B503" s="91" t="s">
        <v>88</v>
      </c>
      <c r="C503" s="29">
        <v>10130002</v>
      </c>
      <c r="D503" s="92" t="s">
        <v>748</v>
      </c>
      <c r="E503" s="93" t="s">
        <v>275</v>
      </c>
      <c r="F503" s="93" t="s">
        <v>231</v>
      </c>
      <c r="G503" s="109">
        <v>205.99999999999997</v>
      </c>
      <c r="H503" s="109">
        <v>7644.7699999999995</v>
      </c>
      <c r="I503" s="95">
        <v>0</v>
      </c>
      <c r="J503" s="95">
        <v>0</v>
      </c>
      <c r="K503" s="95">
        <v>0</v>
      </c>
      <c r="L503" s="95">
        <v>0</v>
      </c>
      <c r="M503" s="96">
        <v>0</v>
      </c>
      <c r="N503" s="97">
        <v>0</v>
      </c>
      <c r="O503" s="98">
        <v>0</v>
      </c>
      <c r="P503" s="33"/>
      <c r="Q503" s="99" t="s">
        <v>1198</v>
      </c>
      <c r="R503" s="100"/>
      <c r="S503" s="101">
        <v>0</v>
      </c>
      <c r="T503" s="102">
        <v>0</v>
      </c>
      <c r="U503" s="103">
        <v>0</v>
      </c>
      <c r="V503" s="103">
        <v>0</v>
      </c>
      <c r="W503" s="104">
        <v>0</v>
      </c>
      <c r="X503" s="19"/>
      <c r="Y503" s="103">
        <v>0</v>
      </c>
      <c r="Z503" s="103">
        <v>0</v>
      </c>
      <c r="AA503" s="105">
        <v>0</v>
      </c>
      <c r="AB503" s="106">
        <v>0</v>
      </c>
      <c r="AC503" s="105">
        <v>0</v>
      </c>
      <c r="AD503" s="104">
        <v>0</v>
      </c>
      <c r="AE503" s="104">
        <v>0</v>
      </c>
      <c r="AF503" s="107">
        <v>46265</v>
      </c>
    </row>
    <row r="504" spans="1:32" x14ac:dyDescent="0.25">
      <c r="A504" s="90">
        <v>1013</v>
      </c>
      <c r="B504" s="91" t="s">
        <v>88</v>
      </c>
      <c r="C504" s="29">
        <v>10130003</v>
      </c>
      <c r="D504" s="92" t="s">
        <v>749</v>
      </c>
      <c r="E504" s="93" t="s">
        <v>270</v>
      </c>
      <c r="F504" s="93" t="s">
        <v>230</v>
      </c>
      <c r="G504" s="109">
        <v>84.40000000000002</v>
      </c>
      <c r="H504" s="109">
        <v>2861.8099999999995</v>
      </c>
      <c r="I504" s="95">
        <v>0</v>
      </c>
      <c r="J504" s="95">
        <v>0</v>
      </c>
      <c r="K504" s="95">
        <v>0</v>
      </c>
      <c r="L504" s="95">
        <v>0</v>
      </c>
      <c r="M504" s="96">
        <v>2</v>
      </c>
      <c r="N504" s="97">
        <v>0</v>
      </c>
      <c r="O504" s="98">
        <v>1</v>
      </c>
      <c r="P504" s="33"/>
      <c r="Q504" s="99" t="s">
        <v>1198</v>
      </c>
      <c r="R504" s="100"/>
      <c r="S504" s="101">
        <v>4.6823513790212874E-4</v>
      </c>
      <c r="T504" s="102">
        <v>3</v>
      </c>
      <c r="U504" s="103">
        <v>0</v>
      </c>
      <c r="V504" s="103">
        <v>0</v>
      </c>
      <c r="W504" s="104">
        <v>0</v>
      </c>
      <c r="X504" s="19"/>
      <c r="Y504" s="103">
        <v>0</v>
      </c>
      <c r="Z504" s="103">
        <v>0</v>
      </c>
      <c r="AA504" s="105">
        <v>0</v>
      </c>
      <c r="AB504" s="106">
        <v>0</v>
      </c>
      <c r="AC504" s="105">
        <v>0</v>
      </c>
      <c r="AD504" s="104">
        <v>0</v>
      </c>
      <c r="AE504" s="104">
        <v>0</v>
      </c>
      <c r="AF504" s="107">
        <v>46265</v>
      </c>
    </row>
    <row r="505" spans="1:32" x14ac:dyDescent="0.25">
      <c r="A505" s="90">
        <v>1013</v>
      </c>
      <c r="B505" s="91" t="s">
        <v>88</v>
      </c>
      <c r="C505" s="29">
        <v>10130005</v>
      </c>
      <c r="D505" s="92" t="s">
        <v>153</v>
      </c>
      <c r="E505" s="93" t="s">
        <v>270</v>
      </c>
      <c r="F505" s="93" t="s">
        <v>231</v>
      </c>
      <c r="G505" s="109">
        <v>75.100000000000009</v>
      </c>
      <c r="H505" s="109">
        <v>3058.69</v>
      </c>
      <c r="I505" s="95">
        <v>0</v>
      </c>
      <c r="J505" s="95">
        <v>1400</v>
      </c>
      <c r="K505" s="95">
        <v>0</v>
      </c>
      <c r="L505" s="95">
        <v>0</v>
      </c>
      <c r="M505" s="96">
        <v>0</v>
      </c>
      <c r="N505" s="97">
        <v>0</v>
      </c>
      <c r="O505" s="98">
        <v>0</v>
      </c>
      <c r="P505" s="33"/>
      <c r="Q505" s="99" t="s">
        <v>1198</v>
      </c>
      <c r="R505" s="100"/>
      <c r="S505" s="101">
        <v>0</v>
      </c>
      <c r="T505" s="102">
        <v>0</v>
      </c>
      <c r="U505" s="103">
        <v>0</v>
      </c>
      <c r="V505" s="103">
        <v>0</v>
      </c>
      <c r="W505" s="104">
        <v>0</v>
      </c>
      <c r="X505" s="19"/>
      <c r="Y505" s="103">
        <v>0</v>
      </c>
      <c r="Z505" s="103">
        <v>0</v>
      </c>
      <c r="AA505" s="105">
        <v>0</v>
      </c>
      <c r="AB505" s="106">
        <v>0</v>
      </c>
      <c r="AC505" s="105">
        <v>0</v>
      </c>
      <c r="AD505" s="104">
        <v>0</v>
      </c>
      <c r="AE505" s="104">
        <v>0</v>
      </c>
      <c r="AF505" s="107">
        <v>46265</v>
      </c>
    </row>
    <row r="506" spans="1:32" x14ac:dyDescent="0.25">
      <c r="A506" s="90">
        <v>1013</v>
      </c>
      <c r="B506" s="91" t="s">
        <v>88</v>
      </c>
      <c r="C506" s="29">
        <v>10130006</v>
      </c>
      <c r="D506" s="92" t="s">
        <v>168</v>
      </c>
      <c r="E506" s="93" t="s">
        <v>270</v>
      </c>
      <c r="F506" s="93" t="s">
        <v>230</v>
      </c>
      <c r="G506" s="109">
        <v>467.20000000000005</v>
      </c>
      <c r="H506" s="109">
        <v>18659.249999999996</v>
      </c>
      <c r="I506" s="95">
        <v>0</v>
      </c>
      <c r="J506" s="95">
        <v>0</v>
      </c>
      <c r="K506" s="95">
        <v>0</v>
      </c>
      <c r="L506" s="95">
        <v>0</v>
      </c>
      <c r="M506" s="96">
        <v>47</v>
      </c>
      <c r="N506" s="97">
        <v>0</v>
      </c>
      <c r="O506" s="98">
        <v>-1</v>
      </c>
      <c r="P506" s="33"/>
      <c r="Q506" s="99" t="s">
        <v>1198</v>
      </c>
      <c r="R506" s="100"/>
      <c r="S506" s="101">
        <v>2.5644117528838811E-3</v>
      </c>
      <c r="T506" s="102">
        <v>13</v>
      </c>
      <c r="U506" s="103">
        <v>0</v>
      </c>
      <c r="V506" s="103">
        <v>0</v>
      </c>
      <c r="W506" s="104">
        <v>0</v>
      </c>
      <c r="X506" s="19"/>
      <c r="Y506" s="103">
        <v>0</v>
      </c>
      <c r="Z506" s="103">
        <v>0</v>
      </c>
      <c r="AA506" s="105">
        <v>0</v>
      </c>
      <c r="AB506" s="106">
        <v>0</v>
      </c>
      <c r="AC506" s="105">
        <v>0</v>
      </c>
      <c r="AD506" s="104">
        <v>0</v>
      </c>
      <c r="AE506" s="104">
        <v>0</v>
      </c>
      <c r="AF506" s="107">
        <v>46265</v>
      </c>
    </row>
    <row r="507" spans="1:32" x14ac:dyDescent="0.25">
      <c r="A507" s="90">
        <v>1013</v>
      </c>
      <c r="B507" s="91" t="s">
        <v>88</v>
      </c>
      <c r="C507" s="29">
        <v>10130008</v>
      </c>
      <c r="D507" s="92" t="s">
        <v>750</v>
      </c>
      <c r="E507" s="93" t="s">
        <v>270</v>
      </c>
      <c r="F507" s="93" t="s">
        <v>230</v>
      </c>
      <c r="G507" s="109">
        <v>437.19999999999993</v>
      </c>
      <c r="H507" s="109">
        <v>17778.930000000004</v>
      </c>
      <c r="I507" s="95">
        <v>0</v>
      </c>
      <c r="J507" s="95">
        <v>0</v>
      </c>
      <c r="K507" s="95">
        <v>0</v>
      </c>
      <c r="L507" s="95">
        <v>0</v>
      </c>
      <c r="M507" s="96">
        <v>28</v>
      </c>
      <c r="N507" s="97">
        <v>0</v>
      </c>
      <c r="O507" s="98">
        <v>-1</v>
      </c>
      <c r="P507" s="33"/>
      <c r="Q507" s="99" t="s">
        <v>1198</v>
      </c>
      <c r="R507" s="100"/>
      <c r="S507" s="101">
        <v>1.6080832761028801E-3</v>
      </c>
      <c r="T507" s="102">
        <v>9</v>
      </c>
      <c r="U507" s="103">
        <v>0</v>
      </c>
      <c r="V507" s="103">
        <v>0</v>
      </c>
      <c r="W507" s="104">
        <v>0</v>
      </c>
      <c r="X507" s="19"/>
      <c r="Y507" s="103">
        <v>0</v>
      </c>
      <c r="Z507" s="103">
        <v>0</v>
      </c>
      <c r="AA507" s="105">
        <v>0</v>
      </c>
      <c r="AB507" s="106">
        <v>0</v>
      </c>
      <c r="AC507" s="105">
        <v>0</v>
      </c>
      <c r="AD507" s="104">
        <v>0</v>
      </c>
      <c r="AE507" s="104">
        <v>0</v>
      </c>
      <c r="AF507" s="107">
        <v>46265</v>
      </c>
    </row>
    <row r="508" spans="1:32" x14ac:dyDescent="0.25">
      <c r="A508" s="90">
        <v>1013</v>
      </c>
      <c r="B508" s="91" t="s">
        <v>88</v>
      </c>
      <c r="C508" s="29">
        <v>10130012</v>
      </c>
      <c r="D508" s="92" t="s">
        <v>751</v>
      </c>
      <c r="E508" s="93" t="s">
        <v>270</v>
      </c>
      <c r="F508" s="93" t="s">
        <v>230</v>
      </c>
      <c r="G508" s="109">
        <v>2384</v>
      </c>
      <c r="H508" s="109">
        <v>90628.359999999986</v>
      </c>
      <c r="I508" s="95">
        <v>0</v>
      </c>
      <c r="J508" s="95">
        <v>0</v>
      </c>
      <c r="K508" s="95">
        <v>0</v>
      </c>
      <c r="L508" s="95">
        <v>0</v>
      </c>
      <c r="M508" s="96">
        <v>3</v>
      </c>
      <c r="N508" s="97">
        <v>0</v>
      </c>
      <c r="O508" s="98">
        <v>0</v>
      </c>
      <c r="P508" s="33"/>
      <c r="Q508" s="99" t="s">
        <v>1198</v>
      </c>
      <c r="R508" s="100"/>
      <c r="S508" s="101">
        <v>3.7626191183300028E-5</v>
      </c>
      <c r="T508" s="102">
        <v>56</v>
      </c>
      <c r="U508" s="103">
        <v>0</v>
      </c>
      <c r="V508" s="103">
        <v>0</v>
      </c>
      <c r="W508" s="104">
        <v>0</v>
      </c>
      <c r="X508" s="19"/>
      <c r="Y508" s="103">
        <v>0</v>
      </c>
      <c r="Z508" s="103">
        <v>0</v>
      </c>
      <c r="AA508" s="105">
        <v>0</v>
      </c>
      <c r="AB508" s="106">
        <v>0</v>
      </c>
      <c r="AC508" s="105">
        <v>0</v>
      </c>
      <c r="AD508" s="104">
        <v>0</v>
      </c>
      <c r="AE508" s="104">
        <v>0</v>
      </c>
      <c r="AF508" s="107">
        <v>46265</v>
      </c>
    </row>
    <row r="509" spans="1:32" x14ac:dyDescent="0.25">
      <c r="A509" s="90">
        <v>1013</v>
      </c>
      <c r="B509" s="91" t="s">
        <v>88</v>
      </c>
      <c r="C509" s="29">
        <v>10130015</v>
      </c>
      <c r="D509" s="92" t="s">
        <v>752</v>
      </c>
      <c r="E509" s="93" t="s">
        <v>270</v>
      </c>
      <c r="F509" s="93" t="s">
        <v>231</v>
      </c>
      <c r="G509" s="109">
        <v>666.7</v>
      </c>
      <c r="H509" s="109">
        <v>27022.65</v>
      </c>
      <c r="I509" s="95">
        <v>0</v>
      </c>
      <c r="J509" s="95">
        <v>0</v>
      </c>
      <c r="K509" s="95">
        <v>0</v>
      </c>
      <c r="L509" s="95">
        <v>0</v>
      </c>
      <c r="M509" s="96">
        <v>0</v>
      </c>
      <c r="N509" s="97">
        <v>0</v>
      </c>
      <c r="O509" s="98">
        <v>0</v>
      </c>
      <c r="P509" s="33"/>
      <c r="Q509" s="99" t="s">
        <v>1198</v>
      </c>
      <c r="R509" s="100"/>
      <c r="S509" s="101">
        <v>0</v>
      </c>
      <c r="T509" s="102">
        <v>0</v>
      </c>
      <c r="U509" s="103">
        <v>0</v>
      </c>
      <c r="V509" s="103">
        <v>0</v>
      </c>
      <c r="W509" s="104">
        <v>0</v>
      </c>
      <c r="X509" s="19"/>
      <c r="Y509" s="103">
        <v>0</v>
      </c>
      <c r="Z509" s="103">
        <v>0</v>
      </c>
      <c r="AA509" s="105">
        <v>0</v>
      </c>
      <c r="AB509" s="106">
        <v>0</v>
      </c>
      <c r="AC509" s="105">
        <v>0</v>
      </c>
      <c r="AD509" s="104">
        <v>0</v>
      </c>
      <c r="AE509" s="104">
        <v>0</v>
      </c>
      <c r="AF509" s="107">
        <v>46265</v>
      </c>
    </row>
    <row r="510" spans="1:32" x14ac:dyDescent="0.25">
      <c r="A510" s="90">
        <v>1013</v>
      </c>
      <c r="B510" s="91" t="s">
        <v>88</v>
      </c>
      <c r="C510" s="29">
        <v>10130016</v>
      </c>
      <c r="D510" s="92" t="s">
        <v>753</v>
      </c>
      <c r="E510" s="93" t="s">
        <v>270</v>
      </c>
      <c r="F510" s="93" t="s">
        <v>231</v>
      </c>
      <c r="G510" s="109">
        <v>268.7</v>
      </c>
      <c r="H510" s="109">
        <v>11755.98</v>
      </c>
      <c r="I510" s="95">
        <v>0</v>
      </c>
      <c r="J510" s="95">
        <v>0</v>
      </c>
      <c r="K510" s="95">
        <v>0</v>
      </c>
      <c r="L510" s="95">
        <v>0</v>
      </c>
      <c r="M510" s="96">
        <v>0</v>
      </c>
      <c r="N510" s="97">
        <v>0</v>
      </c>
      <c r="O510" s="98">
        <v>0</v>
      </c>
      <c r="P510" s="33"/>
      <c r="Q510" s="99" t="s">
        <v>1198</v>
      </c>
      <c r="R510" s="100"/>
      <c r="S510" s="101">
        <v>0</v>
      </c>
      <c r="T510" s="102">
        <v>0</v>
      </c>
      <c r="U510" s="103">
        <v>0</v>
      </c>
      <c r="V510" s="103">
        <v>0</v>
      </c>
      <c r="W510" s="104">
        <v>0</v>
      </c>
      <c r="X510" s="19"/>
      <c r="Y510" s="103">
        <v>0</v>
      </c>
      <c r="Z510" s="103">
        <v>0</v>
      </c>
      <c r="AA510" s="105">
        <v>0</v>
      </c>
      <c r="AB510" s="106">
        <v>0</v>
      </c>
      <c r="AC510" s="105">
        <v>0</v>
      </c>
      <c r="AD510" s="104">
        <v>0</v>
      </c>
      <c r="AE510" s="104">
        <v>0</v>
      </c>
      <c r="AF510" s="107">
        <v>46265</v>
      </c>
    </row>
    <row r="511" spans="1:32" x14ac:dyDescent="0.25">
      <c r="A511" s="90">
        <v>1013</v>
      </c>
      <c r="B511" s="91" t="s">
        <v>88</v>
      </c>
      <c r="C511" s="29">
        <v>10130018</v>
      </c>
      <c r="D511" s="92" t="s">
        <v>90</v>
      </c>
      <c r="E511" s="93" t="s">
        <v>270</v>
      </c>
      <c r="F511" s="93" t="s">
        <v>231</v>
      </c>
      <c r="G511" s="109">
        <v>335.3</v>
      </c>
      <c r="H511" s="109">
        <v>11507.32</v>
      </c>
      <c r="I511" s="95">
        <v>0</v>
      </c>
      <c r="J511" s="95">
        <v>1400</v>
      </c>
      <c r="K511" s="95">
        <v>0</v>
      </c>
      <c r="L511" s="95">
        <v>0</v>
      </c>
      <c r="M511" s="96">
        <v>0</v>
      </c>
      <c r="N511" s="97">
        <v>0</v>
      </c>
      <c r="O511" s="98">
        <v>0</v>
      </c>
      <c r="P511" s="33"/>
      <c r="Q511" s="99" t="s">
        <v>1198</v>
      </c>
      <c r="R511" s="100"/>
      <c r="S511" s="101">
        <v>0</v>
      </c>
      <c r="T511" s="102">
        <v>0</v>
      </c>
      <c r="U511" s="103">
        <v>0</v>
      </c>
      <c r="V511" s="103">
        <v>0</v>
      </c>
      <c r="W511" s="104">
        <v>0</v>
      </c>
      <c r="X511" s="19"/>
      <c r="Y511" s="103">
        <v>0</v>
      </c>
      <c r="Z511" s="103">
        <v>0</v>
      </c>
      <c r="AA511" s="105">
        <v>0</v>
      </c>
      <c r="AB511" s="106">
        <v>0</v>
      </c>
      <c r="AC511" s="105">
        <v>0</v>
      </c>
      <c r="AD511" s="104">
        <v>0</v>
      </c>
      <c r="AE511" s="104">
        <v>0</v>
      </c>
      <c r="AF511" s="107">
        <v>46265</v>
      </c>
    </row>
    <row r="512" spans="1:32" x14ac:dyDescent="0.25">
      <c r="A512" s="90">
        <v>1013</v>
      </c>
      <c r="B512" s="91" t="s">
        <v>88</v>
      </c>
      <c r="C512" s="29">
        <v>10130020</v>
      </c>
      <c r="D512" s="92" t="s">
        <v>754</v>
      </c>
      <c r="E512" s="93" t="s">
        <v>275</v>
      </c>
      <c r="F512" s="93" t="s">
        <v>231</v>
      </c>
      <c r="G512" s="109">
        <v>521.6</v>
      </c>
      <c r="H512" s="109">
        <v>21358.349999999995</v>
      </c>
      <c r="I512" s="95">
        <v>0</v>
      </c>
      <c r="J512" s="95">
        <v>0</v>
      </c>
      <c r="K512" s="95">
        <v>0</v>
      </c>
      <c r="L512" s="95">
        <v>0</v>
      </c>
      <c r="M512" s="96">
        <v>0</v>
      </c>
      <c r="N512" s="97">
        <v>0</v>
      </c>
      <c r="O512" s="98">
        <v>0</v>
      </c>
      <c r="P512" s="33"/>
      <c r="Q512" s="99" t="s">
        <v>1198</v>
      </c>
      <c r="R512" s="100"/>
      <c r="S512" s="101">
        <v>0</v>
      </c>
      <c r="T512" s="102">
        <v>0</v>
      </c>
      <c r="U512" s="103">
        <v>0</v>
      </c>
      <c r="V512" s="103">
        <v>0</v>
      </c>
      <c r="W512" s="104">
        <v>0</v>
      </c>
      <c r="X512" s="19"/>
      <c r="Y512" s="103">
        <v>0</v>
      </c>
      <c r="Z512" s="103">
        <v>0</v>
      </c>
      <c r="AA512" s="105">
        <v>0</v>
      </c>
      <c r="AB512" s="106">
        <v>0</v>
      </c>
      <c r="AC512" s="105">
        <v>0</v>
      </c>
      <c r="AD512" s="104">
        <v>0</v>
      </c>
      <c r="AE512" s="104">
        <v>0</v>
      </c>
      <c r="AF512" s="107">
        <v>46265</v>
      </c>
    </row>
    <row r="513" spans="1:32" x14ac:dyDescent="0.25">
      <c r="A513" s="90">
        <v>1013</v>
      </c>
      <c r="B513" s="91" t="s">
        <v>88</v>
      </c>
      <c r="C513" s="29">
        <v>10130025</v>
      </c>
      <c r="D513" s="92" t="s">
        <v>755</v>
      </c>
      <c r="E513" s="93" t="s">
        <v>270</v>
      </c>
      <c r="F513" s="93" t="s">
        <v>231</v>
      </c>
      <c r="G513" s="109">
        <v>416.8</v>
      </c>
      <c r="H513" s="109">
        <v>16750.759999999998</v>
      </c>
      <c r="I513" s="95">
        <v>0</v>
      </c>
      <c r="J513" s="95">
        <v>0</v>
      </c>
      <c r="K513" s="95">
        <v>0</v>
      </c>
      <c r="L513" s="95">
        <v>0</v>
      </c>
      <c r="M513" s="96">
        <v>0</v>
      </c>
      <c r="N513" s="97">
        <v>0</v>
      </c>
      <c r="O513" s="98">
        <v>0</v>
      </c>
      <c r="P513" s="33"/>
      <c r="Q513" s="99" t="s">
        <v>1198</v>
      </c>
      <c r="R513" s="100"/>
      <c r="S513" s="101">
        <v>0</v>
      </c>
      <c r="T513" s="102">
        <v>0</v>
      </c>
      <c r="U513" s="103">
        <v>0</v>
      </c>
      <c r="V513" s="103">
        <v>0</v>
      </c>
      <c r="W513" s="104">
        <v>0</v>
      </c>
      <c r="X513" s="19"/>
      <c r="Y513" s="103">
        <v>0</v>
      </c>
      <c r="Z513" s="103">
        <v>0</v>
      </c>
      <c r="AA513" s="105">
        <v>0</v>
      </c>
      <c r="AB513" s="106">
        <v>0</v>
      </c>
      <c r="AC513" s="105">
        <v>0</v>
      </c>
      <c r="AD513" s="104">
        <v>0</v>
      </c>
      <c r="AE513" s="104">
        <v>0</v>
      </c>
      <c r="AF513" s="107">
        <v>46265</v>
      </c>
    </row>
    <row r="514" spans="1:32" x14ac:dyDescent="0.25">
      <c r="A514" s="90">
        <v>1013</v>
      </c>
      <c r="B514" s="91" t="s">
        <v>88</v>
      </c>
      <c r="C514" s="29">
        <v>10130026</v>
      </c>
      <c r="D514" s="92" t="s">
        <v>556</v>
      </c>
      <c r="E514" s="93" t="s">
        <v>270</v>
      </c>
      <c r="F514" s="93" t="s">
        <v>230</v>
      </c>
      <c r="G514" s="109">
        <v>189.89999999999998</v>
      </c>
      <c r="H514" s="109">
        <v>9314.1</v>
      </c>
      <c r="I514" s="95">
        <v>0</v>
      </c>
      <c r="J514" s="95">
        <v>0</v>
      </c>
      <c r="K514" s="95">
        <v>500</v>
      </c>
      <c r="L514" s="95">
        <v>0</v>
      </c>
      <c r="M514" s="96">
        <v>0</v>
      </c>
      <c r="N514" s="97">
        <v>0</v>
      </c>
      <c r="O514" s="98">
        <v>0</v>
      </c>
      <c r="P514" s="33"/>
      <c r="Q514" s="99" t="s">
        <v>1198</v>
      </c>
      <c r="R514" s="100"/>
      <c r="S514" s="101">
        <v>-7.4454858762521295E-2</v>
      </c>
      <c r="T514" s="102">
        <v>7</v>
      </c>
      <c r="U514" s="103">
        <v>0</v>
      </c>
      <c r="V514" s="103">
        <v>0</v>
      </c>
      <c r="W514" s="104">
        <v>0</v>
      </c>
      <c r="X514" s="19"/>
      <c r="Y514" s="103">
        <v>500</v>
      </c>
      <c r="Z514" s="103">
        <v>0</v>
      </c>
      <c r="AA514" s="105">
        <v>0</v>
      </c>
      <c r="AB514" s="106">
        <v>500</v>
      </c>
      <c r="AC514" s="105">
        <v>500</v>
      </c>
      <c r="AD514" s="104">
        <v>0</v>
      </c>
      <c r="AE514" s="104">
        <v>0</v>
      </c>
      <c r="AF514" s="107">
        <v>46265</v>
      </c>
    </row>
    <row r="515" spans="1:32" x14ac:dyDescent="0.25">
      <c r="A515" s="90">
        <v>1013</v>
      </c>
      <c r="B515" s="91" t="s">
        <v>88</v>
      </c>
      <c r="C515" s="29">
        <v>10130027</v>
      </c>
      <c r="D515" s="92" t="s">
        <v>756</v>
      </c>
      <c r="E515" s="93" t="s">
        <v>270</v>
      </c>
      <c r="F515" s="93" t="s">
        <v>231</v>
      </c>
      <c r="G515" s="109">
        <v>78.8</v>
      </c>
      <c r="H515" s="109">
        <v>3095.83</v>
      </c>
      <c r="I515" s="95">
        <v>0</v>
      </c>
      <c r="J515" s="95">
        <v>0</v>
      </c>
      <c r="K515" s="95">
        <v>0</v>
      </c>
      <c r="L515" s="95">
        <v>0</v>
      </c>
      <c r="M515" s="96">
        <v>0</v>
      </c>
      <c r="N515" s="97">
        <v>0</v>
      </c>
      <c r="O515" s="98">
        <v>0</v>
      </c>
      <c r="P515" s="33"/>
      <c r="Q515" s="99" t="s">
        <v>1198</v>
      </c>
      <c r="R515" s="100"/>
      <c r="S515" s="101">
        <v>0</v>
      </c>
      <c r="T515" s="102">
        <v>0</v>
      </c>
      <c r="U515" s="103">
        <v>0</v>
      </c>
      <c r="V515" s="103">
        <v>0</v>
      </c>
      <c r="W515" s="104">
        <v>0</v>
      </c>
      <c r="X515" s="19"/>
      <c r="Y515" s="103">
        <v>0</v>
      </c>
      <c r="Z515" s="103">
        <v>0</v>
      </c>
      <c r="AA515" s="105">
        <v>0</v>
      </c>
      <c r="AB515" s="106">
        <v>0</v>
      </c>
      <c r="AC515" s="105">
        <v>0</v>
      </c>
      <c r="AD515" s="104">
        <v>0</v>
      </c>
      <c r="AE515" s="104">
        <v>0</v>
      </c>
      <c r="AF515" s="107">
        <v>46265</v>
      </c>
    </row>
    <row r="516" spans="1:32" x14ac:dyDescent="0.25">
      <c r="A516" s="90">
        <v>1013</v>
      </c>
      <c r="B516" s="91" t="s">
        <v>88</v>
      </c>
      <c r="C516" s="29">
        <v>10130030</v>
      </c>
      <c r="D516" s="92" t="s">
        <v>757</v>
      </c>
      <c r="E516" s="93" t="s">
        <v>270</v>
      </c>
      <c r="F516" s="93" t="s">
        <v>230</v>
      </c>
      <c r="G516" s="109">
        <v>172.79999999999998</v>
      </c>
      <c r="H516" s="109">
        <v>6349.52</v>
      </c>
      <c r="I516" s="95">
        <v>0</v>
      </c>
      <c r="J516" s="95">
        <v>0</v>
      </c>
      <c r="K516" s="95">
        <v>0</v>
      </c>
      <c r="L516" s="95">
        <v>0</v>
      </c>
      <c r="M516" s="96">
        <v>8</v>
      </c>
      <c r="N516" s="97">
        <v>0</v>
      </c>
      <c r="O516" s="98">
        <v>1</v>
      </c>
      <c r="P516" s="33"/>
      <c r="Q516" s="99" t="s">
        <v>1198</v>
      </c>
      <c r="R516" s="100"/>
      <c r="S516" s="101">
        <v>1.0536229510262995E-3</v>
      </c>
      <c r="T516" s="102">
        <v>4</v>
      </c>
      <c r="U516" s="103">
        <v>0</v>
      </c>
      <c r="V516" s="103">
        <v>0</v>
      </c>
      <c r="W516" s="104">
        <v>0</v>
      </c>
      <c r="X516" s="19"/>
      <c r="Y516" s="103">
        <v>0</v>
      </c>
      <c r="Z516" s="103">
        <v>0</v>
      </c>
      <c r="AA516" s="105">
        <v>0</v>
      </c>
      <c r="AB516" s="106">
        <v>0</v>
      </c>
      <c r="AC516" s="105">
        <v>0</v>
      </c>
      <c r="AD516" s="104">
        <v>0</v>
      </c>
      <c r="AE516" s="104">
        <v>0</v>
      </c>
      <c r="AF516" s="107">
        <v>46265</v>
      </c>
    </row>
    <row r="517" spans="1:32" x14ac:dyDescent="0.25">
      <c r="A517" s="90">
        <v>1013</v>
      </c>
      <c r="B517" s="91" t="s">
        <v>88</v>
      </c>
      <c r="C517" s="29">
        <v>10130031</v>
      </c>
      <c r="D517" s="92" t="s">
        <v>89</v>
      </c>
      <c r="E517" s="93" t="s">
        <v>275</v>
      </c>
      <c r="F517" s="93" t="s">
        <v>231</v>
      </c>
      <c r="G517" s="109">
        <v>123.90000000000002</v>
      </c>
      <c r="H517" s="109">
        <v>4579.6899999999996</v>
      </c>
      <c r="I517" s="95">
        <v>0</v>
      </c>
      <c r="J517" s="95">
        <v>1669</v>
      </c>
      <c r="K517" s="95">
        <v>0</v>
      </c>
      <c r="L517" s="95">
        <v>0</v>
      </c>
      <c r="M517" s="96">
        <v>0</v>
      </c>
      <c r="N517" s="97">
        <v>0</v>
      </c>
      <c r="O517" s="98">
        <v>0</v>
      </c>
      <c r="P517" s="33"/>
      <c r="Q517" s="99" t="s">
        <v>1198</v>
      </c>
      <c r="R517" s="100"/>
      <c r="S517" s="101">
        <v>0</v>
      </c>
      <c r="T517" s="102">
        <v>0</v>
      </c>
      <c r="U517" s="103">
        <v>0</v>
      </c>
      <c r="V517" s="103">
        <v>0</v>
      </c>
      <c r="W517" s="104">
        <v>0</v>
      </c>
      <c r="X517" s="19"/>
      <c r="Y517" s="103">
        <v>0</v>
      </c>
      <c r="Z517" s="103">
        <v>0</v>
      </c>
      <c r="AA517" s="105">
        <v>0</v>
      </c>
      <c r="AB517" s="106">
        <v>0</v>
      </c>
      <c r="AC517" s="105">
        <v>0</v>
      </c>
      <c r="AD517" s="104">
        <v>0</v>
      </c>
      <c r="AE517" s="104">
        <v>0</v>
      </c>
      <c r="AF517" s="107">
        <v>46265</v>
      </c>
    </row>
    <row r="518" spans="1:32" x14ac:dyDescent="0.25">
      <c r="A518" s="90">
        <v>1013</v>
      </c>
      <c r="B518" s="91" t="s">
        <v>88</v>
      </c>
      <c r="C518" s="29">
        <v>10130040</v>
      </c>
      <c r="D518" s="92" t="s">
        <v>758</v>
      </c>
      <c r="E518" s="93" t="s">
        <v>275</v>
      </c>
      <c r="F518" s="93" t="s">
        <v>231</v>
      </c>
      <c r="G518" s="109">
        <v>573.9</v>
      </c>
      <c r="H518" s="109">
        <v>15795.649999999998</v>
      </c>
      <c r="I518" s="95">
        <v>0</v>
      </c>
      <c r="J518" s="95">
        <v>0</v>
      </c>
      <c r="K518" s="95">
        <v>0</v>
      </c>
      <c r="L518" s="95">
        <v>0</v>
      </c>
      <c r="M518" s="96">
        <v>0</v>
      </c>
      <c r="N518" s="97">
        <v>0</v>
      </c>
      <c r="O518" s="98">
        <v>0</v>
      </c>
      <c r="P518" s="33"/>
      <c r="Q518" s="99" t="s">
        <v>1198</v>
      </c>
      <c r="R518" s="100"/>
      <c r="S518" s="101">
        <v>0</v>
      </c>
      <c r="T518" s="102">
        <v>0</v>
      </c>
      <c r="U518" s="103">
        <v>0</v>
      </c>
      <c r="V518" s="103">
        <v>0</v>
      </c>
      <c r="W518" s="104">
        <v>0</v>
      </c>
      <c r="X518" s="19"/>
      <c r="Y518" s="103">
        <v>0</v>
      </c>
      <c r="Z518" s="103">
        <v>0</v>
      </c>
      <c r="AA518" s="105">
        <v>0</v>
      </c>
      <c r="AB518" s="106">
        <v>0</v>
      </c>
      <c r="AC518" s="105">
        <v>0</v>
      </c>
      <c r="AD518" s="104">
        <v>0</v>
      </c>
      <c r="AE518" s="104">
        <v>0</v>
      </c>
      <c r="AF518" s="107">
        <v>46265</v>
      </c>
    </row>
    <row r="519" spans="1:32" x14ac:dyDescent="0.25">
      <c r="A519" s="90">
        <v>1013</v>
      </c>
      <c r="B519" s="91" t="s">
        <v>88</v>
      </c>
      <c r="C519" s="29">
        <v>10130041</v>
      </c>
      <c r="D519" s="92" t="s">
        <v>759</v>
      </c>
      <c r="E519" s="93" t="s">
        <v>275</v>
      </c>
      <c r="F519" s="93" t="s">
        <v>231</v>
      </c>
      <c r="G519" s="109">
        <v>66.2</v>
      </c>
      <c r="H519" s="109">
        <v>2530.7599999999998</v>
      </c>
      <c r="I519" s="95">
        <v>0</v>
      </c>
      <c r="J519" s="95">
        <v>0</v>
      </c>
      <c r="K519" s="95">
        <v>0</v>
      </c>
      <c r="L519" s="95">
        <v>0</v>
      </c>
      <c r="M519" s="96">
        <v>0</v>
      </c>
      <c r="N519" s="97">
        <v>0</v>
      </c>
      <c r="O519" s="98">
        <v>0</v>
      </c>
      <c r="P519" s="33"/>
      <c r="Q519" s="99" t="s">
        <v>1198</v>
      </c>
      <c r="R519" s="100"/>
      <c r="S519" s="101">
        <v>0</v>
      </c>
      <c r="T519" s="102">
        <v>0</v>
      </c>
      <c r="U519" s="103">
        <v>0</v>
      </c>
      <c r="V519" s="103">
        <v>0</v>
      </c>
      <c r="W519" s="104">
        <v>0</v>
      </c>
      <c r="X519" s="19"/>
      <c r="Y519" s="103">
        <v>0</v>
      </c>
      <c r="Z519" s="103">
        <v>0</v>
      </c>
      <c r="AA519" s="105">
        <v>0</v>
      </c>
      <c r="AB519" s="106">
        <v>0</v>
      </c>
      <c r="AC519" s="105">
        <v>0</v>
      </c>
      <c r="AD519" s="104">
        <v>0</v>
      </c>
      <c r="AE519" s="104">
        <v>0</v>
      </c>
      <c r="AF519" s="107">
        <v>46265</v>
      </c>
    </row>
    <row r="520" spans="1:32" x14ac:dyDescent="0.25">
      <c r="A520" s="90">
        <v>1013</v>
      </c>
      <c r="B520" s="91" t="s">
        <v>88</v>
      </c>
      <c r="C520" s="29">
        <v>10130042</v>
      </c>
      <c r="D520" s="92" t="s">
        <v>760</v>
      </c>
      <c r="E520" s="93" t="s">
        <v>275</v>
      </c>
      <c r="F520" s="93" t="s">
        <v>231</v>
      </c>
      <c r="G520" s="109">
        <v>44.7</v>
      </c>
      <c r="H520" s="109">
        <v>1558.57</v>
      </c>
      <c r="I520" s="95">
        <v>0</v>
      </c>
      <c r="J520" s="95">
        <v>0</v>
      </c>
      <c r="K520" s="95">
        <v>0</v>
      </c>
      <c r="L520" s="95">
        <v>0</v>
      </c>
      <c r="M520" s="96">
        <v>0</v>
      </c>
      <c r="N520" s="97">
        <v>0</v>
      </c>
      <c r="O520" s="98">
        <v>0</v>
      </c>
      <c r="P520" s="33"/>
      <c r="Q520" s="99" t="s">
        <v>1198</v>
      </c>
      <c r="R520" s="100"/>
      <c r="S520" s="101">
        <v>0</v>
      </c>
      <c r="T520" s="102">
        <v>0</v>
      </c>
      <c r="U520" s="103">
        <v>0</v>
      </c>
      <c r="V520" s="103">
        <v>0</v>
      </c>
      <c r="W520" s="104">
        <v>0</v>
      </c>
      <c r="X520" s="19"/>
      <c r="Y520" s="103">
        <v>0</v>
      </c>
      <c r="Z520" s="103">
        <v>0</v>
      </c>
      <c r="AA520" s="105">
        <v>0</v>
      </c>
      <c r="AB520" s="106">
        <v>0</v>
      </c>
      <c r="AC520" s="105">
        <v>0</v>
      </c>
      <c r="AD520" s="104">
        <v>0</v>
      </c>
      <c r="AE520" s="104">
        <v>0</v>
      </c>
      <c r="AF520" s="107">
        <v>46265</v>
      </c>
    </row>
    <row r="521" spans="1:32" x14ac:dyDescent="0.25">
      <c r="A521" s="90">
        <v>1013</v>
      </c>
      <c r="B521" s="91" t="s">
        <v>88</v>
      </c>
      <c r="C521" s="29">
        <v>10130044</v>
      </c>
      <c r="D521" s="92" t="s">
        <v>761</v>
      </c>
      <c r="E521" s="93" t="s">
        <v>270</v>
      </c>
      <c r="F521" s="93" t="s">
        <v>231</v>
      </c>
      <c r="G521" s="109">
        <v>1888.8000000000002</v>
      </c>
      <c r="H521" s="109">
        <v>85337.49</v>
      </c>
      <c r="I521" s="95">
        <v>0</v>
      </c>
      <c r="J521" s="95">
        <v>0</v>
      </c>
      <c r="K521" s="95">
        <v>0</v>
      </c>
      <c r="L521" s="95">
        <v>0</v>
      </c>
      <c r="M521" s="96">
        <v>0</v>
      </c>
      <c r="N521" s="97">
        <v>0</v>
      </c>
      <c r="O521" s="98">
        <v>0</v>
      </c>
      <c r="P521" s="33"/>
      <c r="Q521" s="99" t="s">
        <v>1198</v>
      </c>
      <c r="R521" s="100"/>
      <c r="S521" s="101">
        <v>0</v>
      </c>
      <c r="T521" s="102">
        <v>0</v>
      </c>
      <c r="U521" s="103">
        <v>0</v>
      </c>
      <c r="V521" s="103">
        <v>0</v>
      </c>
      <c r="W521" s="104">
        <v>0</v>
      </c>
      <c r="X521" s="19"/>
      <c r="Y521" s="103">
        <v>0</v>
      </c>
      <c r="Z521" s="103">
        <v>0</v>
      </c>
      <c r="AA521" s="105">
        <v>0</v>
      </c>
      <c r="AB521" s="106">
        <v>0</v>
      </c>
      <c r="AC521" s="105">
        <v>0</v>
      </c>
      <c r="AD521" s="104">
        <v>0</v>
      </c>
      <c r="AE521" s="104">
        <v>0</v>
      </c>
      <c r="AF521" s="107">
        <v>46265</v>
      </c>
    </row>
    <row r="522" spans="1:32" x14ac:dyDescent="0.25">
      <c r="A522" s="90">
        <v>1013</v>
      </c>
      <c r="B522" s="91" t="s">
        <v>88</v>
      </c>
      <c r="C522" s="29">
        <v>10130046</v>
      </c>
      <c r="D522" s="92" t="s">
        <v>762</v>
      </c>
      <c r="E522" s="93" t="s">
        <v>270</v>
      </c>
      <c r="F522" s="93" t="s">
        <v>230</v>
      </c>
      <c r="G522" s="109">
        <v>296.09999999999997</v>
      </c>
      <c r="H522" s="109">
        <v>13898.37</v>
      </c>
      <c r="I522" s="95">
        <v>0</v>
      </c>
      <c r="J522" s="95">
        <v>0</v>
      </c>
      <c r="K522" s="95">
        <v>0</v>
      </c>
      <c r="L522" s="95">
        <v>0</v>
      </c>
      <c r="M522" s="96">
        <v>0</v>
      </c>
      <c r="N522" s="97">
        <v>0</v>
      </c>
      <c r="O522" s="98">
        <v>0</v>
      </c>
      <c r="P522" s="33"/>
      <c r="Q522" s="99" t="s">
        <v>1198</v>
      </c>
      <c r="R522" s="100"/>
      <c r="S522" s="101">
        <v>-6.7025125968008858E-2</v>
      </c>
      <c r="T522" s="102">
        <v>13</v>
      </c>
      <c r="U522" s="103">
        <v>0</v>
      </c>
      <c r="V522" s="103">
        <v>0</v>
      </c>
      <c r="W522" s="104">
        <v>0</v>
      </c>
      <c r="X522" s="19"/>
      <c r="Y522" s="103">
        <v>0</v>
      </c>
      <c r="Z522" s="103">
        <v>0</v>
      </c>
      <c r="AA522" s="105">
        <v>0</v>
      </c>
      <c r="AB522" s="106">
        <v>0</v>
      </c>
      <c r="AC522" s="105">
        <v>0</v>
      </c>
      <c r="AD522" s="104">
        <v>0</v>
      </c>
      <c r="AE522" s="104">
        <v>0</v>
      </c>
      <c r="AF522" s="107">
        <v>46265</v>
      </c>
    </row>
    <row r="523" spans="1:32" x14ac:dyDescent="0.25">
      <c r="A523" s="90">
        <v>1013</v>
      </c>
      <c r="B523" s="91" t="s">
        <v>88</v>
      </c>
      <c r="C523" s="29">
        <v>10130047</v>
      </c>
      <c r="D523" s="92" t="s">
        <v>207</v>
      </c>
      <c r="E523" s="93" t="s">
        <v>270</v>
      </c>
      <c r="F523" s="93" t="s">
        <v>230</v>
      </c>
      <c r="G523" s="109">
        <v>240.7</v>
      </c>
      <c r="H523" s="109">
        <v>9459.82</v>
      </c>
      <c r="I523" s="95">
        <v>0</v>
      </c>
      <c r="J523" s="95">
        <v>286</v>
      </c>
      <c r="K523" s="95">
        <v>0</v>
      </c>
      <c r="L523" s="95">
        <v>0</v>
      </c>
      <c r="M523" s="96">
        <v>10</v>
      </c>
      <c r="N523" s="97">
        <v>0</v>
      </c>
      <c r="O523" s="98">
        <v>1</v>
      </c>
      <c r="P523" s="33"/>
      <c r="Q523" s="99" t="s">
        <v>1198</v>
      </c>
      <c r="R523" s="100"/>
      <c r="S523" s="101">
        <v>9.92619309881099E-4</v>
      </c>
      <c r="T523" s="102">
        <v>6</v>
      </c>
      <c r="U523" s="103">
        <v>0</v>
      </c>
      <c r="V523" s="103">
        <v>0</v>
      </c>
      <c r="W523" s="104">
        <v>0</v>
      </c>
      <c r="X523" s="19"/>
      <c r="Y523" s="103">
        <v>0</v>
      </c>
      <c r="Z523" s="103">
        <v>0</v>
      </c>
      <c r="AA523" s="105">
        <v>0</v>
      </c>
      <c r="AB523" s="106">
        <v>0</v>
      </c>
      <c r="AC523" s="105">
        <v>0</v>
      </c>
      <c r="AD523" s="104">
        <v>0</v>
      </c>
      <c r="AE523" s="104">
        <v>0</v>
      </c>
      <c r="AF523" s="107">
        <v>46265</v>
      </c>
    </row>
    <row r="524" spans="1:32" x14ac:dyDescent="0.25">
      <c r="A524" s="90">
        <v>1013</v>
      </c>
      <c r="B524" s="91" t="s">
        <v>88</v>
      </c>
      <c r="C524" s="29">
        <v>10130052</v>
      </c>
      <c r="D524" s="92" t="s">
        <v>763</v>
      </c>
      <c r="E524" s="93" t="s">
        <v>270</v>
      </c>
      <c r="F524" s="93" t="s">
        <v>230</v>
      </c>
      <c r="G524" s="109">
        <v>947.30000000000007</v>
      </c>
      <c r="H524" s="109">
        <v>34840.17</v>
      </c>
      <c r="I524" s="95">
        <v>0</v>
      </c>
      <c r="J524" s="95">
        <v>0</v>
      </c>
      <c r="K524" s="95">
        <v>0</v>
      </c>
      <c r="L524" s="95">
        <v>0</v>
      </c>
      <c r="M524" s="96">
        <v>9</v>
      </c>
      <c r="N524" s="97">
        <v>0</v>
      </c>
      <c r="O524" s="98">
        <v>1</v>
      </c>
      <c r="P524" s="33"/>
      <c r="Q524" s="99" t="s">
        <v>1198</v>
      </c>
      <c r="R524" s="100"/>
      <c r="S524" s="101">
        <v>2.3937885492511971E-4</v>
      </c>
      <c r="T524" s="102">
        <v>23</v>
      </c>
      <c r="U524" s="103">
        <v>0</v>
      </c>
      <c r="V524" s="103">
        <v>0</v>
      </c>
      <c r="W524" s="104">
        <v>0</v>
      </c>
      <c r="X524" s="19"/>
      <c r="Y524" s="103">
        <v>0</v>
      </c>
      <c r="Z524" s="103">
        <v>0</v>
      </c>
      <c r="AA524" s="105">
        <v>0</v>
      </c>
      <c r="AB524" s="106">
        <v>0</v>
      </c>
      <c r="AC524" s="105">
        <v>0</v>
      </c>
      <c r="AD524" s="104">
        <v>0</v>
      </c>
      <c r="AE524" s="104">
        <v>0</v>
      </c>
      <c r="AF524" s="107">
        <v>46265</v>
      </c>
    </row>
    <row r="525" spans="1:32" x14ac:dyDescent="0.25">
      <c r="A525" s="90">
        <v>1013</v>
      </c>
      <c r="B525" s="91" t="s">
        <v>88</v>
      </c>
      <c r="C525" s="29">
        <v>10130054</v>
      </c>
      <c r="D525" s="92" t="s">
        <v>764</v>
      </c>
      <c r="E525" s="93" t="s">
        <v>270</v>
      </c>
      <c r="F525" s="93" t="s">
        <v>230</v>
      </c>
      <c r="G525" s="109">
        <v>753.3</v>
      </c>
      <c r="H525" s="109">
        <v>30922.129999999997</v>
      </c>
      <c r="I525" s="95">
        <v>0</v>
      </c>
      <c r="J525" s="95">
        <v>0</v>
      </c>
      <c r="K525" s="95">
        <v>0</v>
      </c>
      <c r="L525" s="95">
        <v>0</v>
      </c>
      <c r="M525" s="96">
        <v>7</v>
      </c>
      <c r="N525" s="97">
        <v>0</v>
      </c>
      <c r="O525" s="98">
        <v>-1</v>
      </c>
      <c r="P525" s="33"/>
      <c r="Q525" s="99" t="s">
        <v>1198</v>
      </c>
      <c r="R525" s="100"/>
      <c r="S525" s="101">
        <v>2.4836581438589949E-4</v>
      </c>
      <c r="T525" s="102">
        <v>14</v>
      </c>
      <c r="U525" s="103">
        <v>0</v>
      </c>
      <c r="V525" s="103">
        <v>0</v>
      </c>
      <c r="W525" s="104">
        <v>0</v>
      </c>
      <c r="X525" s="19"/>
      <c r="Y525" s="103">
        <v>0</v>
      </c>
      <c r="Z525" s="103">
        <v>0</v>
      </c>
      <c r="AA525" s="105">
        <v>0</v>
      </c>
      <c r="AB525" s="106">
        <v>0</v>
      </c>
      <c r="AC525" s="105">
        <v>0</v>
      </c>
      <c r="AD525" s="104">
        <v>0</v>
      </c>
      <c r="AE525" s="104">
        <v>0</v>
      </c>
      <c r="AF525" s="107">
        <v>46265</v>
      </c>
    </row>
    <row r="526" spans="1:32" x14ac:dyDescent="0.25">
      <c r="A526" s="90">
        <v>1013</v>
      </c>
      <c r="B526" s="91" t="s">
        <v>88</v>
      </c>
      <c r="C526" s="29">
        <v>10130058</v>
      </c>
      <c r="D526" s="92" t="s">
        <v>765</v>
      </c>
      <c r="E526" s="93" t="s">
        <v>275</v>
      </c>
      <c r="F526" s="93" t="s">
        <v>231</v>
      </c>
      <c r="G526" s="109">
        <v>1373.1000000000001</v>
      </c>
      <c r="H526" s="109">
        <v>46740.85</v>
      </c>
      <c r="I526" s="95">
        <v>0</v>
      </c>
      <c r="J526" s="95">
        <v>0</v>
      </c>
      <c r="K526" s="95">
        <v>0</v>
      </c>
      <c r="L526" s="95">
        <v>0</v>
      </c>
      <c r="M526" s="96">
        <v>0</v>
      </c>
      <c r="N526" s="97">
        <v>0</v>
      </c>
      <c r="O526" s="98">
        <v>0</v>
      </c>
      <c r="P526" s="33"/>
      <c r="Q526" s="99" t="s">
        <v>1198</v>
      </c>
      <c r="R526" s="100"/>
      <c r="S526" s="101">
        <v>0</v>
      </c>
      <c r="T526" s="102">
        <v>0</v>
      </c>
      <c r="U526" s="103">
        <v>0</v>
      </c>
      <c r="V526" s="103">
        <v>0</v>
      </c>
      <c r="W526" s="104">
        <v>0</v>
      </c>
      <c r="X526" s="19"/>
      <c r="Y526" s="103">
        <v>0</v>
      </c>
      <c r="Z526" s="103">
        <v>0</v>
      </c>
      <c r="AA526" s="105">
        <v>0</v>
      </c>
      <c r="AB526" s="106">
        <v>0</v>
      </c>
      <c r="AC526" s="105">
        <v>0</v>
      </c>
      <c r="AD526" s="104">
        <v>0</v>
      </c>
      <c r="AE526" s="104">
        <v>0</v>
      </c>
      <c r="AF526" s="107">
        <v>46265</v>
      </c>
    </row>
    <row r="527" spans="1:32" x14ac:dyDescent="0.25">
      <c r="A527" s="90">
        <v>1013</v>
      </c>
      <c r="B527" s="91" t="s">
        <v>88</v>
      </c>
      <c r="C527" s="29">
        <v>10130061</v>
      </c>
      <c r="D527" s="92" t="s">
        <v>766</v>
      </c>
      <c r="E527" s="93" t="s">
        <v>275</v>
      </c>
      <c r="F527" s="93" t="s">
        <v>231</v>
      </c>
      <c r="G527" s="109">
        <v>636.4</v>
      </c>
      <c r="H527" s="109">
        <v>24769.989999999998</v>
      </c>
      <c r="I527" s="95">
        <v>0</v>
      </c>
      <c r="J527" s="95">
        <v>0</v>
      </c>
      <c r="K527" s="95">
        <v>0</v>
      </c>
      <c r="L527" s="95">
        <v>0</v>
      </c>
      <c r="M527" s="96">
        <v>0</v>
      </c>
      <c r="N527" s="97">
        <v>0</v>
      </c>
      <c r="O527" s="98">
        <v>0</v>
      </c>
      <c r="P527" s="33"/>
      <c r="Q527" s="99" t="s">
        <v>1198</v>
      </c>
      <c r="R527" s="100"/>
      <c r="S527" s="101">
        <v>0</v>
      </c>
      <c r="T527" s="102">
        <v>0</v>
      </c>
      <c r="U527" s="103">
        <v>0</v>
      </c>
      <c r="V527" s="103">
        <v>0</v>
      </c>
      <c r="W527" s="104">
        <v>0</v>
      </c>
      <c r="X527" s="19"/>
      <c r="Y527" s="103">
        <v>0</v>
      </c>
      <c r="Z527" s="103">
        <v>0</v>
      </c>
      <c r="AA527" s="105">
        <v>0</v>
      </c>
      <c r="AB527" s="106">
        <v>0</v>
      </c>
      <c r="AC527" s="105">
        <v>0</v>
      </c>
      <c r="AD527" s="104">
        <v>0</v>
      </c>
      <c r="AE527" s="104">
        <v>0</v>
      </c>
      <c r="AF527" s="107">
        <v>46265</v>
      </c>
    </row>
    <row r="528" spans="1:32" x14ac:dyDescent="0.25">
      <c r="A528" s="90">
        <v>1013</v>
      </c>
      <c r="B528" s="91" t="s">
        <v>88</v>
      </c>
      <c r="C528" s="29">
        <v>10130065</v>
      </c>
      <c r="D528" s="92" t="s">
        <v>767</v>
      </c>
      <c r="E528" s="93" t="s">
        <v>275</v>
      </c>
      <c r="F528" s="93" t="s">
        <v>231</v>
      </c>
      <c r="G528" s="109">
        <v>417.1</v>
      </c>
      <c r="H528" s="109">
        <v>17166.730000000003</v>
      </c>
      <c r="I528" s="95">
        <v>0</v>
      </c>
      <c r="J528" s="95">
        <v>0</v>
      </c>
      <c r="K528" s="95">
        <v>0</v>
      </c>
      <c r="L528" s="95">
        <v>0</v>
      </c>
      <c r="M528" s="96">
        <v>0</v>
      </c>
      <c r="N528" s="97">
        <v>0</v>
      </c>
      <c r="O528" s="98">
        <v>0</v>
      </c>
      <c r="P528" s="33"/>
      <c r="Q528" s="99" t="s">
        <v>1198</v>
      </c>
      <c r="R528" s="100"/>
      <c r="S528" s="101">
        <v>0</v>
      </c>
      <c r="T528" s="102">
        <v>0</v>
      </c>
      <c r="U528" s="103">
        <v>0</v>
      </c>
      <c r="V528" s="103">
        <v>0</v>
      </c>
      <c r="W528" s="104">
        <v>0</v>
      </c>
      <c r="X528" s="19"/>
      <c r="Y528" s="103">
        <v>0</v>
      </c>
      <c r="Z528" s="103">
        <v>0</v>
      </c>
      <c r="AA528" s="105">
        <v>0</v>
      </c>
      <c r="AB528" s="106">
        <v>0</v>
      </c>
      <c r="AC528" s="105">
        <v>0</v>
      </c>
      <c r="AD528" s="104">
        <v>0</v>
      </c>
      <c r="AE528" s="104">
        <v>0</v>
      </c>
      <c r="AF528" s="107">
        <v>46265</v>
      </c>
    </row>
    <row r="529" spans="1:32" x14ac:dyDescent="0.25">
      <c r="A529" s="90">
        <v>1013</v>
      </c>
      <c r="B529" s="91" t="s">
        <v>88</v>
      </c>
      <c r="C529" s="29">
        <v>10130073</v>
      </c>
      <c r="D529" s="92" t="s">
        <v>158</v>
      </c>
      <c r="E529" s="93" t="s">
        <v>270</v>
      </c>
      <c r="F529" s="93" t="s">
        <v>230</v>
      </c>
      <c r="G529" s="109">
        <v>554.79999999999995</v>
      </c>
      <c r="H529" s="109">
        <v>22073.14</v>
      </c>
      <c r="I529" s="95">
        <v>0</v>
      </c>
      <c r="J529" s="95">
        <v>4448</v>
      </c>
      <c r="K529" s="95">
        <v>500</v>
      </c>
      <c r="L529" s="95">
        <v>0</v>
      </c>
      <c r="M529" s="96">
        <v>8</v>
      </c>
      <c r="N529" s="97">
        <v>0</v>
      </c>
      <c r="O529" s="98">
        <v>0</v>
      </c>
      <c r="P529" s="33"/>
      <c r="Q529" s="99" t="s">
        <v>1198</v>
      </c>
      <c r="R529" s="100"/>
      <c r="S529" s="101">
        <v>3.3615516414965219E-4</v>
      </c>
      <c r="T529" s="102">
        <v>19</v>
      </c>
      <c r="U529" s="103">
        <v>0</v>
      </c>
      <c r="V529" s="103">
        <v>0</v>
      </c>
      <c r="W529" s="104">
        <v>0</v>
      </c>
      <c r="X529" s="19"/>
      <c r="Y529" s="103">
        <v>500</v>
      </c>
      <c r="Z529" s="103">
        <v>0</v>
      </c>
      <c r="AA529" s="105">
        <v>0</v>
      </c>
      <c r="AB529" s="106">
        <v>500</v>
      </c>
      <c r="AC529" s="105">
        <v>500</v>
      </c>
      <c r="AD529" s="104">
        <v>0</v>
      </c>
      <c r="AE529" s="104">
        <v>0</v>
      </c>
      <c r="AF529" s="107">
        <v>46265</v>
      </c>
    </row>
    <row r="530" spans="1:32" x14ac:dyDescent="0.25">
      <c r="A530" s="90">
        <v>1013</v>
      </c>
      <c r="B530" s="91" t="s">
        <v>88</v>
      </c>
      <c r="C530" s="29">
        <v>10130074</v>
      </c>
      <c r="D530" s="92" t="s">
        <v>768</v>
      </c>
      <c r="E530" s="93" t="s">
        <v>270</v>
      </c>
      <c r="F530" s="93" t="s">
        <v>230</v>
      </c>
      <c r="G530" s="109">
        <v>193.7</v>
      </c>
      <c r="H530" s="109">
        <v>7320.5499999999993</v>
      </c>
      <c r="I530" s="95">
        <v>0</v>
      </c>
      <c r="J530" s="95">
        <v>0</v>
      </c>
      <c r="K530" s="95">
        <v>0</v>
      </c>
      <c r="L530" s="95">
        <v>0</v>
      </c>
      <c r="M530" s="96">
        <v>7</v>
      </c>
      <c r="N530" s="97">
        <v>0</v>
      </c>
      <c r="O530" s="98">
        <v>0</v>
      </c>
      <c r="P530" s="33"/>
      <c r="Q530" s="99" t="s">
        <v>1198</v>
      </c>
      <c r="R530" s="100"/>
      <c r="S530" s="101">
        <v>1.0094869920975089E-3</v>
      </c>
      <c r="T530" s="102">
        <v>10</v>
      </c>
      <c r="U530" s="103">
        <v>0</v>
      </c>
      <c r="V530" s="103">
        <v>0</v>
      </c>
      <c r="W530" s="104">
        <v>0</v>
      </c>
      <c r="X530" s="19"/>
      <c r="Y530" s="103">
        <v>0</v>
      </c>
      <c r="Z530" s="103">
        <v>0</v>
      </c>
      <c r="AA530" s="105">
        <v>0</v>
      </c>
      <c r="AB530" s="106">
        <v>0</v>
      </c>
      <c r="AC530" s="105">
        <v>0</v>
      </c>
      <c r="AD530" s="104">
        <v>0</v>
      </c>
      <c r="AE530" s="104">
        <v>0</v>
      </c>
      <c r="AF530" s="107">
        <v>46265</v>
      </c>
    </row>
    <row r="531" spans="1:32" x14ac:dyDescent="0.25">
      <c r="A531" s="90">
        <v>1013</v>
      </c>
      <c r="B531" s="91" t="s">
        <v>88</v>
      </c>
      <c r="C531" s="29">
        <v>10130077</v>
      </c>
      <c r="D531" s="92" t="s">
        <v>303</v>
      </c>
      <c r="E531" s="93" t="s">
        <v>270</v>
      </c>
      <c r="F531" s="93" t="s">
        <v>230</v>
      </c>
      <c r="G531" s="109">
        <v>318.2</v>
      </c>
      <c r="H531" s="109">
        <v>11912.250000000002</v>
      </c>
      <c r="I531" s="95">
        <v>0</v>
      </c>
      <c r="J531" s="95">
        <v>0</v>
      </c>
      <c r="K531" s="95">
        <v>500</v>
      </c>
      <c r="L531" s="95">
        <v>0</v>
      </c>
      <c r="M531" s="96">
        <v>7</v>
      </c>
      <c r="N531" s="97">
        <v>0</v>
      </c>
      <c r="O531" s="98">
        <v>2</v>
      </c>
      <c r="P531" s="33"/>
      <c r="Q531" s="99" t="s">
        <v>1198</v>
      </c>
      <c r="R531" s="100"/>
      <c r="S531" s="101">
        <v>4.5079644903362501E-4</v>
      </c>
      <c r="T531" s="102">
        <v>8</v>
      </c>
      <c r="U531" s="103">
        <v>0</v>
      </c>
      <c r="V531" s="103">
        <v>0</v>
      </c>
      <c r="W531" s="104">
        <v>0</v>
      </c>
      <c r="X531" s="19"/>
      <c r="Y531" s="103">
        <v>500</v>
      </c>
      <c r="Z531" s="103">
        <v>0</v>
      </c>
      <c r="AA531" s="105">
        <v>0</v>
      </c>
      <c r="AB531" s="106">
        <v>500</v>
      </c>
      <c r="AC531" s="105">
        <v>500</v>
      </c>
      <c r="AD531" s="104">
        <v>0</v>
      </c>
      <c r="AE531" s="104">
        <v>0</v>
      </c>
      <c r="AF531" s="107">
        <v>46265</v>
      </c>
    </row>
    <row r="532" spans="1:32" x14ac:dyDescent="0.25">
      <c r="A532" s="90">
        <v>1013</v>
      </c>
      <c r="B532" s="91" t="s">
        <v>88</v>
      </c>
      <c r="C532" s="29">
        <v>10130080</v>
      </c>
      <c r="D532" s="92" t="s">
        <v>769</v>
      </c>
      <c r="E532" s="93" t="s">
        <v>275</v>
      </c>
      <c r="F532" s="93" t="s">
        <v>231</v>
      </c>
      <c r="G532" s="109">
        <v>56.9</v>
      </c>
      <c r="H532" s="109">
        <v>2465.3000000000002</v>
      </c>
      <c r="I532" s="95">
        <v>0</v>
      </c>
      <c r="J532" s="95">
        <v>0</v>
      </c>
      <c r="K532" s="95">
        <v>0</v>
      </c>
      <c r="L532" s="95">
        <v>0</v>
      </c>
      <c r="M532" s="96">
        <v>0</v>
      </c>
      <c r="N532" s="97">
        <v>0</v>
      </c>
      <c r="O532" s="98">
        <v>0</v>
      </c>
      <c r="P532" s="33"/>
      <c r="Q532" s="99" t="s">
        <v>1198</v>
      </c>
      <c r="R532" s="100"/>
      <c r="S532" s="101">
        <v>0</v>
      </c>
      <c r="T532" s="102">
        <v>0</v>
      </c>
      <c r="U532" s="103">
        <v>0</v>
      </c>
      <c r="V532" s="103">
        <v>0</v>
      </c>
      <c r="W532" s="104">
        <v>0</v>
      </c>
      <c r="X532" s="19"/>
      <c r="Y532" s="103">
        <v>0</v>
      </c>
      <c r="Z532" s="103">
        <v>0</v>
      </c>
      <c r="AA532" s="105">
        <v>0</v>
      </c>
      <c r="AB532" s="106">
        <v>0</v>
      </c>
      <c r="AC532" s="105">
        <v>0</v>
      </c>
      <c r="AD532" s="104">
        <v>0</v>
      </c>
      <c r="AE532" s="104">
        <v>0</v>
      </c>
      <c r="AF532" s="107">
        <v>46265</v>
      </c>
    </row>
    <row r="533" spans="1:32" x14ac:dyDescent="0.25">
      <c r="A533" s="90">
        <v>1013</v>
      </c>
      <c r="B533" s="91" t="s">
        <v>88</v>
      </c>
      <c r="C533" s="29">
        <v>10130081</v>
      </c>
      <c r="D533" s="92" t="s">
        <v>169</v>
      </c>
      <c r="E533" s="93" t="s">
        <v>275</v>
      </c>
      <c r="F533" s="93" t="s">
        <v>231</v>
      </c>
      <c r="G533" s="109">
        <v>59.900000000000006</v>
      </c>
      <c r="H533" s="109">
        <v>2205.41</v>
      </c>
      <c r="I533" s="95">
        <v>0</v>
      </c>
      <c r="J533" s="95">
        <v>1400</v>
      </c>
      <c r="K533" s="95">
        <v>0</v>
      </c>
      <c r="L533" s="95">
        <v>0</v>
      </c>
      <c r="M533" s="96">
        <v>0</v>
      </c>
      <c r="N533" s="97">
        <v>0</v>
      </c>
      <c r="O533" s="98">
        <v>0</v>
      </c>
      <c r="P533" s="33"/>
      <c r="Q533" s="99" t="s">
        <v>1198</v>
      </c>
      <c r="R533" s="100"/>
      <c r="S533" s="101">
        <v>0</v>
      </c>
      <c r="T533" s="102">
        <v>0</v>
      </c>
      <c r="U533" s="103">
        <v>0</v>
      </c>
      <c r="V533" s="103">
        <v>0</v>
      </c>
      <c r="W533" s="104">
        <v>0</v>
      </c>
      <c r="X533" s="19"/>
      <c r="Y533" s="103">
        <v>0</v>
      </c>
      <c r="Z533" s="103">
        <v>0</v>
      </c>
      <c r="AA533" s="105">
        <v>0</v>
      </c>
      <c r="AB533" s="106">
        <v>0</v>
      </c>
      <c r="AC533" s="105">
        <v>0</v>
      </c>
      <c r="AD533" s="104">
        <v>0</v>
      </c>
      <c r="AE533" s="104">
        <v>0</v>
      </c>
      <c r="AF533" s="107">
        <v>46265</v>
      </c>
    </row>
    <row r="534" spans="1:32" x14ac:dyDescent="0.25">
      <c r="A534" s="90">
        <v>1013</v>
      </c>
      <c r="B534" s="91" t="s">
        <v>88</v>
      </c>
      <c r="C534" s="29">
        <v>10130083</v>
      </c>
      <c r="D534" s="92" t="s">
        <v>770</v>
      </c>
      <c r="E534" s="93" t="s">
        <v>275</v>
      </c>
      <c r="F534" s="93" t="s">
        <v>231</v>
      </c>
      <c r="G534" s="109">
        <v>985.19999999999993</v>
      </c>
      <c r="H534" s="109">
        <v>31078.239999999998</v>
      </c>
      <c r="I534" s="95">
        <v>0</v>
      </c>
      <c r="J534" s="95">
        <v>0</v>
      </c>
      <c r="K534" s="95">
        <v>0</v>
      </c>
      <c r="L534" s="95">
        <v>0</v>
      </c>
      <c r="M534" s="96">
        <v>0</v>
      </c>
      <c r="N534" s="97">
        <v>0</v>
      </c>
      <c r="O534" s="98">
        <v>0</v>
      </c>
      <c r="P534" s="33"/>
      <c r="Q534" s="99" t="s">
        <v>1198</v>
      </c>
      <c r="R534" s="100"/>
      <c r="S534" s="101">
        <v>0</v>
      </c>
      <c r="T534" s="102">
        <v>0</v>
      </c>
      <c r="U534" s="103">
        <v>0</v>
      </c>
      <c r="V534" s="103">
        <v>0</v>
      </c>
      <c r="W534" s="104">
        <v>0</v>
      </c>
      <c r="X534" s="19"/>
      <c r="Y534" s="103">
        <v>0</v>
      </c>
      <c r="Z534" s="103">
        <v>0</v>
      </c>
      <c r="AA534" s="105">
        <v>0</v>
      </c>
      <c r="AB534" s="106">
        <v>0</v>
      </c>
      <c r="AC534" s="105">
        <v>0</v>
      </c>
      <c r="AD534" s="104">
        <v>0</v>
      </c>
      <c r="AE534" s="104">
        <v>0</v>
      </c>
      <c r="AF534" s="107">
        <v>46265</v>
      </c>
    </row>
    <row r="535" spans="1:32" x14ac:dyDescent="0.25">
      <c r="A535" s="90">
        <v>1013</v>
      </c>
      <c r="B535" s="91" t="s">
        <v>88</v>
      </c>
      <c r="C535" s="29">
        <v>10130088</v>
      </c>
      <c r="D535" s="92" t="s">
        <v>771</v>
      </c>
      <c r="E535" s="93" t="s">
        <v>275</v>
      </c>
      <c r="F535" s="93" t="s">
        <v>231</v>
      </c>
      <c r="G535" s="109">
        <v>276.10000000000002</v>
      </c>
      <c r="H535" s="109">
        <v>9637.57</v>
      </c>
      <c r="I535" s="95">
        <v>0</v>
      </c>
      <c r="J535" s="95">
        <v>0</v>
      </c>
      <c r="K535" s="95">
        <v>0</v>
      </c>
      <c r="L535" s="95">
        <v>0</v>
      </c>
      <c r="M535" s="96">
        <v>0</v>
      </c>
      <c r="N535" s="97">
        <v>0</v>
      </c>
      <c r="O535" s="98">
        <v>0</v>
      </c>
      <c r="P535" s="33"/>
      <c r="Q535" s="99" t="s">
        <v>1198</v>
      </c>
      <c r="R535" s="100"/>
      <c r="S535" s="101">
        <v>0</v>
      </c>
      <c r="T535" s="102">
        <v>0</v>
      </c>
      <c r="U535" s="103">
        <v>0</v>
      </c>
      <c r="V535" s="103">
        <v>0</v>
      </c>
      <c r="W535" s="104">
        <v>0</v>
      </c>
      <c r="X535" s="19"/>
      <c r="Y535" s="103">
        <v>0</v>
      </c>
      <c r="Z535" s="103">
        <v>0</v>
      </c>
      <c r="AA535" s="105">
        <v>0</v>
      </c>
      <c r="AB535" s="106">
        <v>0</v>
      </c>
      <c r="AC535" s="105">
        <v>0</v>
      </c>
      <c r="AD535" s="104">
        <v>0</v>
      </c>
      <c r="AE535" s="104">
        <v>0</v>
      </c>
      <c r="AF535" s="107">
        <v>46265</v>
      </c>
    </row>
    <row r="536" spans="1:32" x14ac:dyDescent="0.25">
      <c r="A536" s="90">
        <v>1013</v>
      </c>
      <c r="B536" s="91" t="s">
        <v>88</v>
      </c>
      <c r="C536" s="29">
        <v>10130090</v>
      </c>
      <c r="D536" s="92" t="s">
        <v>772</v>
      </c>
      <c r="E536" s="93" t="s">
        <v>270</v>
      </c>
      <c r="F536" s="93" t="s">
        <v>230</v>
      </c>
      <c r="G536" s="109">
        <v>9.1999999999999993</v>
      </c>
      <c r="H536" s="109">
        <v>360.73</v>
      </c>
      <c r="I536" s="95">
        <v>0</v>
      </c>
      <c r="J536" s="95">
        <v>0</v>
      </c>
      <c r="K536" s="95">
        <v>0</v>
      </c>
      <c r="L536" s="95">
        <v>0</v>
      </c>
      <c r="M536" s="96">
        <v>14</v>
      </c>
      <c r="N536" s="97">
        <v>0</v>
      </c>
      <c r="O536" s="98">
        <v>0</v>
      </c>
      <c r="P536" s="33"/>
      <c r="Q536" s="99" t="s">
        <v>1198</v>
      </c>
      <c r="R536" s="100"/>
      <c r="S536" s="101">
        <v>3.8699304188728509E-2</v>
      </c>
      <c r="T536" s="102">
        <v>1</v>
      </c>
      <c r="U536" s="103">
        <v>0</v>
      </c>
      <c r="V536" s="103">
        <v>0</v>
      </c>
      <c r="W536" s="104">
        <v>0</v>
      </c>
      <c r="X536" s="19"/>
      <c r="Y536" s="103">
        <v>0</v>
      </c>
      <c r="Z536" s="103">
        <v>0</v>
      </c>
      <c r="AA536" s="105">
        <v>0</v>
      </c>
      <c r="AB536" s="106">
        <v>0</v>
      </c>
      <c r="AC536" s="105">
        <v>0</v>
      </c>
      <c r="AD536" s="104">
        <v>0</v>
      </c>
      <c r="AE536" s="104">
        <v>0</v>
      </c>
      <c r="AF536" s="107">
        <v>46265</v>
      </c>
    </row>
    <row r="537" spans="1:32" x14ac:dyDescent="0.25">
      <c r="A537" s="90">
        <v>1013</v>
      </c>
      <c r="B537" s="91" t="s">
        <v>88</v>
      </c>
      <c r="C537" s="29">
        <v>10130093</v>
      </c>
      <c r="D537" s="92" t="s">
        <v>773</v>
      </c>
      <c r="E537" s="93" t="s">
        <v>270</v>
      </c>
      <c r="F537" s="93" t="s">
        <v>230</v>
      </c>
      <c r="G537" s="109">
        <v>277.8</v>
      </c>
      <c r="H537" s="109">
        <v>12155.199999999999</v>
      </c>
      <c r="I537" s="95">
        <v>0</v>
      </c>
      <c r="J537" s="95">
        <v>0</v>
      </c>
      <c r="K537" s="95">
        <v>0</v>
      </c>
      <c r="L537" s="95">
        <v>0</v>
      </c>
      <c r="M537" s="96">
        <v>15</v>
      </c>
      <c r="N537" s="97">
        <v>0</v>
      </c>
      <c r="O537" s="98">
        <v>1</v>
      </c>
      <c r="P537" s="33"/>
      <c r="Q537" s="99" t="s">
        <v>1198</v>
      </c>
      <c r="R537" s="100"/>
      <c r="S537" s="101">
        <v>1.1805646965906398E-3</v>
      </c>
      <c r="T537" s="102">
        <v>7</v>
      </c>
      <c r="U537" s="103">
        <v>0</v>
      </c>
      <c r="V537" s="103">
        <v>0</v>
      </c>
      <c r="W537" s="104">
        <v>0</v>
      </c>
      <c r="X537" s="19"/>
      <c r="Y537" s="103">
        <v>0</v>
      </c>
      <c r="Z537" s="103">
        <v>0</v>
      </c>
      <c r="AA537" s="105">
        <v>0</v>
      </c>
      <c r="AB537" s="106">
        <v>0</v>
      </c>
      <c r="AC537" s="105">
        <v>0</v>
      </c>
      <c r="AD537" s="104">
        <v>0</v>
      </c>
      <c r="AE537" s="104">
        <v>0</v>
      </c>
      <c r="AF537" s="107">
        <v>46265</v>
      </c>
    </row>
    <row r="538" spans="1:32" x14ac:dyDescent="0.25">
      <c r="A538" s="90">
        <v>1013</v>
      </c>
      <c r="B538" s="91" t="s">
        <v>88</v>
      </c>
      <c r="C538" s="29">
        <v>10130097</v>
      </c>
      <c r="D538" s="92" t="s">
        <v>774</v>
      </c>
      <c r="E538" s="93" t="s">
        <v>270</v>
      </c>
      <c r="F538" s="93" t="s">
        <v>230</v>
      </c>
      <c r="G538" s="109">
        <v>45.699999999999996</v>
      </c>
      <c r="H538" s="109">
        <v>1482.7199999999998</v>
      </c>
      <c r="I538" s="95">
        <v>0</v>
      </c>
      <c r="J538" s="95">
        <v>0</v>
      </c>
      <c r="K538" s="95">
        <v>500</v>
      </c>
      <c r="L538" s="95">
        <v>0</v>
      </c>
      <c r="M538" s="96">
        <v>430</v>
      </c>
      <c r="N538" s="97">
        <v>0</v>
      </c>
      <c r="O538" s="98">
        <v>0</v>
      </c>
      <c r="P538" s="33"/>
      <c r="Q538" s="99" t="s">
        <v>1198</v>
      </c>
      <c r="R538" s="100"/>
      <c r="S538" s="101">
        <v>0.28963661379087074</v>
      </c>
      <c r="T538" s="102">
        <v>1</v>
      </c>
      <c r="U538" s="103">
        <v>0</v>
      </c>
      <c r="V538" s="103">
        <v>0</v>
      </c>
      <c r="W538" s="104">
        <v>0</v>
      </c>
      <c r="X538" s="19"/>
      <c r="Y538" s="103">
        <v>500</v>
      </c>
      <c r="Z538" s="103">
        <v>0</v>
      </c>
      <c r="AA538" s="105">
        <v>0</v>
      </c>
      <c r="AB538" s="106">
        <v>500</v>
      </c>
      <c r="AC538" s="105">
        <v>500</v>
      </c>
      <c r="AD538" s="104">
        <v>0</v>
      </c>
      <c r="AE538" s="104">
        <v>0</v>
      </c>
      <c r="AF538" s="107">
        <v>46265</v>
      </c>
    </row>
    <row r="539" spans="1:32" x14ac:dyDescent="0.25">
      <c r="A539" s="90">
        <v>1013</v>
      </c>
      <c r="B539" s="91" t="s">
        <v>88</v>
      </c>
      <c r="C539" s="29">
        <v>10130098</v>
      </c>
      <c r="D539" s="92" t="s">
        <v>775</v>
      </c>
      <c r="E539" s="93" t="s">
        <v>270</v>
      </c>
      <c r="F539" s="93" t="s">
        <v>230</v>
      </c>
      <c r="G539" s="109">
        <v>346.29999999999995</v>
      </c>
      <c r="H539" s="109">
        <v>16415.739999999998</v>
      </c>
      <c r="I539" s="95">
        <v>0</v>
      </c>
      <c r="J539" s="95">
        <v>0</v>
      </c>
      <c r="K539" s="95">
        <v>0</v>
      </c>
      <c r="L539" s="95">
        <v>0</v>
      </c>
      <c r="M539" s="96">
        <v>13</v>
      </c>
      <c r="N539" s="97">
        <v>0</v>
      </c>
      <c r="O539" s="98">
        <v>0</v>
      </c>
      <c r="P539" s="33"/>
      <c r="Q539" s="99" t="s">
        <v>1198</v>
      </c>
      <c r="R539" s="100"/>
      <c r="S539" s="101">
        <v>7.9314121690504354E-4</v>
      </c>
      <c r="T539" s="102">
        <v>6</v>
      </c>
      <c r="U539" s="103">
        <v>0</v>
      </c>
      <c r="V539" s="103">
        <v>0</v>
      </c>
      <c r="W539" s="104">
        <v>0</v>
      </c>
      <c r="X539" s="19"/>
      <c r="Y539" s="103">
        <v>0</v>
      </c>
      <c r="Z539" s="103">
        <v>0</v>
      </c>
      <c r="AA539" s="105">
        <v>0</v>
      </c>
      <c r="AB539" s="106">
        <v>0</v>
      </c>
      <c r="AC539" s="105">
        <v>0</v>
      </c>
      <c r="AD539" s="104">
        <v>0</v>
      </c>
      <c r="AE539" s="104">
        <v>0</v>
      </c>
      <c r="AF539" s="107">
        <v>46265</v>
      </c>
    </row>
    <row r="540" spans="1:32" x14ac:dyDescent="0.25">
      <c r="A540" s="90">
        <v>1013</v>
      </c>
      <c r="B540" s="91" t="s">
        <v>88</v>
      </c>
      <c r="C540" s="29">
        <v>10130100</v>
      </c>
      <c r="D540" s="92" t="s">
        <v>776</v>
      </c>
      <c r="E540" s="93" t="s">
        <v>270</v>
      </c>
      <c r="F540" s="93" t="s">
        <v>230</v>
      </c>
      <c r="G540" s="109">
        <v>79.300000000000011</v>
      </c>
      <c r="H540" s="109">
        <v>3195.8700000000003</v>
      </c>
      <c r="I540" s="95">
        <v>0</v>
      </c>
      <c r="J540" s="95">
        <v>0</v>
      </c>
      <c r="K540" s="95">
        <v>500</v>
      </c>
      <c r="L540" s="95">
        <v>0</v>
      </c>
      <c r="M540" s="96">
        <v>13</v>
      </c>
      <c r="N540" s="97">
        <v>0</v>
      </c>
      <c r="O540" s="98">
        <v>0</v>
      </c>
      <c r="P540" s="115"/>
      <c r="Q540" s="99" t="s">
        <v>1198</v>
      </c>
      <c r="R540" s="100"/>
      <c r="S540" s="101">
        <v>4.0239434019530432E-3</v>
      </c>
      <c r="T540" s="102">
        <v>3</v>
      </c>
      <c r="U540" s="103">
        <v>0</v>
      </c>
      <c r="V540" s="103">
        <v>0</v>
      </c>
      <c r="W540" s="104">
        <v>0</v>
      </c>
      <c r="X540" s="19"/>
      <c r="Y540" s="103">
        <v>500</v>
      </c>
      <c r="Z540" s="103">
        <v>0</v>
      </c>
      <c r="AA540" s="105">
        <v>0</v>
      </c>
      <c r="AB540" s="106">
        <v>500</v>
      </c>
      <c r="AC540" s="105">
        <v>500</v>
      </c>
      <c r="AD540" s="104">
        <v>0</v>
      </c>
      <c r="AE540" s="104">
        <v>0</v>
      </c>
      <c r="AF540" s="107">
        <v>46265</v>
      </c>
    </row>
    <row r="541" spans="1:32" x14ac:dyDescent="0.25">
      <c r="A541" s="90">
        <v>1061</v>
      </c>
      <c r="B541" s="91" t="s">
        <v>29</v>
      </c>
      <c r="C541" s="29">
        <v>10130101</v>
      </c>
      <c r="D541" s="92" t="s">
        <v>777</v>
      </c>
      <c r="E541" s="93" t="s">
        <v>275</v>
      </c>
      <c r="F541" s="93" t="s">
        <v>231</v>
      </c>
      <c r="G541" s="109">
        <v>789.7</v>
      </c>
      <c r="H541" s="109">
        <v>33469.909999999996</v>
      </c>
      <c r="I541" s="95">
        <v>0</v>
      </c>
      <c r="J541" s="95">
        <v>0</v>
      </c>
      <c r="K541" s="95">
        <v>0</v>
      </c>
      <c r="L541" s="95">
        <v>0</v>
      </c>
      <c r="M541" s="96">
        <v>0</v>
      </c>
      <c r="N541" s="97">
        <v>0</v>
      </c>
      <c r="O541" s="98">
        <v>0</v>
      </c>
      <c r="P541" s="33"/>
      <c r="Q541" s="99" t="s">
        <v>1198</v>
      </c>
      <c r="R541" s="100"/>
      <c r="S541" s="101">
        <v>0</v>
      </c>
      <c r="T541" s="102">
        <v>0</v>
      </c>
      <c r="U541" s="103">
        <v>0</v>
      </c>
      <c r="V541" s="103">
        <v>0</v>
      </c>
      <c r="W541" s="104">
        <v>0</v>
      </c>
      <c r="X541" s="19"/>
      <c r="Y541" s="103">
        <v>0</v>
      </c>
      <c r="Z541" s="103">
        <v>0</v>
      </c>
      <c r="AA541" s="105">
        <v>0</v>
      </c>
      <c r="AB541" s="106">
        <v>0</v>
      </c>
      <c r="AC541" s="105">
        <v>0</v>
      </c>
      <c r="AD541" s="104">
        <v>0</v>
      </c>
      <c r="AE541" s="104">
        <v>0</v>
      </c>
      <c r="AF541" s="107">
        <v>46265</v>
      </c>
    </row>
    <row r="542" spans="1:32" x14ac:dyDescent="0.25">
      <c r="A542" s="90">
        <v>1013</v>
      </c>
      <c r="B542" s="91" t="s">
        <v>88</v>
      </c>
      <c r="C542" s="29">
        <v>10130102</v>
      </c>
      <c r="D542" s="92" t="s">
        <v>778</v>
      </c>
      <c r="E542" s="93" t="s">
        <v>275</v>
      </c>
      <c r="F542" s="93" t="s">
        <v>231</v>
      </c>
      <c r="G542" s="109">
        <v>52.800000000000004</v>
      </c>
      <c r="H542" s="109">
        <v>1867.22</v>
      </c>
      <c r="I542" s="95">
        <v>0</v>
      </c>
      <c r="J542" s="95">
        <v>0</v>
      </c>
      <c r="K542" s="95">
        <v>0</v>
      </c>
      <c r="L542" s="95">
        <v>0</v>
      </c>
      <c r="M542" s="96">
        <v>0</v>
      </c>
      <c r="N542" s="97">
        <v>0</v>
      </c>
      <c r="O542" s="98">
        <v>0</v>
      </c>
      <c r="P542" s="33"/>
      <c r="Q542" s="99" t="s">
        <v>1198</v>
      </c>
      <c r="R542" s="100"/>
      <c r="S542" s="101">
        <v>0</v>
      </c>
      <c r="T542" s="102">
        <v>0</v>
      </c>
      <c r="U542" s="103">
        <v>0</v>
      </c>
      <c r="V542" s="103">
        <v>0</v>
      </c>
      <c r="W542" s="104">
        <v>0</v>
      </c>
      <c r="X542" s="19"/>
      <c r="Y542" s="103">
        <v>0</v>
      </c>
      <c r="Z542" s="103">
        <v>0</v>
      </c>
      <c r="AA542" s="105">
        <v>0</v>
      </c>
      <c r="AB542" s="106">
        <v>0</v>
      </c>
      <c r="AC542" s="105">
        <v>0</v>
      </c>
      <c r="AD542" s="104">
        <v>0</v>
      </c>
      <c r="AE542" s="104">
        <v>0</v>
      </c>
      <c r="AF542" s="107">
        <v>46265</v>
      </c>
    </row>
    <row r="543" spans="1:32" x14ac:dyDescent="0.25">
      <c r="A543" s="90">
        <v>1013</v>
      </c>
      <c r="B543" s="91" t="s">
        <v>88</v>
      </c>
      <c r="C543" s="29">
        <v>10130103</v>
      </c>
      <c r="D543" s="92" t="s">
        <v>779</v>
      </c>
      <c r="E543" s="93" t="s">
        <v>275</v>
      </c>
      <c r="F543" s="93" t="s">
        <v>231</v>
      </c>
      <c r="G543" s="109">
        <v>178.3</v>
      </c>
      <c r="H543" s="109">
        <v>6289.8099999999986</v>
      </c>
      <c r="I543" s="95">
        <v>0</v>
      </c>
      <c r="J543" s="95">
        <v>0</v>
      </c>
      <c r="K543" s="95">
        <v>0</v>
      </c>
      <c r="L543" s="95">
        <v>0</v>
      </c>
      <c r="M543" s="96">
        <v>0</v>
      </c>
      <c r="N543" s="97">
        <v>0</v>
      </c>
      <c r="O543" s="98">
        <v>0</v>
      </c>
      <c r="P543" s="33"/>
      <c r="Q543" s="99" t="s">
        <v>1198</v>
      </c>
      <c r="R543" s="100"/>
      <c r="S543" s="101">
        <v>0</v>
      </c>
      <c r="T543" s="102">
        <v>0</v>
      </c>
      <c r="U543" s="103">
        <v>0</v>
      </c>
      <c r="V543" s="103">
        <v>0</v>
      </c>
      <c r="W543" s="104">
        <v>0</v>
      </c>
      <c r="X543" s="19"/>
      <c r="Y543" s="103">
        <v>0</v>
      </c>
      <c r="Z543" s="103">
        <v>0</v>
      </c>
      <c r="AA543" s="105">
        <v>0</v>
      </c>
      <c r="AB543" s="106">
        <v>0</v>
      </c>
      <c r="AC543" s="105">
        <v>0</v>
      </c>
      <c r="AD543" s="104">
        <v>0</v>
      </c>
      <c r="AE543" s="104">
        <v>0</v>
      </c>
      <c r="AF543" s="107">
        <v>46265</v>
      </c>
    </row>
    <row r="544" spans="1:32" x14ac:dyDescent="0.25">
      <c r="A544" s="90">
        <v>1013</v>
      </c>
      <c r="B544" s="91" t="s">
        <v>88</v>
      </c>
      <c r="C544" s="29">
        <v>10130107</v>
      </c>
      <c r="D544" s="92" t="s">
        <v>780</v>
      </c>
      <c r="E544" s="93" t="s">
        <v>275</v>
      </c>
      <c r="F544" s="93" t="s">
        <v>231</v>
      </c>
      <c r="G544" s="109">
        <v>266.3</v>
      </c>
      <c r="H544" s="109">
        <v>11731.380000000001</v>
      </c>
      <c r="I544" s="95">
        <v>0</v>
      </c>
      <c r="J544" s="95">
        <v>0</v>
      </c>
      <c r="K544" s="95">
        <v>0</v>
      </c>
      <c r="L544" s="95">
        <v>0</v>
      </c>
      <c r="M544" s="96">
        <v>0</v>
      </c>
      <c r="N544" s="97">
        <v>0</v>
      </c>
      <c r="O544" s="98">
        <v>0</v>
      </c>
      <c r="P544" s="33"/>
      <c r="Q544" s="99" t="s">
        <v>1198</v>
      </c>
      <c r="R544" s="100"/>
      <c r="S544" s="101">
        <v>0</v>
      </c>
      <c r="T544" s="102">
        <v>0</v>
      </c>
      <c r="U544" s="103">
        <v>0</v>
      </c>
      <c r="V544" s="103">
        <v>0</v>
      </c>
      <c r="W544" s="104">
        <v>0</v>
      </c>
      <c r="X544" s="19"/>
      <c r="Y544" s="103">
        <v>0</v>
      </c>
      <c r="Z544" s="103">
        <v>0</v>
      </c>
      <c r="AA544" s="105">
        <v>0</v>
      </c>
      <c r="AB544" s="106">
        <v>0</v>
      </c>
      <c r="AC544" s="105">
        <v>0</v>
      </c>
      <c r="AD544" s="104">
        <v>0</v>
      </c>
      <c r="AE544" s="104">
        <v>0</v>
      </c>
      <c r="AF544" s="107">
        <v>46265</v>
      </c>
    </row>
    <row r="545" spans="1:32" x14ac:dyDescent="0.25">
      <c r="A545" s="90">
        <v>1013</v>
      </c>
      <c r="B545" s="91" t="s">
        <v>88</v>
      </c>
      <c r="C545" s="29">
        <v>10130113</v>
      </c>
      <c r="D545" s="92" t="s">
        <v>781</v>
      </c>
      <c r="E545" s="93" t="s">
        <v>275</v>
      </c>
      <c r="F545" s="93" t="s">
        <v>231</v>
      </c>
      <c r="G545" s="109">
        <v>1031.7</v>
      </c>
      <c r="H545" s="109">
        <v>46390.359999999993</v>
      </c>
      <c r="I545" s="95">
        <v>0</v>
      </c>
      <c r="J545" s="95">
        <v>0</v>
      </c>
      <c r="K545" s="95">
        <v>0</v>
      </c>
      <c r="L545" s="95">
        <v>0</v>
      </c>
      <c r="M545" s="96">
        <v>0</v>
      </c>
      <c r="N545" s="97">
        <v>0</v>
      </c>
      <c r="O545" s="98">
        <v>0</v>
      </c>
      <c r="P545" s="33"/>
      <c r="Q545" s="99" t="s">
        <v>1198</v>
      </c>
      <c r="R545" s="100"/>
      <c r="S545" s="101">
        <v>0</v>
      </c>
      <c r="T545" s="102">
        <v>0</v>
      </c>
      <c r="U545" s="103">
        <v>0</v>
      </c>
      <c r="V545" s="103">
        <v>0</v>
      </c>
      <c r="W545" s="104">
        <v>0</v>
      </c>
      <c r="X545" s="19"/>
      <c r="Y545" s="103">
        <v>0</v>
      </c>
      <c r="Z545" s="103">
        <v>0</v>
      </c>
      <c r="AA545" s="105">
        <v>0</v>
      </c>
      <c r="AB545" s="106">
        <v>0</v>
      </c>
      <c r="AC545" s="105">
        <v>0</v>
      </c>
      <c r="AD545" s="104">
        <v>0</v>
      </c>
      <c r="AE545" s="104">
        <v>0</v>
      </c>
      <c r="AF545" s="107">
        <v>46265</v>
      </c>
    </row>
    <row r="546" spans="1:32" x14ac:dyDescent="0.25">
      <c r="A546" s="90">
        <v>1013</v>
      </c>
      <c r="B546" s="91" t="s">
        <v>88</v>
      </c>
      <c r="C546" s="29">
        <v>10130114</v>
      </c>
      <c r="D546" s="92" t="s">
        <v>782</v>
      </c>
      <c r="E546" s="93" t="s">
        <v>275</v>
      </c>
      <c r="F546" s="93" t="s">
        <v>231</v>
      </c>
      <c r="G546" s="109">
        <v>139.80000000000001</v>
      </c>
      <c r="H546" s="109">
        <v>5258.6399999999994</v>
      </c>
      <c r="I546" s="95">
        <v>0</v>
      </c>
      <c r="J546" s="95">
        <v>0</v>
      </c>
      <c r="K546" s="95">
        <v>0</v>
      </c>
      <c r="L546" s="95">
        <v>0</v>
      </c>
      <c r="M546" s="96">
        <v>0</v>
      </c>
      <c r="N546" s="97">
        <v>0</v>
      </c>
      <c r="O546" s="98">
        <v>0</v>
      </c>
      <c r="P546" s="33"/>
      <c r="Q546" s="99" t="s">
        <v>1198</v>
      </c>
      <c r="R546" s="100"/>
      <c r="S546" s="101">
        <v>0</v>
      </c>
      <c r="T546" s="102">
        <v>0</v>
      </c>
      <c r="U546" s="103">
        <v>0</v>
      </c>
      <c r="V546" s="103">
        <v>0</v>
      </c>
      <c r="W546" s="104">
        <v>0</v>
      </c>
      <c r="X546" s="19"/>
      <c r="Y546" s="103">
        <v>0</v>
      </c>
      <c r="Z546" s="103">
        <v>0</v>
      </c>
      <c r="AA546" s="105">
        <v>0</v>
      </c>
      <c r="AB546" s="106">
        <v>0</v>
      </c>
      <c r="AC546" s="105">
        <v>0</v>
      </c>
      <c r="AD546" s="104">
        <v>0</v>
      </c>
      <c r="AE546" s="104">
        <v>0</v>
      </c>
      <c r="AF546" s="107">
        <v>46265</v>
      </c>
    </row>
    <row r="547" spans="1:32" x14ac:dyDescent="0.25">
      <c r="A547" s="90">
        <v>1013</v>
      </c>
      <c r="B547" s="91" t="s">
        <v>88</v>
      </c>
      <c r="C547" s="29">
        <v>10130115</v>
      </c>
      <c r="D547" s="92" t="s">
        <v>783</v>
      </c>
      <c r="E547" s="93" t="s">
        <v>270</v>
      </c>
      <c r="F547" s="93" t="s">
        <v>230</v>
      </c>
      <c r="G547" s="109">
        <v>425</v>
      </c>
      <c r="H547" s="109">
        <v>20443.899999999998</v>
      </c>
      <c r="I547" s="95">
        <v>0</v>
      </c>
      <c r="J547" s="95">
        <v>0</v>
      </c>
      <c r="K547" s="95">
        <v>0</v>
      </c>
      <c r="L547" s="95">
        <v>0</v>
      </c>
      <c r="M547" s="96">
        <v>8</v>
      </c>
      <c r="N547" s="97">
        <v>0</v>
      </c>
      <c r="O547" s="98">
        <v>-2</v>
      </c>
      <c r="P547" s="33"/>
      <c r="Q547" s="99" t="s">
        <v>1198</v>
      </c>
      <c r="R547" s="100"/>
      <c r="S547" s="101">
        <v>4.8327373935488736E-4</v>
      </c>
      <c r="T547" s="102">
        <v>7</v>
      </c>
      <c r="U547" s="103">
        <v>0</v>
      </c>
      <c r="V547" s="103">
        <v>0</v>
      </c>
      <c r="W547" s="104">
        <v>0</v>
      </c>
      <c r="X547" s="19"/>
      <c r="Y547" s="103">
        <v>0</v>
      </c>
      <c r="Z547" s="103">
        <v>0</v>
      </c>
      <c r="AA547" s="105">
        <v>0</v>
      </c>
      <c r="AB547" s="106">
        <v>0</v>
      </c>
      <c r="AC547" s="105">
        <v>0</v>
      </c>
      <c r="AD547" s="104">
        <v>0</v>
      </c>
      <c r="AE547" s="104">
        <v>0</v>
      </c>
      <c r="AF547" s="107">
        <v>46265</v>
      </c>
    </row>
    <row r="548" spans="1:32" x14ac:dyDescent="0.25">
      <c r="A548" s="90">
        <v>1013</v>
      </c>
      <c r="B548" s="91" t="s">
        <v>88</v>
      </c>
      <c r="C548" s="29">
        <v>10130117</v>
      </c>
      <c r="D548" s="92" t="s">
        <v>784</v>
      </c>
      <c r="E548" s="93" t="s">
        <v>275</v>
      </c>
      <c r="F548" s="93" t="s">
        <v>230</v>
      </c>
      <c r="G548" s="109">
        <v>240.79999999999995</v>
      </c>
      <c r="H548" s="109">
        <v>7755.2599999999993</v>
      </c>
      <c r="I548" s="95">
        <v>0</v>
      </c>
      <c r="J548" s="95">
        <v>0</v>
      </c>
      <c r="K548" s="95">
        <v>0</v>
      </c>
      <c r="L548" s="95">
        <v>0</v>
      </c>
      <c r="M548" s="96">
        <v>15</v>
      </c>
      <c r="N548" s="97">
        <v>0</v>
      </c>
      <c r="O548" s="98">
        <v>0</v>
      </c>
      <c r="P548" s="33"/>
      <c r="Q548" s="99" t="s">
        <v>1198</v>
      </c>
      <c r="R548" s="100"/>
      <c r="S548" s="101">
        <v>2.0141168703563636E-3</v>
      </c>
      <c r="T548" s="102">
        <v>1</v>
      </c>
      <c r="U548" s="103">
        <v>0</v>
      </c>
      <c r="V548" s="103">
        <v>0</v>
      </c>
      <c r="W548" s="104">
        <v>0</v>
      </c>
      <c r="X548" s="19"/>
      <c r="Y548" s="103">
        <v>0</v>
      </c>
      <c r="Z548" s="103">
        <v>0</v>
      </c>
      <c r="AA548" s="105">
        <v>0</v>
      </c>
      <c r="AB548" s="106">
        <v>0</v>
      </c>
      <c r="AC548" s="105">
        <v>0</v>
      </c>
      <c r="AD548" s="104">
        <v>0</v>
      </c>
      <c r="AE548" s="104">
        <v>0</v>
      </c>
      <c r="AF548" s="107">
        <v>46265</v>
      </c>
    </row>
    <row r="549" spans="1:32" x14ac:dyDescent="0.25">
      <c r="A549" s="90">
        <v>1013</v>
      </c>
      <c r="B549" s="91" t="s">
        <v>88</v>
      </c>
      <c r="C549" s="29">
        <v>10130120</v>
      </c>
      <c r="D549" s="92" t="s">
        <v>785</v>
      </c>
      <c r="E549" s="93" t="s">
        <v>270</v>
      </c>
      <c r="F549" s="93" t="s">
        <v>230</v>
      </c>
      <c r="G549" s="109">
        <v>595.69999999999993</v>
      </c>
      <c r="H549" s="109">
        <v>25300.71</v>
      </c>
      <c r="I549" s="95">
        <v>0</v>
      </c>
      <c r="J549" s="95">
        <v>0</v>
      </c>
      <c r="K549" s="95">
        <v>0</v>
      </c>
      <c r="L549" s="95">
        <v>0</v>
      </c>
      <c r="M549" s="96">
        <v>25</v>
      </c>
      <c r="N549" s="97">
        <v>0</v>
      </c>
      <c r="O549" s="98">
        <v>1</v>
      </c>
      <c r="P549" s="33"/>
      <c r="Q549" s="99" t="s">
        <v>1198</v>
      </c>
      <c r="R549" s="100"/>
      <c r="S549" s="101">
        <v>9.560996509583601E-4</v>
      </c>
      <c r="T549" s="102">
        <v>11</v>
      </c>
      <c r="U549" s="103">
        <v>0</v>
      </c>
      <c r="V549" s="103">
        <v>0</v>
      </c>
      <c r="W549" s="104">
        <v>0</v>
      </c>
      <c r="X549" s="19"/>
      <c r="Y549" s="103">
        <v>0</v>
      </c>
      <c r="Z549" s="103">
        <v>0</v>
      </c>
      <c r="AA549" s="105">
        <v>0</v>
      </c>
      <c r="AB549" s="106">
        <v>0</v>
      </c>
      <c r="AC549" s="105">
        <v>0</v>
      </c>
      <c r="AD549" s="104">
        <v>0</v>
      </c>
      <c r="AE549" s="104">
        <v>0</v>
      </c>
      <c r="AF549" s="107">
        <v>46265</v>
      </c>
    </row>
    <row r="550" spans="1:32" x14ac:dyDescent="0.25">
      <c r="A550" s="90">
        <v>1013</v>
      </c>
      <c r="B550" s="91" t="s">
        <v>88</v>
      </c>
      <c r="C550" s="29">
        <v>10130122</v>
      </c>
      <c r="D550" s="92" t="s">
        <v>786</v>
      </c>
      <c r="E550" s="93" t="s">
        <v>275</v>
      </c>
      <c r="F550" s="93" t="s">
        <v>231</v>
      </c>
      <c r="G550" s="109">
        <v>450.6</v>
      </c>
      <c r="H550" s="109">
        <v>16207.87</v>
      </c>
      <c r="I550" s="95">
        <v>0</v>
      </c>
      <c r="J550" s="95">
        <v>2638</v>
      </c>
      <c r="K550" s="95">
        <v>0</v>
      </c>
      <c r="L550" s="95">
        <v>0</v>
      </c>
      <c r="M550" s="96">
        <v>0</v>
      </c>
      <c r="N550" s="97">
        <v>0</v>
      </c>
      <c r="O550" s="98">
        <v>0</v>
      </c>
      <c r="P550" s="33"/>
      <c r="Q550" s="99" t="s">
        <v>1198</v>
      </c>
      <c r="R550" s="100"/>
      <c r="S550" s="101">
        <v>0</v>
      </c>
      <c r="T550" s="102">
        <v>0</v>
      </c>
      <c r="U550" s="103">
        <v>0</v>
      </c>
      <c r="V550" s="103">
        <v>0</v>
      </c>
      <c r="W550" s="104">
        <v>0</v>
      </c>
      <c r="X550" s="19"/>
      <c r="Y550" s="103">
        <v>0</v>
      </c>
      <c r="Z550" s="103">
        <v>0</v>
      </c>
      <c r="AA550" s="105">
        <v>0</v>
      </c>
      <c r="AB550" s="106">
        <v>0</v>
      </c>
      <c r="AC550" s="105">
        <v>0</v>
      </c>
      <c r="AD550" s="104">
        <v>0</v>
      </c>
      <c r="AE550" s="104">
        <v>0</v>
      </c>
      <c r="AF550" s="107">
        <v>46265</v>
      </c>
    </row>
    <row r="551" spans="1:32" x14ac:dyDescent="0.25">
      <c r="A551" s="90">
        <v>1014</v>
      </c>
      <c r="B551" s="91" t="s">
        <v>132</v>
      </c>
      <c r="C551" s="29">
        <v>10140001</v>
      </c>
      <c r="D551" s="92" t="s">
        <v>787</v>
      </c>
      <c r="E551" s="93" t="s">
        <v>270</v>
      </c>
      <c r="F551" s="93" t="s">
        <v>230</v>
      </c>
      <c r="G551" s="109">
        <v>556.00000000000011</v>
      </c>
      <c r="H551" s="109">
        <v>18440.07</v>
      </c>
      <c r="I551" s="95">
        <v>0</v>
      </c>
      <c r="J551" s="95">
        <v>6650</v>
      </c>
      <c r="K551" s="95">
        <v>0</v>
      </c>
      <c r="L551" s="95">
        <v>0</v>
      </c>
      <c r="M551" s="96">
        <v>94</v>
      </c>
      <c r="N551" s="97">
        <v>0</v>
      </c>
      <c r="O551" s="98">
        <v>1</v>
      </c>
      <c r="P551" s="33"/>
      <c r="Q551" s="99" t="s">
        <v>1198</v>
      </c>
      <c r="R551" s="100"/>
      <c r="S551" s="101">
        <v>5.0623452080172243E-3</v>
      </c>
      <c r="T551" s="102">
        <v>4</v>
      </c>
      <c r="U551" s="103">
        <v>0</v>
      </c>
      <c r="V551" s="103">
        <v>0</v>
      </c>
      <c r="W551" s="104">
        <v>0</v>
      </c>
      <c r="X551" s="19"/>
      <c r="Y551" s="103">
        <v>0</v>
      </c>
      <c r="Z551" s="103">
        <v>0</v>
      </c>
      <c r="AA551" s="105">
        <v>0</v>
      </c>
      <c r="AB551" s="106">
        <v>0</v>
      </c>
      <c r="AC551" s="105">
        <v>0</v>
      </c>
      <c r="AD551" s="104">
        <v>0</v>
      </c>
      <c r="AE551" s="104">
        <v>0</v>
      </c>
      <c r="AF551" s="107">
        <v>46265</v>
      </c>
    </row>
    <row r="552" spans="1:32" x14ac:dyDescent="0.25">
      <c r="A552" s="90">
        <v>1014</v>
      </c>
      <c r="B552" s="91" t="s">
        <v>132</v>
      </c>
      <c r="C552" s="29">
        <v>10140002</v>
      </c>
      <c r="D552" s="92" t="s">
        <v>788</v>
      </c>
      <c r="E552" s="93" t="s">
        <v>270</v>
      </c>
      <c r="F552" s="93" t="s">
        <v>230</v>
      </c>
      <c r="G552" s="109">
        <v>551</v>
      </c>
      <c r="H552" s="109">
        <v>21008.55</v>
      </c>
      <c r="I552" s="95">
        <v>0</v>
      </c>
      <c r="J552" s="95">
        <v>0</v>
      </c>
      <c r="K552" s="95">
        <v>0</v>
      </c>
      <c r="L552" s="95">
        <v>0</v>
      </c>
      <c r="M552" s="96">
        <v>0</v>
      </c>
      <c r="N552" s="97">
        <v>0</v>
      </c>
      <c r="O552" s="98">
        <v>0</v>
      </c>
      <c r="P552" s="33"/>
      <c r="Q552" s="99" t="s">
        <v>1198</v>
      </c>
      <c r="R552" s="100"/>
      <c r="S552" s="101">
        <v>-0.10318703575449049</v>
      </c>
      <c r="T552" s="102">
        <v>11</v>
      </c>
      <c r="U552" s="103">
        <v>0</v>
      </c>
      <c r="V552" s="103">
        <v>0</v>
      </c>
      <c r="W552" s="104">
        <v>0</v>
      </c>
      <c r="X552" s="19"/>
      <c r="Y552" s="103">
        <v>0</v>
      </c>
      <c r="Z552" s="103">
        <v>0</v>
      </c>
      <c r="AA552" s="105">
        <v>0</v>
      </c>
      <c r="AB552" s="106">
        <v>0</v>
      </c>
      <c r="AC552" s="105">
        <v>0</v>
      </c>
      <c r="AD552" s="104">
        <v>0</v>
      </c>
      <c r="AE552" s="104">
        <v>0</v>
      </c>
      <c r="AF552" s="107">
        <v>46265</v>
      </c>
    </row>
    <row r="553" spans="1:32" x14ac:dyDescent="0.25">
      <c r="A553" s="90">
        <v>1014</v>
      </c>
      <c r="B553" s="91" t="s">
        <v>132</v>
      </c>
      <c r="C553" s="29">
        <v>10140003</v>
      </c>
      <c r="D553" s="92" t="s">
        <v>789</v>
      </c>
      <c r="E553" s="93" t="s">
        <v>270</v>
      </c>
      <c r="F553" s="93" t="s">
        <v>230</v>
      </c>
      <c r="G553" s="109">
        <v>856.2</v>
      </c>
      <c r="H553" s="109">
        <v>36414.060000000005</v>
      </c>
      <c r="I553" s="95">
        <v>0</v>
      </c>
      <c r="J553" s="95">
        <v>0</v>
      </c>
      <c r="K553" s="95">
        <v>0</v>
      </c>
      <c r="L553" s="95">
        <v>0</v>
      </c>
      <c r="M553" s="96">
        <v>0</v>
      </c>
      <c r="N553" s="97">
        <v>0</v>
      </c>
      <c r="O553" s="98">
        <v>0</v>
      </c>
      <c r="P553" s="33"/>
      <c r="Q553" s="99" t="s">
        <v>1198</v>
      </c>
      <c r="R553" s="100"/>
      <c r="S553" s="101">
        <v>-2.515154860512657E-2</v>
      </c>
      <c r="T553" s="102">
        <v>23</v>
      </c>
      <c r="U553" s="103">
        <v>0</v>
      </c>
      <c r="V553" s="103">
        <v>0</v>
      </c>
      <c r="W553" s="104">
        <v>0</v>
      </c>
      <c r="X553" s="19"/>
      <c r="Y553" s="103">
        <v>0</v>
      </c>
      <c r="Z553" s="103">
        <v>0</v>
      </c>
      <c r="AA553" s="105">
        <v>0</v>
      </c>
      <c r="AB553" s="106">
        <v>0</v>
      </c>
      <c r="AC553" s="105">
        <v>0</v>
      </c>
      <c r="AD553" s="104">
        <v>0</v>
      </c>
      <c r="AE553" s="104">
        <v>0</v>
      </c>
      <c r="AF553" s="107">
        <v>46265</v>
      </c>
    </row>
    <row r="554" spans="1:32" x14ac:dyDescent="0.25">
      <c r="A554" s="90">
        <v>1014</v>
      </c>
      <c r="B554" s="91" t="s">
        <v>132</v>
      </c>
      <c r="C554" s="29">
        <v>10140007</v>
      </c>
      <c r="D554" s="92" t="s">
        <v>790</v>
      </c>
      <c r="E554" s="93" t="s">
        <v>270</v>
      </c>
      <c r="F554" s="93" t="s">
        <v>230</v>
      </c>
      <c r="G554" s="109">
        <v>681.1</v>
      </c>
      <c r="H554" s="109">
        <v>25990.049999999996</v>
      </c>
      <c r="I554" s="95">
        <v>0</v>
      </c>
      <c r="J554" s="95">
        <v>3250</v>
      </c>
      <c r="K554" s="95">
        <v>0</v>
      </c>
      <c r="L554" s="95">
        <v>0</v>
      </c>
      <c r="M554" s="96">
        <v>1</v>
      </c>
      <c r="N554" s="97" t="s">
        <v>331</v>
      </c>
      <c r="O554" s="98">
        <v>1</v>
      </c>
      <c r="P554" s="33" t="s">
        <v>332</v>
      </c>
      <c r="Q554" s="99" t="s">
        <v>1198</v>
      </c>
      <c r="R554" s="100"/>
      <c r="S554" s="101">
        <v>-3.2004170826912925E-2</v>
      </c>
      <c r="T554" s="102">
        <v>15</v>
      </c>
      <c r="U554" s="103">
        <v>6650</v>
      </c>
      <c r="V554" s="103">
        <v>3250</v>
      </c>
      <c r="W554" s="104">
        <v>3400</v>
      </c>
      <c r="X554" s="19"/>
      <c r="Y554" s="103">
        <v>0</v>
      </c>
      <c r="Z554" s="103">
        <v>0</v>
      </c>
      <c r="AA554" s="105">
        <v>0</v>
      </c>
      <c r="AB554" s="106">
        <v>0</v>
      </c>
      <c r="AC554" s="105">
        <v>0</v>
      </c>
      <c r="AD554" s="104">
        <v>0</v>
      </c>
      <c r="AE554" s="104">
        <v>0</v>
      </c>
      <c r="AF554" s="107">
        <v>46265</v>
      </c>
    </row>
    <row r="555" spans="1:32" x14ac:dyDescent="0.25">
      <c r="A555" s="90">
        <v>1014</v>
      </c>
      <c r="B555" s="91" t="s">
        <v>132</v>
      </c>
      <c r="C555" s="29">
        <v>10140008</v>
      </c>
      <c r="D555" s="92" t="s">
        <v>791</v>
      </c>
      <c r="E555" s="93" t="s">
        <v>270</v>
      </c>
      <c r="F555" s="93" t="s">
        <v>230</v>
      </c>
      <c r="G555" s="109">
        <v>374.49999999999994</v>
      </c>
      <c r="H555" s="109">
        <v>14935.76</v>
      </c>
      <c r="I555" s="95">
        <v>0</v>
      </c>
      <c r="J555" s="95">
        <v>0</v>
      </c>
      <c r="K555" s="95">
        <v>0</v>
      </c>
      <c r="L555" s="95">
        <v>0</v>
      </c>
      <c r="M555" s="96">
        <v>0</v>
      </c>
      <c r="N555" s="97">
        <v>0</v>
      </c>
      <c r="O555" s="98">
        <v>0</v>
      </c>
      <c r="P555" s="33"/>
      <c r="Q555" s="99" t="s">
        <v>1198</v>
      </c>
      <c r="R555" s="100"/>
      <c r="S555" s="101">
        <v>1.5399283330471663E-5</v>
      </c>
      <c r="T555" s="102">
        <v>11</v>
      </c>
      <c r="U555" s="103">
        <v>0</v>
      </c>
      <c r="V555" s="103">
        <v>0</v>
      </c>
      <c r="W555" s="104">
        <v>0</v>
      </c>
      <c r="X555" s="19"/>
      <c r="Y555" s="103">
        <v>0</v>
      </c>
      <c r="Z555" s="103">
        <v>0</v>
      </c>
      <c r="AA555" s="105">
        <v>0</v>
      </c>
      <c r="AB555" s="106">
        <v>0</v>
      </c>
      <c r="AC555" s="105">
        <v>0</v>
      </c>
      <c r="AD555" s="104">
        <v>0</v>
      </c>
      <c r="AE555" s="104">
        <v>0</v>
      </c>
      <c r="AF555" s="107">
        <v>46265</v>
      </c>
    </row>
    <row r="556" spans="1:32" x14ac:dyDescent="0.25">
      <c r="A556" s="90">
        <v>1014</v>
      </c>
      <c r="B556" s="91" t="s">
        <v>132</v>
      </c>
      <c r="C556" s="29">
        <v>10140009</v>
      </c>
      <c r="D556" s="92" t="s">
        <v>792</v>
      </c>
      <c r="E556" s="93" t="s">
        <v>270</v>
      </c>
      <c r="F556" s="93" t="s">
        <v>230</v>
      </c>
      <c r="G556" s="109">
        <v>925.80000000000007</v>
      </c>
      <c r="H556" s="109">
        <v>41111.099999999991</v>
      </c>
      <c r="I556" s="95">
        <v>0</v>
      </c>
      <c r="J556" s="95">
        <v>0</v>
      </c>
      <c r="K556" s="95">
        <v>0</v>
      </c>
      <c r="L556" s="95">
        <v>0</v>
      </c>
      <c r="M556" s="96">
        <v>0</v>
      </c>
      <c r="N556" s="97">
        <v>0</v>
      </c>
      <c r="O556" s="98">
        <v>0</v>
      </c>
      <c r="P556" s="33"/>
      <c r="Q556" s="99" t="s">
        <v>1198</v>
      </c>
      <c r="R556" s="100"/>
      <c r="S556" s="101">
        <v>-0.10773100208946028</v>
      </c>
      <c r="T556" s="102">
        <v>5</v>
      </c>
      <c r="U556" s="103">
        <v>0</v>
      </c>
      <c r="V556" s="103">
        <v>0</v>
      </c>
      <c r="W556" s="104">
        <v>0</v>
      </c>
      <c r="X556" s="19"/>
      <c r="Y556" s="103">
        <v>0</v>
      </c>
      <c r="Z556" s="103">
        <v>0</v>
      </c>
      <c r="AA556" s="105">
        <v>0</v>
      </c>
      <c r="AB556" s="106">
        <v>0</v>
      </c>
      <c r="AC556" s="105">
        <v>0</v>
      </c>
      <c r="AD556" s="104">
        <v>0</v>
      </c>
      <c r="AE556" s="104">
        <v>0</v>
      </c>
      <c r="AF556" s="107">
        <v>46265</v>
      </c>
    </row>
    <row r="557" spans="1:32" x14ac:dyDescent="0.25">
      <c r="A557" s="90">
        <v>1014</v>
      </c>
      <c r="B557" s="91" t="s">
        <v>132</v>
      </c>
      <c r="C557" s="29">
        <v>10140011</v>
      </c>
      <c r="D557" s="92" t="s">
        <v>793</v>
      </c>
      <c r="E557" s="93" t="s">
        <v>270</v>
      </c>
      <c r="F557" s="93" t="s">
        <v>230</v>
      </c>
      <c r="G557" s="109">
        <v>206.5</v>
      </c>
      <c r="H557" s="109">
        <v>5805.4599999999991</v>
      </c>
      <c r="I557" s="95">
        <v>0</v>
      </c>
      <c r="J557" s="95">
        <v>3990</v>
      </c>
      <c r="K557" s="95">
        <v>0</v>
      </c>
      <c r="L557" s="95">
        <v>0</v>
      </c>
      <c r="M557" s="96">
        <v>33</v>
      </c>
      <c r="N557" s="97">
        <v>0</v>
      </c>
      <c r="O557" s="98">
        <v>0</v>
      </c>
      <c r="P557" s="33"/>
      <c r="Q557" s="99" t="s">
        <v>1198</v>
      </c>
      <c r="R557" s="100"/>
      <c r="S557" s="101">
        <v>5.7635398400814287E-3</v>
      </c>
      <c r="T557" s="102">
        <v>1</v>
      </c>
      <c r="U557" s="103">
        <v>0</v>
      </c>
      <c r="V557" s="103">
        <v>0</v>
      </c>
      <c r="W557" s="104">
        <v>0</v>
      </c>
      <c r="X557" s="19"/>
      <c r="Y557" s="103">
        <v>0</v>
      </c>
      <c r="Z557" s="103">
        <v>0</v>
      </c>
      <c r="AA557" s="105">
        <v>0</v>
      </c>
      <c r="AB557" s="106">
        <v>0</v>
      </c>
      <c r="AC557" s="105">
        <v>0</v>
      </c>
      <c r="AD557" s="104">
        <v>0</v>
      </c>
      <c r="AE557" s="104">
        <v>0</v>
      </c>
      <c r="AF557" s="107">
        <v>46265</v>
      </c>
    </row>
    <row r="558" spans="1:32" x14ac:dyDescent="0.25">
      <c r="A558" s="90">
        <v>1014</v>
      </c>
      <c r="B558" s="91" t="s">
        <v>132</v>
      </c>
      <c r="C558" s="29">
        <v>10140012</v>
      </c>
      <c r="D558" s="92" t="s">
        <v>794</v>
      </c>
      <c r="E558" s="93" t="s">
        <v>270</v>
      </c>
      <c r="F558" s="93" t="s">
        <v>230</v>
      </c>
      <c r="G558" s="109">
        <v>1222.8</v>
      </c>
      <c r="H558" s="109">
        <v>62318.68</v>
      </c>
      <c r="I558" s="95">
        <v>0</v>
      </c>
      <c r="J558" s="95">
        <v>0</v>
      </c>
      <c r="K558" s="95">
        <v>0</v>
      </c>
      <c r="L558" s="95">
        <v>0</v>
      </c>
      <c r="M558" s="96">
        <v>0</v>
      </c>
      <c r="N558" s="97">
        <v>0</v>
      </c>
      <c r="O558" s="98">
        <v>0</v>
      </c>
      <c r="P558" s="33"/>
      <c r="Q558" s="99" t="s">
        <v>1198</v>
      </c>
      <c r="R558" s="100"/>
      <c r="S558" s="101">
        <v>-3.0421055131464435E-3</v>
      </c>
      <c r="T558" s="102">
        <v>21</v>
      </c>
      <c r="U558" s="103">
        <v>0</v>
      </c>
      <c r="V558" s="103">
        <v>0</v>
      </c>
      <c r="W558" s="104">
        <v>0</v>
      </c>
      <c r="X558" s="117"/>
      <c r="Y558" s="103">
        <v>0</v>
      </c>
      <c r="Z558" s="103">
        <v>0</v>
      </c>
      <c r="AA558" s="105">
        <v>0</v>
      </c>
      <c r="AB558" s="106">
        <v>0</v>
      </c>
      <c r="AC558" s="105">
        <v>0</v>
      </c>
      <c r="AD558" s="104">
        <v>0</v>
      </c>
      <c r="AE558" s="104">
        <v>0</v>
      </c>
      <c r="AF558" s="107">
        <v>46265</v>
      </c>
    </row>
    <row r="559" spans="1:32" x14ac:dyDescent="0.25">
      <c r="A559" s="90">
        <v>1014</v>
      </c>
      <c r="B559" s="91" t="s">
        <v>132</v>
      </c>
      <c r="C559" s="29">
        <v>10140013</v>
      </c>
      <c r="D559" s="92" t="s">
        <v>795</v>
      </c>
      <c r="E559" s="93" t="s">
        <v>270</v>
      </c>
      <c r="F559" s="93" t="s">
        <v>230</v>
      </c>
      <c r="G559" s="109">
        <v>1442.5</v>
      </c>
      <c r="H559" s="109">
        <v>60087.799999999996</v>
      </c>
      <c r="I559" s="95">
        <v>0</v>
      </c>
      <c r="J559" s="95">
        <v>0</v>
      </c>
      <c r="K559" s="95">
        <v>0</v>
      </c>
      <c r="L559" s="95">
        <v>0</v>
      </c>
      <c r="M559" s="96">
        <v>51</v>
      </c>
      <c r="N559" s="97">
        <v>0</v>
      </c>
      <c r="O559" s="98">
        <v>0</v>
      </c>
      <c r="P559" s="33"/>
      <c r="Q559" s="99" t="s">
        <v>1198</v>
      </c>
      <c r="R559" s="100"/>
      <c r="S559" s="101">
        <v>8.6506745129608098E-4</v>
      </c>
      <c r="T559" s="102">
        <v>4</v>
      </c>
      <c r="U559" s="103">
        <v>0</v>
      </c>
      <c r="V559" s="103">
        <v>0</v>
      </c>
      <c r="W559" s="104">
        <v>0</v>
      </c>
      <c r="X559" s="19"/>
      <c r="Y559" s="103">
        <v>0</v>
      </c>
      <c r="Z559" s="103">
        <v>0</v>
      </c>
      <c r="AA559" s="105">
        <v>0</v>
      </c>
      <c r="AB559" s="106">
        <v>0</v>
      </c>
      <c r="AC559" s="105">
        <v>0</v>
      </c>
      <c r="AD559" s="104">
        <v>0</v>
      </c>
      <c r="AE559" s="104">
        <v>0</v>
      </c>
      <c r="AF559" s="107">
        <v>46265</v>
      </c>
    </row>
    <row r="560" spans="1:32" x14ac:dyDescent="0.25">
      <c r="A560" s="90">
        <v>1014</v>
      </c>
      <c r="B560" s="91" t="s">
        <v>132</v>
      </c>
      <c r="C560" s="29">
        <v>10140018</v>
      </c>
      <c r="D560" s="92" t="s">
        <v>796</v>
      </c>
      <c r="E560" s="93" t="s">
        <v>270</v>
      </c>
      <c r="F560" s="93" t="s">
        <v>230</v>
      </c>
      <c r="G560" s="109">
        <v>225.79999999999998</v>
      </c>
      <c r="H560" s="109">
        <v>14098.380000000001</v>
      </c>
      <c r="I560" s="95">
        <v>0</v>
      </c>
      <c r="J560" s="95">
        <v>0</v>
      </c>
      <c r="K560" s="95">
        <v>0</v>
      </c>
      <c r="L560" s="95">
        <v>0</v>
      </c>
      <c r="M560" s="96">
        <v>8</v>
      </c>
      <c r="N560" s="97">
        <v>0</v>
      </c>
      <c r="O560" s="98">
        <v>0</v>
      </c>
      <c r="P560" s="33"/>
      <c r="Q560" s="99" t="s">
        <v>1198</v>
      </c>
      <c r="R560" s="100"/>
      <c r="S560" s="101">
        <v>6.0219684814862419E-4</v>
      </c>
      <c r="T560" s="102">
        <v>2</v>
      </c>
      <c r="U560" s="103">
        <v>0</v>
      </c>
      <c r="V560" s="103">
        <v>0</v>
      </c>
      <c r="W560" s="104">
        <v>0</v>
      </c>
      <c r="X560" s="19"/>
      <c r="Y560" s="103">
        <v>0</v>
      </c>
      <c r="Z560" s="103">
        <v>0</v>
      </c>
      <c r="AA560" s="105">
        <v>0</v>
      </c>
      <c r="AB560" s="106">
        <v>0</v>
      </c>
      <c r="AC560" s="105">
        <v>0</v>
      </c>
      <c r="AD560" s="104">
        <v>0</v>
      </c>
      <c r="AE560" s="104">
        <v>0</v>
      </c>
      <c r="AF560" s="107">
        <v>46265</v>
      </c>
    </row>
    <row r="561" spans="1:32" x14ac:dyDescent="0.25">
      <c r="A561" s="90">
        <v>1014</v>
      </c>
      <c r="B561" s="91" t="s">
        <v>132</v>
      </c>
      <c r="C561" s="29">
        <v>10140022</v>
      </c>
      <c r="D561" s="92" t="s">
        <v>797</v>
      </c>
      <c r="E561" s="93" t="s">
        <v>270</v>
      </c>
      <c r="F561" s="93" t="s">
        <v>230</v>
      </c>
      <c r="G561" s="109">
        <v>442.5</v>
      </c>
      <c r="H561" s="109">
        <v>16861.899999999998</v>
      </c>
      <c r="I561" s="95">
        <v>0</v>
      </c>
      <c r="J561" s="95">
        <v>0</v>
      </c>
      <c r="K561" s="95">
        <v>0</v>
      </c>
      <c r="L561" s="95">
        <v>0</v>
      </c>
      <c r="M561" s="96">
        <v>0</v>
      </c>
      <c r="N561" s="97">
        <v>0</v>
      </c>
      <c r="O561" s="98">
        <v>0</v>
      </c>
      <c r="P561" s="33"/>
      <c r="Q561" s="99" t="s">
        <v>1198</v>
      </c>
      <c r="R561" s="100"/>
      <c r="S561" s="101">
        <v>-2.0659000468511983E-2</v>
      </c>
      <c r="T561" s="102">
        <v>4</v>
      </c>
      <c r="U561" s="103">
        <v>0</v>
      </c>
      <c r="V561" s="103">
        <v>0</v>
      </c>
      <c r="W561" s="104">
        <v>0</v>
      </c>
      <c r="X561" s="19"/>
      <c r="Y561" s="103">
        <v>0</v>
      </c>
      <c r="Z561" s="103">
        <v>0</v>
      </c>
      <c r="AA561" s="105">
        <v>0</v>
      </c>
      <c r="AB561" s="106">
        <v>0</v>
      </c>
      <c r="AC561" s="105">
        <v>0</v>
      </c>
      <c r="AD561" s="104">
        <v>0</v>
      </c>
      <c r="AE561" s="104">
        <v>0</v>
      </c>
      <c r="AF561" s="107">
        <v>46265</v>
      </c>
    </row>
    <row r="562" spans="1:32" x14ac:dyDescent="0.25">
      <c r="A562" s="90">
        <v>1014</v>
      </c>
      <c r="B562" s="91" t="s">
        <v>132</v>
      </c>
      <c r="C562" s="29">
        <v>10140032</v>
      </c>
      <c r="D562" s="92" t="s">
        <v>798</v>
      </c>
      <c r="E562" s="93" t="s">
        <v>270</v>
      </c>
      <c r="F562" s="93" t="s">
        <v>230</v>
      </c>
      <c r="G562" s="109">
        <v>55</v>
      </c>
      <c r="H562" s="109">
        <v>1633.8</v>
      </c>
      <c r="I562" s="95">
        <v>0</v>
      </c>
      <c r="J562" s="95">
        <v>0</v>
      </c>
      <c r="K562" s="95">
        <v>500</v>
      </c>
      <c r="L562" s="95">
        <v>0</v>
      </c>
      <c r="M562" s="96">
        <v>4</v>
      </c>
      <c r="N562" s="97">
        <v>0</v>
      </c>
      <c r="O562" s="98">
        <v>0</v>
      </c>
      <c r="P562" s="33"/>
      <c r="Q562" s="99" t="s">
        <v>1198</v>
      </c>
      <c r="R562" s="100"/>
      <c r="S562" s="101">
        <v>2.1544864732523897E-3</v>
      </c>
      <c r="T562" s="102">
        <v>2</v>
      </c>
      <c r="U562" s="103">
        <v>0</v>
      </c>
      <c r="V562" s="103">
        <v>0</v>
      </c>
      <c r="W562" s="104">
        <v>0</v>
      </c>
      <c r="X562" s="19"/>
      <c r="Y562" s="103">
        <v>500</v>
      </c>
      <c r="Z562" s="103">
        <v>0</v>
      </c>
      <c r="AA562" s="105">
        <v>0</v>
      </c>
      <c r="AB562" s="106">
        <v>500</v>
      </c>
      <c r="AC562" s="105">
        <v>500</v>
      </c>
      <c r="AD562" s="104">
        <v>0</v>
      </c>
      <c r="AE562" s="104">
        <v>0</v>
      </c>
      <c r="AF562" s="107">
        <v>46265</v>
      </c>
    </row>
    <row r="563" spans="1:32" x14ac:dyDescent="0.25">
      <c r="A563" s="90">
        <v>1014</v>
      </c>
      <c r="B563" s="91" t="s">
        <v>132</v>
      </c>
      <c r="C563" s="29">
        <v>10140033</v>
      </c>
      <c r="D563" s="92" t="s">
        <v>799</v>
      </c>
      <c r="E563" s="93" t="s">
        <v>270</v>
      </c>
      <c r="F563" s="93" t="s">
        <v>230</v>
      </c>
      <c r="G563" s="109">
        <v>31.4</v>
      </c>
      <c r="H563" s="109">
        <v>1028.6300000000001</v>
      </c>
      <c r="I563" s="95">
        <v>0</v>
      </c>
      <c r="J563" s="95">
        <v>0</v>
      </c>
      <c r="K563" s="95">
        <v>0</v>
      </c>
      <c r="L563" s="95">
        <v>0</v>
      </c>
      <c r="M563" s="96">
        <v>7</v>
      </c>
      <c r="N563" s="97">
        <v>0</v>
      </c>
      <c r="O563" s="98">
        <v>0</v>
      </c>
      <c r="P563" s="33"/>
      <c r="Q563" s="99" t="s">
        <v>1198</v>
      </c>
      <c r="R563" s="100"/>
      <c r="S563" s="101">
        <v>6.6885080155158882E-3</v>
      </c>
      <c r="T563" s="102">
        <v>1</v>
      </c>
      <c r="U563" s="103">
        <v>0</v>
      </c>
      <c r="V563" s="103">
        <v>0</v>
      </c>
      <c r="W563" s="104">
        <v>0</v>
      </c>
      <c r="X563" s="19"/>
      <c r="Y563" s="103">
        <v>0</v>
      </c>
      <c r="Z563" s="103">
        <v>0</v>
      </c>
      <c r="AA563" s="105">
        <v>0</v>
      </c>
      <c r="AB563" s="106">
        <v>0</v>
      </c>
      <c r="AC563" s="105">
        <v>0</v>
      </c>
      <c r="AD563" s="104">
        <v>0</v>
      </c>
      <c r="AE563" s="104">
        <v>0</v>
      </c>
      <c r="AF563" s="107">
        <v>46265</v>
      </c>
    </row>
    <row r="564" spans="1:32" x14ac:dyDescent="0.25">
      <c r="A564" s="90">
        <v>1014</v>
      </c>
      <c r="B564" s="91" t="s">
        <v>132</v>
      </c>
      <c r="C564" s="29">
        <v>10140034</v>
      </c>
      <c r="D564" s="92" t="s">
        <v>800</v>
      </c>
      <c r="E564" s="93" t="s">
        <v>270</v>
      </c>
      <c r="F564" s="93" t="s">
        <v>230</v>
      </c>
      <c r="G564" s="109">
        <v>515.20000000000005</v>
      </c>
      <c r="H564" s="109">
        <v>18503.330000000002</v>
      </c>
      <c r="I564" s="95">
        <v>0</v>
      </c>
      <c r="J564" s="95">
        <v>0</v>
      </c>
      <c r="K564" s="95">
        <v>0</v>
      </c>
      <c r="L564" s="95">
        <v>0</v>
      </c>
      <c r="M564" s="96">
        <v>0</v>
      </c>
      <c r="N564" s="97" t="s">
        <v>331</v>
      </c>
      <c r="O564" s="98">
        <v>0</v>
      </c>
      <c r="P564" s="33" t="s">
        <v>332</v>
      </c>
      <c r="Q564" s="99" t="s">
        <v>1198</v>
      </c>
      <c r="R564" s="100"/>
      <c r="S564" s="101">
        <v>-0.13932302996271492</v>
      </c>
      <c r="T564" s="102">
        <v>4</v>
      </c>
      <c r="U564" s="103">
        <v>1330</v>
      </c>
      <c r="V564" s="103">
        <v>0</v>
      </c>
      <c r="W564" s="104">
        <v>1330</v>
      </c>
      <c r="X564" s="19"/>
      <c r="Y564" s="103">
        <v>0</v>
      </c>
      <c r="Z564" s="103">
        <v>0</v>
      </c>
      <c r="AA564" s="105">
        <v>0</v>
      </c>
      <c r="AB564" s="106">
        <v>0</v>
      </c>
      <c r="AC564" s="105">
        <v>0</v>
      </c>
      <c r="AD564" s="104">
        <v>0</v>
      </c>
      <c r="AE564" s="104">
        <v>0</v>
      </c>
      <c r="AF564" s="107">
        <v>46265</v>
      </c>
    </row>
    <row r="565" spans="1:32" x14ac:dyDescent="0.25">
      <c r="A565" s="90">
        <v>1014</v>
      </c>
      <c r="B565" s="91" t="s">
        <v>132</v>
      </c>
      <c r="C565" s="29">
        <v>10140039</v>
      </c>
      <c r="D565" s="92" t="s">
        <v>801</v>
      </c>
      <c r="E565" s="93" t="s">
        <v>270</v>
      </c>
      <c r="F565" s="93" t="s">
        <v>230</v>
      </c>
      <c r="G565" s="109">
        <v>169</v>
      </c>
      <c r="H565" s="109">
        <v>6555.01</v>
      </c>
      <c r="I565" s="95">
        <v>0</v>
      </c>
      <c r="J565" s="95">
        <v>0</v>
      </c>
      <c r="K565" s="95">
        <v>0</v>
      </c>
      <c r="L565" s="95">
        <v>0</v>
      </c>
      <c r="M565" s="96">
        <v>-183</v>
      </c>
      <c r="N565" s="97" t="s">
        <v>331</v>
      </c>
      <c r="O565" s="98">
        <v>-183</v>
      </c>
      <c r="P565" s="33" t="s">
        <v>802</v>
      </c>
      <c r="Q565" s="99" t="s">
        <v>1198</v>
      </c>
      <c r="R565" s="100"/>
      <c r="S565" s="101">
        <v>-2.7737562566647452E-2</v>
      </c>
      <c r="T565" s="102">
        <v>9</v>
      </c>
      <c r="U565" s="103">
        <v>0</v>
      </c>
      <c r="V565" s="103">
        <v>0</v>
      </c>
      <c r="W565" s="104">
        <v>0</v>
      </c>
      <c r="X565" s="19"/>
      <c r="Y565" s="103">
        <v>0</v>
      </c>
      <c r="Z565" s="103">
        <v>0</v>
      </c>
      <c r="AA565" s="105">
        <v>0</v>
      </c>
      <c r="AB565" s="106">
        <v>0</v>
      </c>
      <c r="AC565" s="105">
        <v>0</v>
      </c>
      <c r="AD565" s="104">
        <v>0</v>
      </c>
      <c r="AE565" s="104">
        <v>-183</v>
      </c>
      <c r="AF565" s="107">
        <v>46265</v>
      </c>
    </row>
    <row r="566" spans="1:32" x14ac:dyDescent="0.25">
      <c r="A566" s="90">
        <v>1014</v>
      </c>
      <c r="B566" s="91" t="s">
        <v>132</v>
      </c>
      <c r="C566" s="29">
        <v>10140041</v>
      </c>
      <c r="D566" s="92" t="s">
        <v>803</v>
      </c>
      <c r="E566" s="93" t="s">
        <v>270</v>
      </c>
      <c r="F566" s="93" t="s">
        <v>230</v>
      </c>
      <c r="G566" s="109">
        <v>342.7</v>
      </c>
      <c r="H566" s="109">
        <v>12803.26</v>
      </c>
      <c r="I566" s="95">
        <v>0</v>
      </c>
      <c r="J566" s="95">
        <v>0</v>
      </c>
      <c r="K566" s="95">
        <v>500</v>
      </c>
      <c r="L566" s="95">
        <v>0</v>
      </c>
      <c r="M566" s="96">
        <v>16</v>
      </c>
      <c r="N566" s="97">
        <v>0</v>
      </c>
      <c r="O566" s="98">
        <v>0</v>
      </c>
      <c r="P566" s="33"/>
      <c r="Q566" s="99" t="s">
        <v>1198</v>
      </c>
      <c r="R566" s="100"/>
      <c r="S566" s="101">
        <v>1.2668648453596464E-3</v>
      </c>
      <c r="T566" s="102">
        <v>1</v>
      </c>
      <c r="U566" s="103">
        <v>0</v>
      </c>
      <c r="V566" s="103">
        <v>0</v>
      </c>
      <c r="W566" s="104">
        <v>0</v>
      </c>
      <c r="X566" s="19"/>
      <c r="Y566" s="103">
        <v>500</v>
      </c>
      <c r="Z566" s="103">
        <v>0</v>
      </c>
      <c r="AA566" s="105">
        <v>0</v>
      </c>
      <c r="AB566" s="106">
        <v>500</v>
      </c>
      <c r="AC566" s="105">
        <v>500</v>
      </c>
      <c r="AD566" s="104">
        <v>0</v>
      </c>
      <c r="AE566" s="104">
        <v>0</v>
      </c>
      <c r="AF566" s="107">
        <v>46265</v>
      </c>
    </row>
    <row r="567" spans="1:32" x14ac:dyDescent="0.25">
      <c r="A567" s="90">
        <v>1014</v>
      </c>
      <c r="B567" s="91" t="s">
        <v>132</v>
      </c>
      <c r="C567" s="29">
        <v>10140043</v>
      </c>
      <c r="D567" s="92" t="s">
        <v>804</v>
      </c>
      <c r="E567" s="93" t="s">
        <v>270</v>
      </c>
      <c r="F567" s="93" t="s">
        <v>230</v>
      </c>
      <c r="G567" s="109">
        <v>120</v>
      </c>
      <c r="H567" s="109">
        <v>5437.55</v>
      </c>
      <c r="I567" s="95">
        <v>0</v>
      </c>
      <c r="J567" s="95">
        <v>0</v>
      </c>
      <c r="K567" s="95">
        <v>500</v>
      </c>
      <c r="L567" s="95">
        <v>0</v>
      </c>
      <c r="M567" s="96">
        <v>7</v>
      </c>
      <c r="N567" s="97">
        <v>0</v>
      </c>
      <c r="O567" s="98">
        <v>0</v>
      </c>
      <c r="P567" s="33"/>
      <c r="Q567" s="99" t="s">
        <v>1198</v>
      </c>
      <c r="R567" s="100"/>
      <c r="S567" s="101">
        <v>1.1530928451233436E-3</v>
      </c>
      <c r="T567" s="102">
        <v>2</v>
      </c>
      <c r="U567" s="103">
        <v>0</v>
      </c>
      <c r="V567" s="103">
        <v>0</v>
      </c>
      <c r="W567" s="104">
        <v>0</v>
      </c>
      <c r="X567" s="19"/>
      <c r="Y567" s="103">
        <v>500</v>
      </c>
      <c r="Z567" s="103">
        <v>0</v>
      </c>
      <c r="AA567" s="105">
        <v>0</v>
      </c>
      <c r="AB567" s="106">
        <v>500</v>
      </c>
      <c r="AC567" s="105">
        <v>500</v>
      </c>
      <c r="AD567" s="104">
        <v>0</v>
      </c>
      <c r="AE567" s="104">
        <v>0</v>
      </c>
      <c r="AF567" s="107">
        <v>46265</v>
      </c>
    </row>
    <row r="568" spans="1:32" x14ac:dyDescent="0.25">
      <c r="A568" s="90">
        <v>1014</v>
      </c>
      <c r="B568" s="91" t="s">
        <v>132</v>
      </c>
      <c r="C568" s="29">
        <v>10140045</v>
      </c>
      <c r="D568" s="92" t="s">
        <v>805</v>
      </c>
      <c r="E568" s="93" t="s">
        <v>270</v>
      </c>
      <c r="F568" s="93" t="s">
        <v>230</v>
      </c>
      <c r="G568" s="109">
        <v>126.4</v>
      </c>
      <c r="H568" s="109">
        <v>5038.7000000000007</v>
      </c>
      <c r="I568" s="95">
        <v>0</v>
      </c>
      <c r="J568" s="95">
        <v>0</v>
      </c>
      <c r="K568" s="95">
        <v>0</v>
      </c>
      <c r="L568" s="95">
        <v>0</v>
      </c>
      <c r="M568" s="96">
        <v>13</v>
      </c>
      <c r="N568" s="97">
        <v>0</v>
      </c>
      <c r="O568" s="98">
        <v>0</v>
      </c>
      <c r="P568" s="33"/>
      <c r="Q568" s="99" t="s">
        <v>1198</v>
      </c>
      <c r="R568" s="100"/>
      <c r="S568" s="101">
        <v>2.4927064520611267E-3</v>
      </c>
      <c r="T568" s="102">
        <v>2</v>
      </c>
      <c r="U568" s="103">
        <v>0</v>
      </c>
      <c r="V568" s="103">
        <v>0</v>
      </c>
      <c r="W568" s="104">
        <v>0</v>
      </c>
      <c r="X568" s="19"/>
      <c r="Y568" s="103">
        <v>0</v>
      </c>
      <c r="Z568" s="103">
        <v>0</v>
      </c>
      <c r="AA568" s="105">
        <v>0</v>
      </c>
      <c r="AB568" s="106">
        <v>0</v>
      </c>
      <c r="AC568" s="105">
        <v>0</v>
      </c>
      <c r="AD568" s="104">
        <v>0</v>
      </c>
      <c r="AE568" s="104">
        <v>0</v>
      </c>
      <c r="AF568" s="107">
        <v>46265</v>
      </c>
    </row>
    <row r="569" spans="1:32" x14ac:dyDescent="0.25">
      <c r="A569" s="90">
        <v>1014</v>
      </c>
      <c r="B569" s="91" t="s">
        <v>132</v>
      </c>
      <c r="C569" s="29">
        <v>10140047</v>
      </c>
      <c r="D569" s="92" t="s">
        <v>806</v>
      </c>
      <c r="E569" s="93" t="s">
        <v>270</v>
      </c>
      <c r="F569" s="93" t="s">
        <v>230</v>
      </c>
      <c r="G569" s="109">
        <v>293.10000000000002</v>
      </c>
      <c r="H569" s="109">
        <v>11236.61</v>
      </c>
      <c r="I569" s="95">
        <v>0</v>
      </c>
      <c r="J569" s="95">
        <v>0</v>
      </c>
      <c r="K569" s="95">
        <v>0</v>
      </c>
      <c r="L569" s="95">
        <v>0</v>
      </c>
      <c r="M569" s="96">
        <v>0</v>
      </c>
      <c r="N569" s="97">
        <v>0</v>
      </c>
      <c r="O569" s="98">
        <v>0</v>
      </c>
      <c r="P569" s="33"/>
      <c r="Q569" s="99" t="s">
        <v>1198</v>
      </c>
      <c r="R569" s="100"/>
      <c r="S569" s="101">
        <v>-0.15553801368918183</v>
      </c>
      <c r="T569" s="102">
        <v>5</v>
      </c>
      <c r="U569" s="103">
        <v>0</v>
      </c>
      <c r="V569" s="103">
        <v>0</v>
      </c>
      <c r="W569" s="104">
        <v>0</v>
      </c>
      <c r="X569" s="117"/>
      <c r="Y569" s="103">
        <v>0</v>
      </c>
      <c r="Z569" s="103">
        <v>0</v>
      </c>
      <c r="AA569" s="105">
        <v>0</v>
      </c>
      <c r="AB569" s="106">
        <v>0</v>
      </c>
      <c r="AC569" s="105">
        <v>0</v>
      </c>
      <c r="AD569" s="104">
        <v>0</v>
      </c>
      <c r="AE569" s="104">
        <v>0</v>
      </c>
      <c r="AF569" s="107">
        <v>46265</v>
      </c>
    </row>
    <row r="570" spans="1:32" x14ac:dyDescent="0.25">
      <c r="A570" s="90">
        <v>1014</v>
      </c>
      <c r="B570" s="91" t="s">
        <v>132</v>
      </c>
      <c r="C570" s="29">
        <v>10140048</v>
      </c>
      <c r="D570" s="92" t="s">
        <v>807</v>
      </c>
      <c r="E570" s="93" t="s">
        <v>270</v>
      </c>
      <c r="F570" s="93" t="s">
        <v>230</v>
      </c>
      <c r="G570" s="109">
        <v>115.9</v>
      </c>
      <c r="H570" s="109">
        <v>4928.3500000000004</v>
      </c>
      <c r="I570" s="95">
        <v>0</v>
      </c>
      <c r="J570" s="95">
        <v>0</v>
      </c>
      <c r="K570" s="95">
        <v>0</v>
      </c>
      <c r="L570" s="95">
        <v>0</v>
      </c>
      <c r="M570" s="96">
        <v>1</v>
      </c>
      <c r="N570" s="97">
        <v>0</v>
      </c>
      <c r="O570" s="98">
        <v>0</v>
      </c>
      <c r="P570" s="33"/>
      <c r="Q570" s="99" t="s">
        <v>1198</v>
      </c>
      <c r="R570" s="100"/>
      <c r="S570" s="101">
        <v>3.5103026367842448E-4</v>
      </c>
      <c r="T570" s="102">
        <v>1</v>
      </c>
      <c r="U570" s="103">
        <v>0</v>
      </c>
      <c r="V570" s="103">
        <v>0</v>
      </c>
      <c r="W570" s="104">
        <v>0</v>
      </c>
      <c r="X570" s="19"/>
      <c r="Y570" s="103">
        <v>0</v>
      </c>
      <c r="Z570" s="103">
        <v>0</v>
      </c>
      <c r="AA570" s="105">
        <v>0</v>
      </c>
      <c r="AB570" s="106">
        <v>0</v>
      </c>
      <c r="AC570" s="105">
        <v>0</v>
      </c>
      <c r="AD570" s="104">
        <v>0</v>
      </c>
      <c r="AE570" s="104">
        <v>0</v>
      </c>
      <c r="AF570" s="107">
        <v>46265</v>
      </c>
    </row>
    <row r="571" spans="1:32" x14ac:dyDescent="0.25">
      <c r="A571" s="90">
        <v>1014</v>
      </c>
      <c r="B571" s="91" t="s">
        <v>132</v>
      </c>
      <c r="C571" s="29">
        <v>10140054</v>
      </c>
      <c r="D571" s="92" t="s">
        <v>808</v>
      </c>
      <c r="E571" s="93" t="s">
        <v>270</v>
      </c>
      <c r="F571" s="93" t="s">
        <v>230</v>
      </c>
      <c r="G571" s="109">
        <v>126</v>
      </c>
      <c r="H571" s="109">
        <v>5831.5900000000011</v>
      </c>
      <c r="I571" s="95">
        <v>0</v>
      </c>
      <c r="J571" s="95">
        <v>0</v>
      </c>
      <c r="K571" s="95">
        <v>0</v>
      </c>
      <c r="L571" s="95">
        <v>0</v>
      </c>
      <c r="M571" s="96">
        <v>0</v>
      </c>
      <c r="N571" s="97">
        <v>0</v>
      </c>
      <c r="O571" s="98">
        <v>0</v>
      </c>
      <c r="P571" s="33"/>
      <c r="Q571" s="99" t="s">
        <v>1198</v>
      </c>
      <c r="R571" s="100"/>
      <c r="S571" s="101">
        <v>-2.0929111957459001E-2</v>
      </c>
      <c r="T571" s="102">
        <v>6</v>
      </c>
      <c r="U571" s="103">
        <v>0</v>
      </c>
      <c r="V571" s="103">
        <v>0</v>
      </c>
      <c r="W571" s="104">
        <v>0</v>
      </c>
      <c r="X571" s="19"/>
      <c r="Y571" s="103">
        <v>0</v>
      </c>
      <c r="Z571" s="103">
        <v>0</v>
      </c>
      <c r="AA571" s="105">
        <v>0</v>
      </c>
      <c r="AB571" s="106">
        <v>0</v>
      </c>
      <c r="AC571" s="105">
        <v>0</v>
      </c>
      <c r="AD571" s="104">
        <v>0</v>
      </c>
      <c r="AE571" s="104">
        <v>0</v>
      </c>
      <c r="AF571" s="107">
        <v>46265</v>
      </c>
    </row>
    <row r="572" spans="1:32" x14ac:dyDescent="0.25">
      <c r="A572" s="90">
        <v>1014</v>
      </c>
      <c r="B572" s="91" t="s">
        <v>132</v>
      </c>
      <c r="C572" s="29">
        <v>10140055</v>
      </c>
      <c r="D572" s="92" t="s">
        <v>809</v>
      </c>
      <c r="E572" s="93" t="s">
        <v>270</v>
      </c>
      <c r="F572" s="93" t="s">
        <v>230</v>
      </c>
      <c r="G572" s="109">
        <v>139.9</v>
      </c>
      <c r="H572" s="109">
        <v>5337.6</v>
      </c>
      <c r="I572" s="95">
        <v>0</v>
      </c>
      <c r="J572" s="95">
        <v>0</v>
      </c>
      <c r="K572" s="95">
        <v>0</v>
      </c>
      <c r="L572" s="95">
        <v>0</v>
      </c>
      <c r="M572" s="96">
        <v>5</v>
      </c>
      <c r="N572" s="97">
        <v>0</v>
      </c>
      <c r="O572" s="98">
        <v>0</v>
      </c>
      <c r="P572" s="33"/>
      <c r="Q572" s="99" t="s">
        <v>1198</v>
      </c>
      <c r="R572" s="100"/>
      <c r="S572" s="101">
        <v>9.3675059952038362E-4</v>
      </c>
      <c r="T572" s="102">
        <v>2</v>
      </c>
      <c r="U572" s="103">
        <v>0</v>
      </c>
      <c r="V572" s="103">
        <v>0</v>
      </c>
      <c r="W572" s="104">
        <v>0</v>
      </c>
      <c r="X572" s="19"/>
      <c r="Y572" s="103">
        <v>0</v>
      </c>
      <c r="Z572" s="103">
        <v>0</v>
      </c>
      <c r="AA572" s="105">
        <v>0</v>
      </c>
      <c r="AB572" s="106">
        <v>0</v>
      </c>
      <c r="AC572" s="105">
        <v>0</v>
      </c>
      <c r="AD572" s="104">
        <v>0</v>
      </c>
      <c r="AE572" s="104">
        <v>0</v>
      </c>
      <c r="AF572" s="107">
        <v>46265</v>
      </c>
    </row>
    <row r="573" spans="1:32" x14ac:dyDescent="0.25">
      <c r="A573" s="90">
        <v>1014</v>
      </c>
      <c r="B573" s="91" t="s">
        <v>132</v>
      </c>
      <c r="C573" s="29">
        <v>10140058</v>
      </c>
      <c r="D573" s="92" t="s">
        <v>810</v>
      </c>
      <c r="E573" s="93" t="s">
        <v>270</v>
      </c>
      <c r="F573" s="93" t="s">
        <v>230</v>
      </c>
      <c r="G573" s="109">
        <v>151.9</v>
      </c>
      <c r="H573" s="109">
        <v>5654.4400000000005</v>
      </c>
      <c r="I573" s="95">
        <v>0</v>
      </c>
      <c r="J573" s="95">
        <v>0</v>
      </c>
      <c r="K573" s="95">
        <v>0</v>
      </c>
      <c r="L573" s="95">
        <v>0</v>
      </c>
      <c r="M573" s="96">
        <v>3</v>
      </c>
      <c r="N573" s="97">
        <v>0</v>
      </c>
      <c r="O573" s="98">
        <v>0</v>
      </c>
      <c r="P573" s="33"/>
      <c r="Q573" s="99" t="s">
        <v>1198</v>
      </c>
      <c r="R573" s="100"/>
      <c r="S573" s="101">
        <v>6.3843634382902313E-4</v>
      </c>
      <c r="T573" s="102">
        <v>2</v>
      </c>
      <c r="U573" s="103">
        <v>0</v>
      </c>
      <c r="V573" s="103">
        <v>0</v>
      </c>
      <c r="W573" s="104">
        <v>0</v>
      </c>
      <c r="X573" s="19"/>
      <c r="Y573" s="103">
        <v>0</v>
      </c>
      <c r="Z573" s="103">
        <v>0</v>
      </c>
      <c r="AA573" s="105">
        <v>0</v>
      </c>
      <c r="AB573" s="106">
        <v>0</v>
      </c>
      <c r="AC573" s="105">
        <v>0</v>
      </c>
      <c r="AD573" s="104">
        <v>0</v>
      </c>
      <c r="AE573" s="104">
        <v>0</v>
      </c>
      <c r="AF573" s="107">
        <v>46265</v>
      </c>
    </row>
    <row r="574" spans="1:32" x14ac:dyDescent="0.25">
      <c r="A574" s="90">
        <v>1014</v>
      </c>
      <c r="B574" s="91" t="s">
        <v>132</v>
      </c>
      <c r="C574" s="29">
        <v>10140068</v>
      </c>
      <c r="D574" s="92" t="s">
        <v>811</v>
      </c>
      <c r="E574" s="93" t="s">
        <v>270</v>
      </c>
      <c r="F574" s="93" t="s">
        <v>230</v>
      </c>
      <c r="G574" s="109">
        <v>282</v>
      </c>
      <c r="H574" s="109">
        <v>10816.06</v>
      </c>
      <c r="I574" s="95">
        <v>0</v>
      </c>
      <c r="J574" s="95">
        <v>0</v>
      </c>
      <c r="K574" s="95">
        <v>0</v>
      </c>
      <c r="L574" s="95">
        <v>0</v>
      </c>
      <c r="M574" s="96">
        <v>0</v>
      </c>
      <c r="N574" s="97">
        <v>0</v>
      </c>
      <c r="O574" s="98">
        <v>0</v>
      </c>
      <c r="P574" s="33"/>
      <c r="Q574" s="99" t="s">
        <v>1198</v>
      </c>
      <c r="R574" s="100"/>
      <c r="S574" s="101">
        <v>-3.5832826371155625E-2</v>
      </c>
      <c r="T574" s="102">
        <v>2</v>
      </c>
      <c r="U574" s="103">
        <v>0</v>
      </c>
      <c r="V574" s="103">
        <v>0</v>
      </c>
      <c r="W574" s="104">
        <v>0</v>
      </c>
      <c r="X574" s="19"/>
      <c r="Y574" s="103">
        <v>0</v>
      </c>
      <c r="Z574" s="103">
        <v>0</v>
      </c>
      <c r="AA574" s="105">
        <v>0</v>
      </c>
      <c r="AB574" s="106">
        <v>0</v>
      </c>
      <c r="AC574" s="105">
        <v>0</v>
      </c>
      <c r="AD574" s="104">
        <v>0</v>
      </c>
      <c r="AE574" s="104">
        <v>0</v>
      </c>
      <c r="AF574" s="107">
        <v>46265</v>
      </c>
    </row>
    <row r="575" spans="1:32" x14ac:dyDescent="0.25">
      <c r="A575" s="90">
        <v>1014</v>
      </c>
      <c r="B575" s="91" t="s">
        <v>132</v>
      </c>
      <c r="C575" s="29">
        <v>10140069</v>
      </c>
      <c r="D575" s="92" t="s">
        <v>643</v>
      </c>
      <c r="E575" s="93" t="s">
        <v>270</v>
      </c>
      <c r="F575" s="93" t="s">
        <v>230</v>
      </c>
      <c r="G575" s="109">
        <v>305.3</v>
      </c>
      <c r="H575" s="109">
        <v>12257.560000000001</v>
      </c>
      <c r="I575" s="95">
        <v>0</v>
      </c>
      <c r="J575" s="95">
        <v>0</v>
      </c>
      <c r="K575" s="95">
        <v>0</v>
      </c>
      <c r="L575" s="95">
        <v>0</v>
      </c>
      <c r="M575" s="96">
        <v>224</v>
      </c>
      <c r="N575" s="97">
        <v>0</v>
      </c>
      <c r="O575" s="98">
        <v>-1</v>
      </c>
      <c r="P575" s="33"/>
      <c r="Q575" s="99" t="s">
        <v>1198</v>
      </c>
      <c r="R575" s="100"/>
      <c r="S575" s="101">
        <v>1.8280962932263983E-2</v>
      </c>
      <c r="T575" s="102">
        <v>2</v>
      </c>
      <c r="U575" s="103">
        <v>0</v>
      </c>
      <c r="V575" s="103">
        <v>0</v>
      </c>
      <c r="W575" s="104">
        <v>0</v>
      </c>
      <c r="X575" s="19"/>
      <c r="Y575" s="103">
        <v>0</v>
      </c>
      <c r="Z575" s="103">
        <v>0</v>
      </c>
      <c r="AA575" s="105">
        <v>0</v>
      </c>
      <c r="AB575" s="106">
        <v>0</v>
      </c>
      <c r="AC575" s="105">
        <v>0</v>
      </c>
      <c r="AD575" s="104">
        <v>0</v>
      </c>
      <c r="AE575" s="104">
        <v>0</v>
      </c>
      <c r="AF575" s="107">
        <v>46265</v>
      </c>
    </row>
    <row r="576" spans="1:32" x14ac:dyDescent="0.25">
      <c r="A576" s="90">
        <v>1014</v>
      </c>
      <c r="B576" s="91" t="s">
        <v>132</v>
      </c>
      <c r="C576" s="29">
        <v>10140083</v>
      </c>
      <c r="D576" s="92" t="s">
        <v>812</v>
      </c>
      <c r="E576" s="93" t="s">
        <v>270</v>
      </c>
      <c r="F576" s="93" t="s">
        <v>230</v>
      </c>
      <c r="G576" s="109">
        <v>542.5</v>
      </c>
      <c r="H576" s="109">
        <v>22208.170000000002</v>
      </c>
      <c r="I576" s="95">
        <v>0</v>
      </c>
      <c r="J576" s="95">
        <v>0</v>
      </c>
      <c r="K576" s="95">
        <v>0</v>
      </c>
      <c r="L576" s="95">
        <v>0</v>
      </c>
      <c r="M576" s="96">
        <v>0</v>
      </c>
      <c r="N576" s="97">
        <v>0</v>
      </c>
      <c r="O576" s="98">
        <v>0</v>
      </c>
      <c r="P576" s="33"/>
      <c r="Q576" s="99" t="s">
        <v>1198</v>
      </c>
      <c r="R576" s="100"/>
      <c r="S576" s="101">
        <v>-0.42768494657596706</v>
      </c>
      <c r="T576" s="102">
        <v>12</v>
      </c>
      <c r="U576" s="103">
        <v>0</v>
      </c>
      <c r="V576" s="103">
        <v>0</v>
      </c>
      <c r="W576" s="104">
        <v>0</v>
      </c>
      <c r="X576" s="19"/>
      <c r="Y576" s="103">
        <v>0</v>
      </c>
      <c r="Z576" s="103">
        <v>0</v>
      </c>
      <c r="AA576" s="105">
        <v>0</v>
      </c>
      <c r="AB576" s="106">
        <v>0</v>
      </c>
      <c r="AC576" s="105">
        <v>0</v>
      </c>
      <c r="AD576" s="104">
        <v>0</v>
      </c>
      <c r="AE576" s="104">
        <v>0</v>
      </c>
      <c r="AF576" s="107">
        <v>46265</v>
      </c>
    </row>
    <row r="577" spans="1:32" x14ac:dyDescent="0.25">
      <c r="A577" s="90">
        <v>1014</v>
      </c>
      <c r="B577" s="91" t="s">
        <v>132</v>
      </c>
      <c r="C577" s="29">
        <v>10140087</v>
      </c>
      <c r="D577" s="92" t="s">
        <v>813</v>
      </c>
      <c r="E577" s="93" t="s">
        <v>270</v>
      </c>
      <c r="F577" s="93" t="s">
        <v>230</v>
      </c>
      <c r="G577" s="109">
        <v>186.49999999999997</v>
      </c>
      <c r="H577" s="109">
        <v>8258.02</v>
      </c>
      <c r="I577" s="95">
        <v>0</v>
      </c>
      <c r="J577" s="95">
        <v>0</v>
      </c>
      <c r="K577" s="95">
        <v>0</v>
      </c>
      <c r="L577" s="95">
        <v>0</v>
      </c>
      <c r="M577" s="96">
        <v>-1225</v>
      </c>
      <c r="N577" s="97" t="s">
        <v>331</v>
      </c>
      <c r="O577" s="98">
        <v>-1225</v>
      </c>
      <c r="P577" s="33" t="s">
        <v>286</v>
      </c>
      <c r="Q577" s="99" t="s">
        <v>1198</v>
      </c>
      <c r="R577" s="100"/>
      <c r="S577" s="101">
        <v>-0.148349120006975</v>
      </c>
      <c r="T577" s="102">
        <v>3</v>
      </c>
      <c r="U577" s="103">
        <v>0</v>
      </c>
      <c r="V577" s="103">
        <v>0</v>
      </c>
      <c r="W577" s="104">
        <v>0</v>
      </c>
      <c r="X577" s="19"/>
      <c r="Y577" s="103">
        <v>0</v>
      </c>
      <c r="Z577" s="103">
        <v>0</v>
      </c>
      <c r="AA577" s="105">
        <v>0</v>
      </c>
      <c r="AB577" s="106">
        <v>0</v>
      </c>
      <c r="AC577" s="105">
        <v>0</v>
      </c>
      <c r="AD577" s="104">
        <v>0</v>
      </c>
      <c r="AE577" s="104">
        <v>-1225</v>
      </c>
      <c r="AF577" s="107">
        <v>46265</v>
      </c>
    </row>
    <row r="578" spans="1:32" x14ac:dyDescent="0.25">
      <c r="A578" s="90">
        <v>1014</v>
      </c>
      <c r="B578" s="91" t="s">
        <v>132</v>
      </c>
      <c r="C578" s="29">
        <v>10140095</v>
      </c>
      <c r="D578" s="92" t="s">
        <v>814</v>
      </c>
      <c r="E578" s="93" t="s">
        <v>270</v>
      </c>
      <c r="F578" s="93" t="s">
        <v>230</v>
      </c>
      <c r="G578" s="109">
        <v>11.5</v>
      </c>
      <c r="H578" s="109">
        <v>410.27000000000004</v>
      </c>
      <c r="I578" s="95">
        <v>0</v>
      </c>
      <c r="J578" s="95">
        <v>0</v>
      </c>
      <c r="K578" s="95">
        <v>95</v>
      </c>
      <c r="L578" s="95">
        <v>0</v>
      </c>
      <c r="M578" s="96">
        <v>0</v>
      </c>
      <c r="N578" s="97" t="s">
        <v>331</v>
      </c>
      <c r="O578" s="98">
        <v>0</v>
      </c>
      <c r="P578" s="33" t="s">
        <v>815</v>
      </c>
      <c r="Q578" s="99" t="s">
        <v>1198</v>
      </c>
      <c r="R578" s="100"/>
      <c r="S578" s="101">
        <v>-0.11641114388085891</v>
      </c>
      <c r="T578" s="102">
        <v>3</v>
      </c>
      <c r="U578" s="103">
        <v>0</v>
      </c>
      <c r="V578" s="103">
        <v>0</v>
      </c>
      <c r="W578" s="104">
        <v>0</v>
      </c>
      <c r="X578" s="19"/>
      <c r="Y578" s="103">
        <v>500</v>
      </c>
      <c r="Z578" s="103">
        <v>0</v>
      </c>
      <c r="AA578" s="105">
        <v>0</v>
      </c>
      <c r="AB578" s="106">
        <v>500</v>
      </c>
      <c r="AC578" s="105">
        <v>500</v>
      </c>
      <c r="AD578" s="104">
        <v>0</v>
      </c>
      <c r="AE578" s="104">
        <v>0</v>
      </c>
      <c r="AF578" s="107">
        <v>46265</v>
      </c>
    </row>
    <row r="579" spans="1:32" x14ac:dyDescent="0.25">
      <c r="A579" s="90">
        <v>1014</v>
      </c>
      <c r="B579" s="91" t="s">
        <v>132</v>
      </c>
      <c r="C579" s="29">
        <v>10140098</v>
      </c>
      <c r="D579" s="92" t="s">
        <v>816</v>
      </c>
      <c r="E579" s="93" t="s">
        <v>270</v>
      </c>
      <c r="F579" s="93" t="s">
        <v>230</v>
      </c>
      <c r="G579" s="109">
        <v>882.80000000000007</v>
      </c>
      <c r="H579" s="109">
        <v>37251.450000000004</v>
      </c>
      <c r="I579" s="95">
        <v>0</v>
      </c>
      <c r="J579" s="95">
        <v>0</v>
      </c>
      <c r="K579" s="95">
        <v>0</v>
      </c>
      <c r="L579" s="95">
        <v>0</v>
      </c>
      <c r="M579" s="96">
        <v>147</v>
      </c>
      <c r="N579" s="97">
        <v>0</v>
      </c>
      <c r="O579" s="98">
        <v>0</v>
      </c>
      <c r="P579" s="33"/>
      <c r="Q579" s="99" t="s">
        <v>1198</v>
      </c>
      <c r="R579" s="100"/>
      <c r="S579" s="101">
        <v>3.9370279546166254E-3</v>
      </c>
      <c r="T579" s="102">
        <v>4</v>
      </c>
      <c r="U579" s="103">
        <v>0</v>
      </c>
      <c r="V579" s="103">
        <v>0</v>
      </c>
      <c r="W579" s="104">
        <v>0</v>
      </c>
      <c r="X579" s="19"/>
      <c r="Y579" s="103">
        <v>0</v>
      </c>
      <c r="Z579" s="103">
        <v>0</v>
      </c>
      <c r="AA579" s="105">
        <v>0</v>
      </c>
      <c r="AB579" s="106">
        <v>0</v>
      </c>
      <c r="AC579" s="105">
        <v>0</v>
      </c>
      <c r="AD579" s="104">
        <v>0</v>
      </c>
      <c r="AE579" s="104">
        <v>0</v>
      </c>
      <c r="AF579" s="107">
        <v>46265</v>
      </c>
    </row>
    <row r="580" spans="1:32" x14ac:dyDescent="0.25">
      <c r="A580" s="90">
        <v>1014</v>
      </c>
      <c r="B580" s="91" t="s">
        <v>132</v>
      </c>
      <c r="C580" s="29">
        <v>10140099</v>
      </c>
      <c r="D580" s="92" t="s">
        <v>817</v>
      </c>
      <c r="E580" s="93" t="s">
        <v>270</v>
      </c>
      <c r="F580" s="93" t="s">
        <v>230</v>
      </c>
      <c r="G580" s="109">
        <v>95.3</v>
      </c>
      <c r="H580" s="109">
        <v>3973.5799999999995</v>
      </c>
      <c r="I580" s="95">
        <v>0</v>
      </c>
      <c r="J580" s="95">
        <v>0</v>
      </c>
      <c r="K580" s="95">
        <v>0</v>
      </c>
      <c r="L580" s="95">
        <v>0</v>
      </c>
      <c r="M580" s="96">
        <v>0</v>
      </c>
      <c r="N580" s="97">
        <v>0</v>
      </c>
      <c r="O580" s="98">
        <v>0</v>
      </c>
      <c r="P580" s="33"/>
      <c r="Q580" s="99" t="s">
        <v>1198</v>
      </c>
      <c r="R580" s="100"/>
      <c r="S580" s="101">
        <v>-3.1772356414115348E-2</v>
      </c>
      <c r="T580" s="102">
        <v>5</v>
      </c>
      <c r="U580" s="103">
        <v>0</v>
      </c>
      <c r="V580" s="103">
        <v>0</v>
      </c>
      <c r="W580" s="104">
        <v>0</v>
      </c>
      <c r="X580" s="19"/>
      <c r="Y580" s="103">
        <v>0</v>
      </c>
      <c r="Z580" s="103">
        <v>0</v>
      </c>
      <c r="AA580" s="105">
        <v>0</v>
      </c>
      <c r="AB580" s="106">
        <v>0</v>
      </c>
      <c r="AC580" s="105">
        <v>0</v>
      </c>
      <c r="AD580" s="104">
        <v>0</v>
      </c>
      <c r="AE580" s="104">
        <v>0</v>
      </c>
      <c r="AF580" s="107">
        <v>46265</v>
      </c>
    </row>
    <row r="581" spans="1:32" x14ac:dyDescent="0.25">
      <c r="A581" s="90">
        <v>1014</v>
      </c>
      <c r="B581" s="91" t="s">
        <v>132</v>
      </c>
      <c r="C581" s="29">
        <v>10140109</v>
      </c>
      <c r="D581" s="92" t="s">
        <v>818</v>
      </c>
      <c r="E581" s="93" t="s">
        <v>275</v>
      </c>
      <c r="F581" s="93" t="s">
        <v>231</v>
      </c>
      <c r="G581" s="109">
        <v>242.1</v>
      </c>
      <c r="H581" s="109">
        <v>8952.1299999999992</v>
      </c>
      <c r="I581" s="95">
        <v>0</v>
      </c>
      <c r="J581" s="95">
        <v>0</v>
      </c>
      <c r="K581" s="95">
        <v>0</v>
      </c>
      <c r="L581" s="95">
        <v>0</v>
      </c>
      <c r="M581" s="96">
        <v>0</v>
      </c>
      <c r="N581" s="97">
        <v>0</v>
      </c>
      <c r="O581" s="98">
        <v>0</v>
      </c>
      <c r="P581" s="33"/>
      <c r="Q581" s="99" t="s">
        <v>1198</v>
      </c>
      <c r="R581" s="100"/>
      <c r="S581" s="101">
        <v>0</v>
      </c>
      <c r="T581" s="102">
        <v>0</v>
      </c>
      <c r="U581" s="103">
        <v>0</v>
      </c>
      <c r="V581" s="103">
        <v>0</v>
      </c>
      <c r="W581" s="104">
        <v>0</v>
      </c>
      <c r="X581" s="19"/>
      <c r="Y581" s="103">
        <v>0</v>
      </c>
      <c r="Z581" s="103">
        <v>0</v>
      </c>
      <c r="AA581" s="105">
        <v>0</v>
      </c>
      <c r="AB581" s="106">
        <v>0</v>
      </c>
      <c r="AC581" s="105">
        <v>0</v>
      </c>
      <c r="AD581" s="104">
        <v>0</v>
      </c>
      <c r="AE581" s="104">
        <v>0</v>
      </c>
      <c r="AF581" s="107">
        <v>46265</v>
      </c>
    </row>
    <row r="582" spans="1:32" x14ac:dyDescent="0.25">
      <c r="A582" s="90">
        <v>1014</v>
      </c>
      <c r="B582" s="91" t="s">
        <v>132</v>
      </c>
      <c r="C582" s="29">
        <v>10140120</v>
      </c>
      <c r="D582" s="92" t="s">
        <v>819</v>
      </c>
      <c r="E582" s="93" t="s">
        <v>270</v>
      </c>
      <c r="F582" s="93" t="s">
        <v>230</v>
      </c>
      <c r="G582" s="109">
        <v>557.9</v>
      </c>
      <c r="H582" s="109">
        <v>22964.67</v>
      </c>
      <c r="I582" s="95">
        <v>0</v>
      </c>
      <c r="J582" s="95">
        <v>0</v>
      </c>
      <c r="K582" s="95">
        <v>0</v>
      </c>
      <c r="L582" s="95">
        <v>0</v>
      </c>
      <c r="M582" s="96">
        <v>4</v>
      </c>
      <c r="N582" s="97">
        <v>0</v>
      </c>
      <c r="O582" s="98">
        <v>0</v>
      </c>
      <c r="P582" s="33"/>
      <c r="Q582" s="99" t="s">
        <v>1198</v>
      </c>
      <c r="R582" s="100"/>
      <c r="S582" s="101">
        <v>1.6808427902499553E-4</v>
      </c>
      <c r="T582" s="102">
        <v>2</v>
      </c>
      <c r="U582" s="103">
        <v>0</v>
      </c>
      <c r="V582" s="103">
        <v>0</v>
      </c>
      <c r="W582" s="104">
        <v>0</v>
      </c>
      <c r="X582" s="19"/>
      <c r="Y582" s="103">
        <v>0</v>
      </c>
      <c r="Z582" s="103">
        <v>0</v>
      </c>
      <c r="AA582" s="105">
        <v>0</v>
      </c>
      <c r="AB582" s="106">
        <v>0</v>
      </c>
      <c r="AC582" s="105">
        <v>0</v>
      </c>
      <c r="AD582" s="104">
        <v>0</v>
      </c>
      <c r="AE582" s="104">
        <v>0</v>
      </c>
      <c r="AF582" s="107">
        <v>46265</v>
      </c>
    </row>
    <row r="583" spans="1:32" x14ac:dyDescent="0.25">
      <c r="A583" s="90">
        <v>1014</v>
      </c>
      <c r="B583" s="91" t="s">
        <v>132</v>
      </c>
      <c r="C583" s="29">
        <v>10140126</v>
      </c>
      <c r="D583" s="92" t="s">
        <v>820</v>
      </c>
      <c r="E583" s="93" t="s">
        <v>270</v>
      </c>
      <c r="F583" s="93" t="s">
        <v>230</v>
      </c>
      <c r="G583" s="109">
        <v>152.30000000000001</v>
      </c>
      <c r="H583" s="109">
        <v>5283.32</v>
      </c>
      <c r="I583" s="95">
        <v>0</v>
      </c>
      <c r="J583" s="95">
        <v>0</v>
      </c>
      <c r="K583" s="95">
        <v>0</v>
      </c>
      <c r="L583" s="95">
        <v>0</v>
      </c>
      <c r="M583" s="96">
        <v>16</v>
      </c>
      <c r="N583" s="97">
        <v>0</v>
      </c>
      <c r="O583" s="98">
        <v>1</v>
      </c>
      <c r="P583" s="33"/>
      <c r="Q583" s="99" t="s">
        <v>1198</v>
      </c>
      <c r="R583" s="100"/>
      <c r="S583" s="101">
        <v>2.7312371766236728E-3</v>
      </c>
      <c r="T583" s="102">
        <v>6</v>
      </c>
      <c r="U583" s="103">
        <v>0</v>
      </c>
      <c r="V583" s="103">
        <v>0</v>
      </c>
      <c r="W583" s="104">
        <v>0</v>
      </c>
      <c r="X583" s="19"/>
      <c r="Y583" s="103">
        <v>0</v>
      </c>
      <c r="Z583" s="103">
        <v>0</v>
      </c>
      <c r="AA583" s="105">
        <v>0</v>
      </c>
      <c r="AB583" s="106">
        <v>0</v>
      </c>
      <c r="AC583" s="105">
        <v>0</v>
      </c>
      <c r="AD583" s="104">
        <v>0</v>
      </c>
      <c r="AE583" s="104">
        <v>0</v>
      </c>
      <c r="AF583" s="107">
        <v>46265</v>
      </c>
    </row>
    <row r="584" spans="1:32" x14ac:dyDescent="0.25">
      <c r="A584" s="90">
        <v>1014</v>
      </c>
      <c r="B584" s="91" t="s">
        <v>132</v>
      </c>
      <c r="C584" s="29">
        <v>10140129</v>
      </c>
      <c r="D584" s="92" t="s">
        <v>28</v>
      </c>
      <c r="E584" s="93" t="s">
        <v>270</v>
      </c>
      <c r="F584" s="93" t="s">
        <v>230</v>
      </c>
      <c r="G584" s="109">
        <v>102.7</v>
      </c>
      <c r="H584" s="109">
        <v>3842.6300000000006</v>
      </c>
      <c r="I584" s="95">
        <v>0</v>
      </c>
      <c r="J584" s="95">
        <v>0</v>
      </c>
      <c r="K584" s="95">
        <v>500</v>
      </c>
      <c r="L584" s="95">
        <v>0</v>
      </c>
      <c r="M584" s="96">
        <v>7</v>
      </c>
      <c r="N584" s="97">
        <v>0</v>
      </c>
      <c r="O584" s="98">
        <v>0</v>
      </c>
      <c r="P584" s="33"/>
      <c r="Q584" s="99" t="s">
        <v>1198</v>
      </c>
      <c r="R584" s="100"/>
      <c r="S584" s="101">
        <v>1.6733331077935542E-3</v>
      </c>
      <c r="T584" s="102">
        <v>2</v>
      </c>
      <c r="U584" s="103">
        <v>0</v>
      </c>
      <c r="V584" s="103">
        <v>0</v>
      </c>
      <c r="W584" s="104">
        <v>0</v>
      </c>
      <c r="X584" s="19"/>
      <c r="Y584" s="103">
        <v>500</v>
      </c>
      <c r="Z584" s="103">
        <v>0</v>
      </c>
      <c r="AA584" s="105">
        <v>0</v>
      </c>
      <c r="AB584" s="106">
        <v>500</v>
      </c>
      <c r="AC584" s="105">
        <v>500</v>
      </c>
      <c r="AD584" s="104">
        <v>0</v>
      </c>
      <c r="AE584" s="104">
        <v>0</v>
      </c>
      <c r="AF584" s="107">
        <v>46265</v>
      </c>
    </row>
    <row r="585" spans="1:32" x14ac:dyDescent="0.25">
      <c r="A585" s="90">
        <v>1014</v>
      </c>
      <c r="B585" s="91" t="s">
        <v>132</v>
      </c>
      <c r="C585" s="29">
        <v>10140131</v>
      </c>
      <c r="D585" s="92" t="s">
        <v>821</v>
      </c>
      <c r="E585" s="93" t="s">
        <v>270</v>
      </c>
      <c r="F585" s="93" t="s">
        <v>230</v>
      </c>
      <c r="G585" s="109">
        <v>59.199999999999996</v>
      </c>
      <c r="H585" s="109">
        <v>1986.23</v>
      </c>
      <c r="I585" s="95">
        <v>0</v>
      </c>
      <c r="J585" s="95">
        <v>0</v>
      </c>
      <c r="K585" s="95">
        <v>0</v>
      </c>
      <c r="L585" s="95">
        <v>0</v>
      </c>
      <c r="M585" s="96">
        <v>2</v>
      </c>
      <c r="N585" s="97">
        <v>0</v>
      </c>
      <c r="O585" s="98">
        <v>0</v>
      </c>
      <c r="P585" s="33"/>
      <c r="Q585" s="99" t="s">
        <v>1198</v>
      </c>
      <c r="R585" s="100"/>
      <c r="S585" s="101">
        <v>1.0975566777262911E-3</v>
      </c>
      <c r="T585" s="102">
        <v>1</v>
      </c>
      <c r="U585" s="103">
        <v>0</v>
      </c>
      <c r="V585" s="103">
        <v>0</v>
      </c>
      <c r="W585" s="104">
        <v>0</v>
      </c>
      <c r="X585" s="19"/>
      <c r="Y585" s="103">
        <v>0</v>
      </c>
      <c r="Z585" s="103">
        <v>0</v>
      </c>
      <c r="AA585" s="105">
        <v>0</v>
      </c>
      <c r="AB585" s="106">
        <v>0</v>
      </c>
      <c r="AC585" s="105">
        <v>0</v>
      </c>
      <c r="AD585" s="104">
        <v>0</v>
      </c>
      <c r="AE585" s="104">
        <v>0</v>
      </c>
      <c r="AF585" s="107">
        <v>46265</v>
      </c>
    </row>
    <row r="586" spans="1:32" x14ac:dyDescent="0.25">
      <c r="A586" s="90">
        <v>1014</v>
      </c>
      <c r="B586" s="91" t="s">
        <v>132</v>
      </c>
      <c r="C586" s="29">
        <v>10140132</v>
      </c>
      <c r="D586" s="92" t="s">
        <v>822</v>
      </c>
      <c r="E586" s="93" t="s">
        <v>270</v>
      </c>
      <c r="F586" s="93" t="s">
        <v>230</v>
      </c>
      <c r="G586" s="109">
        <v>383.59999999999991</v>
      </c>
      <c r="H586" s="109">
        <v>13834.689999999999</v>
      </c>
      <c r="I586" s="95">
        <v>0</v>
      </c>
      <c r="J586" s="95">
        <v>0</v>
      </c>
      <c r="K586" s="95">
        <v>0</v>
      </c>
      <c r="L586" s="95">
        <v>0</v>
      </c>
      <c r="M586" s="96">
        <v>330</v>
      </c>
      <c r="N586" s="97">
        <v>0</v>
      </c>
      <c r="O586" s="98">
        <v>0</v>
      </c>
      <c r="P586" s="33"/>
      <c r="Q586" s="99" t="s">
        <v>1198</v>
      </c>
      <c r="R586" s="100"/>
      <c r="S586" s="101">
        <v>2.3868984415263327E-2</v>
      </c>
      <c r="T586" s="102">
        <v>9</v>
      </c>
      <c r="U586" s="103">
        <v>0</v>
      </c>
      <c r="V586" s="103">
        <v>0</v>
      </c>
      <c r="W586" s="104">
        <v>0</v>
      </c>
      <c r="X586" s="19"/>
      <c r="Y586" s="103">
        <v>0</v>
      </c>
      <c r="Z586" s="103">
        <v>0</v>
      </c>
      <c r="AA586" s="105">
        <v>0</v>
      </c>
      <c r="AB586" s="106">
        <v>0</v>
      </c>
      <c r="AC586" s="105">
        <v>0</v>
      </c>
      <c r="AD586" s="104">
        <v>0</v>
      </c>
      <c r="AE586" s="104">
        <v>0</v>
      </c>
      <c r="AF586" s="107">
        <v>46265</v>
      </c>
    </row>
    <row r="587" spans="1:32" x14ac:dyDescent="0.25">
      <c r="A587" s="90">
        <v>1014</v>
      </c>
      <c r="B587" s="91" t="s">
        <v>132</v>
      </c>
      <c r="C587" s="29">
        <v>10140135</v>
      </c>
      <c r="D587" s="92" t="s">
        <v>823</v>
      </c>
      <c r="E587" s="93" t="s">
        <v>270</v>
      </c>
      <c r="F587" s="93" t="s">
        <v>230</v>
      </c>
      <c r="G587" s="109">
        <v>331.20000000000005</v>
      </c>
      <c r="H587" s="109">
        <v>13426.820000000003</v>
      </c>
      <c r="I587" s="95">
        <v>0</v>
      </c>
      <c r="J587" s="95">
        <v>0</v>
      </c>
      <c r="K587" s="95">
        <v>0</v>
      </c>
      <c r="L587" s="95">
        <v>0</v>
      </c>
      <c r="M587" s="96">
        <v>0</v>
      </c>
      <c r="N587" s="97">
        <v>0</v>
      </c>
      <c r="O587" s="98">
        <v>0</v>
      </c>
      <c r="P587" s="33"/>
      <c r="Q587" s="99" t="s">
        <v>1198</v>
      </c>
      <c r="R587" s="100"/>
      <c r="S587" s="101">
        <v>-6.8731091948800574E-2</v>
      </c>
      <c r="T587" s="102">
        <v>3</v>
      </c>
      <c r="U587" s="103">
        <v>0</v>
      </c>
      <c r="V587" s="103">
        <v>0</v>
      </c>
      <c r="W587" s="104">
        <v>0</v>
      </c>
      <c r="X587" s="19"/>
      <c r="Y587" s="103">
        <v>0</v>
      </c>
      <c r="Z587" s="103">
        <v>0</v>
      </c>
      <c r="AA587" s="105">
        <v>0</v>
      </c>
      <c r="AB587" s="106">
        <v>0</v>
      </c>
      <c r="AC587" s="105">
        <v>0</v>
      </c>
      <c r="AD587" s="104">
        <v>0</v>
      </c>
      <c r="AE587" s="104">
        <v>0</v>
      </c>
      <c r="AF587" s="107">
        <v>46265</v>
      </c>
    </row>
    <row r="588" spans="1:32" x14ac:dyDescent="0.25">
      <c r="A588" s="90">
        <v>1014</v>
      </c>
      <c r="B588" s="91" t="s">
        <v>132</v>
      </c>
      <c r="C588" s="29">
        <v>10140137</v>
      </c>
      <c r="D588" s="92" t="s">
        <v>824</v>
      </c>
      <c r="E588" s="93" t="s">
        <v>270</v>
      </c>
      <c r="F588" s="93" t="s">
        <v>230</v>
      </c>
      <c r="G588" s="109">
        <v>111.7</v>
      </c>
      <c r="H588" s="109">
        <v>4700.4400000000005</v>
      </c>
      <c r="I588" s="95">
        <v>0</v>
      </c>
      <c r="J588" s="95">
        <v>4700.17</v>
      </c>
      <c r="K588" s="95">
        <v>0</v>
      </c>
      <c r="L588" s="95">
        <v>0</v>
      </c>
      <c r="M588" s="96">
        <v>0</v>
      </c>
      <c r="N588" s="97">
        <v>0</v>
      </c>
      <c r="O588" s="98">
        <v>0</v>
      </c>
      <c r="P588" s="33"/>
      <c r="Q588" s="99" t="s">
        <v>1198</v>
      </c>
      <c r="R588" s="100"/>
      <c r="S588" s="101">
        <v>-0.28641361234267415</v>
      </c>
      <c r="T588" s="102">
        <v>2</v>
      </c>
      <c r="U588" s="103">
        <v>0</v>
      </c>
      <c r="V588" s="103">
        <v>0</v>
      </c>
      <c r="W588" s="104">
        <v>0</v>
      </c>
      <c r="X588" s="19"/>
      <c r="Y588" s="103">
        <v>0</v>
      </c>
      <c r="Z588" s="103">
        <v>0</v>
      </c>
      <c r="AA588" s="105">
        <v>0</v>
      </c>
      <c r="AB588" s="106">
        <v>0</v>
      </c>
      <c r="AC588" s="105">
        <v>0</v>
      </c>
      <c r="AD588" s="104">
        <v>0</v>
      </c>
      <c r="AE588" s="104">
        <v>0</v>
      </c>
      <c r="AF588" s="107">
        <v>46265</v>
      </c>
    </row>
    <row r="589" spans="1:32" x14ac:dyDescent="0.25">
      <c r="A589" s="90">
        <v>1014</v>
      </c>
      <c r="B589" s="91" t="s">
        <v>132</v>
      </c>
      <c r="C589" s="29">
        <v>10140139</v>
      </c>
      <c r="D589" s="92" t="s">
        <v>825</v>
      </c>
      <c r="E589" s="93" t="s">
        <v>270</v>
      </c>
      <c r="F589" s="93" t="s">
        <v>230</v>
      </c>
      <c r="G589" s="109">
        <v>499.10000000000008</v>
      </c>
      <c r="H589" s="109">
        <v>13514.439999999999</v>
      </c>
      <c r="I589" s="95">
        <v>0</v>
      </c>
      <c r="J589" s="95">
        <v>0</v>
      </c>
      <c r="K589" s="95">
        <v>500</v>
      </c>
      <c r="L589" s="95">
        <v>0</v>
      </c>
      <c r="M589" s="96">
        <v>3</v>
      </c>
      <c r="N589" s="97">
        <v>0</v>
      </c>
      <c r="O589" s="98">
        <v>0</v>
      </c>
      <c r="P589" s="33"/>
      <c r="Q589" s="99" t="s">
        <v>1198</v>
      </c>
      <c r="R589" s="100"/>
      <c r="S589" s="101">
        <v>2.6490183832982413E-4</v>
      </c>
      <c r="T589" s="102">
        <v>2</v>
      </c>
      <c r="U589" s="103">
        <v>0</v>
      </c>
      <c r="V589" s="103">
        <v>0</v>
      </c>
      <c r="W589" s="104">
        <v>0</v>
      </c>
      <c r="X589" s="19"/>
      <c r="Y589" s="103">
        <v>500</v>
      </c>
      <c r="Z589" s="103">
        <v>0</v>
      </c>
      <c r="AA589" s="105">
        <v>0</v>
      </c>
      <c r="AB589" s="106">
        <v>500</v>
      </c>
      <c r="AC589" s="105">
        <v>500</v>
      </c>
      <c r="AD589" s="104">
        <v>0</v>
      </c>
      <c r="AE589" s="104">
        <v>0</v>
      </c>
      <c r="AF589" s="107">
        <v>46265</v>
      </c>
    </row>
    <row r="590" spans="1:32" x14ac:dyDescent="0.25">
      <c r="A590" s="90">
        <v>1014</v>
      </c>
      <c r="B590" s="91" t="s">
        <v>132</v>
      </c>
      <c r="C590" s="29">
        <v>10140147</v>
      </c>
      <c r="D590" s="92" t="s">
        <v>826</v>
      </c>
      <c r="E590" s="93" t="s">
        <v>275</v>
      </c>
      <c r="F590" s="93" t="s">
        <v>231</v>
      </c>
      <c r="G590" s="109">
        <v>253.79999999999998</v>
      </c>
      <c r="H590" s="109">
        <v>10973.11</v>
      </c>
      <c r="I590" s="95">
        <v>0</v>
      </c>
      <c r="J590" s="95">
        <v>0</v>
      </c>
      <c r="K590" s="95">
        <v>0</v>
      </c>
      <c r="L590" s="95">
        <v>0</v>
      </c>
      <c r="M590" s="96">
        <v>0</v>
      </c>
      <c r="N590" s="97">
        <v>0</v>
      </c>
      <c r="O590" s="98">
        <v>0</v>
      </c>
      <c r="P590" s="33"/>
      <c r="Q590" s="99" t="s">
        <v>1198</v>
      </c>
      <c r="R590" s="100"/>
      <c r="S590" s="101">
        <v>0</v>
      </c>
      <c r="T590" s="102">
        <v>0</v>
      </c>
      <c r="U590" s="103">
        <v>0</v>
      </c>
      <c r="V590" s="103">
        <v>0</v>
      </c>
      <c r="W590" s="104">
        <v>0</v>
      </c>
      <c r="X590" s="19"/>
      <c r="Y590" s="103">
        <v>0</v>
      </c>
      <c r="Z590" s="103">
        <v>0</v>
      </c>
      <c r="AA590" s="105">
        <v>0</v>
      </c>
      <c r="AB590" s="106">
        <v>0</v>
      </c>
      <c r="AC590" s="105">
        <v>0</v>
      </c>
      <c r="AD590" s="104">
        <v>0</v>
      </c>
      <c r="AE590" s="104">
        <v>0</v>
      </c>
      <c r="AF590" s="107">
        <v>46265</v>
      </c>
    </row>
    <row r="591" spans="1:32" x14ac:dyDescent="0.25">
      <c r="A591" s="90">
        <v>1014</v>
      </c>
      <c r="B591" s="91" t="s">
        <v>132</v>
      </c>
      <c r="C591" s="29">
        <v>10140153</v>
      </c>
      <c r="D591" s="92" t="s">
        <v>827</v>
      </c>
      <c r="E591" s="93" t="s">
        <v>270</v>
      </c>
      <c r="F591" s="93" t="s">
        <v>230</v>
      </c>
      <c r="G591" s="109">
        <v>25</v>
      </c>
      <c r="H591" s="109">
        <v>882</v>
      </c>
      <c r="I591" s="95">
        <v>0</v>
      </c>
      <c r="J591" s="95">
        <v>0</v>
      </c>
      <c r="K591" s="95">
        <v>500</v>
      </c>
      <c r="L591" s="95">
        <v>0</v>
      </c>
      <c r="M591" s="96">
        <v>0</v>
      </c>
      <c r="N591" s="97" t="s">
        <v>324</v>
      </c>
      <c r="O591" s="98">
        <v>0</v>
      </c>
      <c r="P591" s="33" t="s">
        <v>286</v>
      </c>
      <c r="Q591" s="99" t="s">
        <v>1198</v>
      </c>
      <c r="R591" s="100"/>
      <c r="S591" s="101">
        <v>-1.9336394557823127</v>
      </c>
      <c r="T591" s="102">
        <v>2</v>
      </c>
      <c r="U591" s="103">
        <v>0</v>
      </c>
      <c r="V591" s="103">
        <v>0</v>
      </c>
      <c r="W591" s="104">
        <v>0</v>
      </c>
      <c r="X591" s="19"/>
      <c r="Y591" s="103">
        <v>500</v>
      </c>
      <c r="Z591" s="103">
        <v>0</v>
      </c>
      <c r="AA591" s="105">
        <v>0</v>
      </c>
      <c r="AB591" s="106">
        <v>500</v>
      </c>
      <c r="AC591" s="105">
        <v>500</v>
      </c>
      <c r="AD591" s="104">
        <v>0</v>
      </c>
      <c r="AE591" s="104">
        <v>0</v>
      </c>
      <c r="AF591" s="107">
        <v>46265</v>
      </c>
    </row>
    <row r="592" spans="1:32" x14ac:dyDescent="0.25">
      <c r="A592" s="90">
        <v>1014</v>
      </c>
      <c r="B592" s="91" t="s">
        <v>132</v>
      </c>
      <c r="C592" s="29">
        <v>10140156</v>
      </c>
      <c r="D592" s="92" t="s">
        <v>828</v>
      </c>
      <c r="E592" s="93" t="s">
        <v>270</v>
      </c>
      <c r="F592" s="93" t="s">
        <v>230</v>
      </c>
      <c r="G592" s="109">
        <v>313.83</v>
      </c>
      <c r="H592" s="109">
        <v>11292.63</v>
      </c>
      <c r="I592" s="95">
        <v>0</v>
      </c>
      <c r="J592" s="95">
        <v>0</v>
      </c>
      <c r="K592" s="95">
        <v>0</v>
      </c>
      <c r="L592" s="95">
        <v>0</v>
      </c>
      <c r="M592" s="96">
        <v>0</v>
      </c>
      <c r="N592" s="97">
        <v>0</v>
      </c>
      <c r="O592" s="98">
        <v>0</v>
      </c>
      <c r="P592" s="33"/>
      <c r="Q592" s="99" t="s">
        <v>1198</v>
      </c>
      <c r="R592" s="100"/>
      <c r="S592" s="101">
        <v>-0.11679387352636204</v>
      </c>
      <c r="T592" s="102">
        <v>2</v>
      </c>
      <c r="U592" s="103">
        <v>0</v>
      </c>
      <c r="V592" s="103">
        <v>0</v>
      </c>
      <c r="W592" s="104">
        <v>0</v>
      </c>
      <c r="X592" s="19"/>
      <c r="Y592" s="103">
        <v>0</v>
      </c>
      <c r="Z592" s="103">
        <v>0</v>
      </c>
      <c r="AA592" s="105">
        <v>0</v>
      </c>
      <c r="AB592" s="106">
        <v>0</v>
      </c>
      <c r="AC592" s="105">
        <v>0</v>
      </c>
      <c r="AD592" s="104">
        <v>0</v>
      </c>
      <c r="AE592" s="104">
        <v>0</v>
      </c>
      <c r="AF592" s="107">
        <v>46265</v>
      </c>
    </row>
    <row r="593" spans="1:32" x14ac:dyDescent="0.25">
      <c r="A593" s="90">
        <v>1014</v>
      </c>
      <c r="B593" s="91" t="s">
        <v>132</v>
      </c>
      <c r="C593" s="29">
        <v>10140157</v>
      </c>
      <c r="D593" s="92" t="s">
        <v>829</v>
      </c>
      <c r="E593" s="93" t="s">
        <v>275</v>
      </c>
      <c r="F593" s="93" t="s">
        <v>231</v>
      </c>
      <c r="G593" s="109">
        <v>17.3</v>
      </c>
      <c r="H593" s="109">
        <v>779.19</v>
      </c>
      <c r="I593" s="95">
        <v>0</v>
      </c>
      <c r="J593" s="95">
        <v>0</v>
      </c>
      <c r="K593" s="95">
        <v>0</v>
      </c>
      <c r="L593" s="95">
        <v>0</v>
      </c>
      <c r="M593" s="96">
        <v>0</v>
      </c>
      <c r="N593" s="97">
        <v>0</v>
      </c>
      <c r="O593" s="98">
        <v>0</v>
      </c>
      <c r="P593" s="33"/>
      <c r="Q593" s="99" t="s">
        <v>1198</v>
      </c>
      <c r="R593" s="100"/>
      <c r="S593" s="101">
        <v>0</v>
      </c>
      <c r="T593" s="102">
        <v>0</v>
      </c>
      <c r="U593" s="103">
        <v>0</v>
      </c>
      <c r="V593" s="103">
        <v>0</v>
      </c>
      <c r="W593" s="104">
        <v>0</v>
      </c>
      <c r="X593" s="19"/>
      <c r="Y593" s="103">
        <v>0</v>
      </c>
      <c r="Z593" s="103">
        <v>0</v>
      </c>
      <c r="AA593" s="105">
        <v>0</v>
      </c>
      <c r="AB593" s="106">
        <v>0</v>
      </c>
      <c r="AC593" s="105">
        <v>0</v>
      </c>
      <c r="AD593" s="104">
        <v>0</v>
      </c>
      <c r="AE593" s="104">
        <v>0</v>
      </c>
      <c r="AF593" s="107">
        <v>46265</v>
      </c>
    </row>
    <row r="594" spans="1:32" x14ac:dyDescent="0.25">
      <c r="A594" s="90">
        <v>1014</v>
      </c>
      <c r="B594" s="91" t="s">
        <v>132</v>
      </c>
      <c r="C594" s="29">
        <v>10140166</v>
      </c>
      <c r="D594" s="92" t="s">
        <v>830</v>
      </c>
      <c r="E594" s="93" t="s">
        <v>270</v>
      </c>
      <c r="F594" s="93" t="s">
        <v>230</v>
      </c>
      <c r="G594" s="109">
        <v>225.35999999999999</v>
      </c>
      <c r="H594" s="109">
        <v>11581.310000000001</v>
      </c>
      <c r="I594" s="95">
        <v>0</v>
      </c>
      <c r="J594" s="95">
        <v>0</v>
      </c>
      <c r="K594" s="95">
        <v>0</v>
      </c>
      <c r="L594" s="95">
        <v>0</v>
      </c>
      <c r="M594" s="96">
        <v>2</v>
      </c>
      <c r="N594" s="97">
        <v>0</v>
      </c>
      <c r="O594" s="98">
        <v>0</v>
      </c>
      <c r="P594" s="33"/>
      <c r="Q594" s="99" t="s">
        <v>1198</v>
      </c>
      <c r="R594" s="100"/>
      <c r="S594" s="101">
        <v>1.6060359320323709E-4</v>
      </c>
      <c r="T594" s="102">
        <v>1</v>
      </c>
      <c r="U594" s="103">
        <v>0</v>
      </c>
      <c r="V594" s="103">
        <v>0</v>
      </c>
      <c r="W594" s="104">
        <v>0</v>
      </c>
      <c r="X594" s="19"/>
      <c r="Y594" s="103">
        <v>0</v>
      </c>
      <c r="Z594" s="103">
        <v>0</v>
      </c>
      <c r="AA594" s="105">
        <v>0</v>
      </c>
      <c r="AB594" s="106">
        <v>0</v>
      </c>
      <c r="AC594" s="105">
        <v>0</v>
      </c>
      <c r="AD594" s="104">
        <v>0</v>
      </c>
      <c r="AE594" s="104">
        <v>0</v>
      </c>
      <c r="AF594" s="107">
        <v>46265</v>
      </c>
    </row>
    <row r="595" spans="1:32" x14ac:dyDescent="0.25">
      <c r="A595" s="90">
        <v>1014</v>
      </c>
      <c r="B595" s="91" t="s">
        <v>132</v>
      </c>
      <c r="C595" s="29">
        <v>10140167</v>
      </c>
      <c r="D595" s="92" t="s">
        <v>831</v>
      </c>
      <c r="E595" s="93" t="s">
        <v>275</v>
      </c>
      <c r="F595" s="93" t="s">
        <v>231</v>
      </c>
      <c r="G595" s="109">
        <v>1467.8</v>
      </c>
      <c r="H595" s="109">
        <v>56862.76</v>
      </c>
      <c r="I595" s="95">
        <v>0</v>
      </c>
      <c r="J595" s="95">
        <v>0</v>
      </c>
      <c r="K595" s="95">
        <v>0</v>
      </c>
      <c r="L595" s="95">
        <v>0</v>
      </c>
      <c r="M595" s="96">
        <v>0</v>
      </c>
      <c r="N595" s="97">
        <v>0</v>
      </c>
      <c r="O595" s="98">
        <v>0</v>
      </c>
      <c r="P595" s="33"/>
      <c r="Q595" s="99" t="s">
        <v>1198</v>
      </c>
      <c r="R595" s="100"/>
      <c r="S595" s="101">
        <v>0</v>
      </c>
      <c r="T595" s="102">
        <v>0</v>
      </c>
      <c r="U595" s="103">
        <v>0</v>
      </c>
      <c r="V595" s="103">
        <v>0</v>
      </c>
      <c r="W595" s="104">
        <v>0</v>
      </c>
      <c r="X595" s="19"/>
      <c r="Y595" s="103">
        <v>0</v>
      </c>
      <c r="Z595" s="103">
        <v>0</v>
      </c>
      <c r="AA595" s="105">
        <v>0</v>
      </c>
      <c r="AB595" s="106">
        <v>0</v>
      </c>
      <c r="AC595" s="105">
        <v>0</v>
      </c>
      <c r="AD595" s="104">
        <v>0</v>
      </c>
      <c r="AE595" s="104">
        <v>0</v>
      </c>
      <c r="AF595" s="107">
        <v>46265</v>
      </c>
    </row>
    <row r="596" spans="1:32" x14ac:dyDescent="0.25">
      <c r="A596" s="90">
        <v>1014</v>
      </c>
      <c r="B596" s="91" t="s">
        <v>132</v>
      </c>
      <c r="C596" s="29">
        <v>10140170</v>
      </c>
      <c r="D596" s="92" t="s">
        <v>832</v>
      </c>
      <c r="E596" s="93" t="s">
        <v>270</v>
      </c>
      <c r="F596" s="93" t="s">
        <v>230</v>
      </c>
      <c r="G596" s="109">
        <v>241.4</v>
      </c>
      <c r="H596" s="109">
        <v>11431.810000000001</v>
      </c>
      <c r="I596" s="95">
        <v>0</v>
      </c>
      <c r="J596" s="95">
        <v>0</v>
      </c>
      <c r="K596" s="95">
        <v>0</v>
      </c>
      <c r="L596" s="95">
        <v>0</v>
      </c>
      <c r="M596" s="96">
        <v>52</v>
      </c>
      <c r="N596" s="97">
        <v>0</v>
      </c>
      <c r="O596" s="98">
        <v>0</v>
      </c>
      <c r="P596" s="33"/>
      <c r="Q596" s="99" t="s">
        <v>1198</v>
      </c>
      <c r="R596" s="100"/>
      <c r="S596" s="101">
        <v>4.5565837780720602E-3</v>
      </c>
      <c r="T596" s="102">
        <v>2</v>
      </c>
      <c r="U596" s="103">
        <v>0</v>
      </c>
      <c r="V596" s="103">
        <v>0</v>
      </c>
      <c r="W596" s="104">
        <v>0</v>
      </c>
      <c r="X596" s="19"/>
      <c r="Y596" s="103">
        <v>0</v>
      </c>
      <c r="Z596" s="103">
        <v>0</v>
      </c>
      <c r="AA596" s="105">
        <v>0</v>
      </c>
      <c r="AB596" s="106">
        <v>0</v>
      </c>
      <c r="AC596" s="105">
        <v>0</v>
      </c>
      <c r="AD596" s="104">
        <v>0</v>
      </c>
      <c r="AE596" s="104">
        <v>0</v>
      </c>
      <c r="AF596" s="107">
        <v>46265</v>
      </c>
    </row>
    <row r="597" spans="1:32" x14ac:dyDescent="0.25">
      <c r="A597" s="90">
        <v>1014</v>
      </c>
      <c r="B597" s="91" t="s">
        <v>132</v>
      </c>
      <c r="C597" s="29">
        <v>10140173</v>
      </c>
      <c r="D597" s="92" t="s">
        <v>833</v>
      </c>
      <c r="E597" s="93" t="s">
        <v>270</v>
      </c>
      <c r="F597" s="93" t="s">
        <v>230</v>
      </c>
      <c r="G597" s="109">
        <v>776.5999999999998</v>
      </c>
      <c r="H597" s="109">
        <v>28209.800000000003</v>
      </c>
      <c r="I597" s="95">
        <v>0</v>
      </c>
      <c r="J597" s="95">
        <v>6650</v>
      </c>
      <c r="K597" s="95">
        <v>0</v>
      </c>
      <c r="L597" s="95">
        <v>0</v>
      </c>
      <c r="M597" s="96">
        <v>0</v>
      </c>
      <c r="N597" s="97">
        <v>0</v>
      </c>
      <c r="O597" s="98">
        <v>0</v>
      </c>
      <c r="P597" s="33"/>
      <c r="Q597" s="99" t="s">
        <v>1198</v>
      </c>
      <c r="R597" s="100"/>
      <c r="S597" s="101">
        <v>-0.15886748576735726</v>
      </c>
      <c r="T597" s="102">
        <v>2</v>
      </c>
      <c r="U597" s="103">
        <v>0</v>
      </c>
      <c r="V597" s="103">
        <v>0</v>
      </c>
      <c r="W597" s="104">
        <v>0</v>
      </c>
      <c r="X597" s="19"/>
      <c r="Y597" s="103">
        <v>0</v>
      </c>
      <c r="Z597" s="103">
        <v>0</v>
      </c>
      <c r="AA597" s="105">
        <v>0</v>
      </c>
      <c r="AB597" s="106">
        <v>0</v>
      </c>
      <c r="AC597" s="105">
        <v>0</v>
      </c>
      <c r="AD597" s="104">
        <v>0</v>
      </c>
      <c r="AE597" s="104">
        <v>0</v>
      </c>
      <c r="AF597" s="107">
        <v>46265</v>
      </c>
    </row>
    <row r="598" spans="1:32" x14ac:dyDescent="0.25">
      <c r="A598" s="90">
        <v>1014</v>
      </c>
      <c r="B598" s="91" t="s">
        <v>132</v>
      </c>
      <c r="C598" s="29">
        <v>10140176</v>
      </c>
      <c r="D598" s="92" t="s">
        <v>834</v>
      </c>
      <c r="E598" s="93" t="s">
        <v>275</v>
      </c>
      <c r="F598" s="93" t="s">
        <v>231</v>
      </c>
      <c r="G598" s="109">
        <v>57.500000000000007</v>
      </c>
      <c r="H598" s="109">
        <v>2433.6</v>
      </c>
      <c r="I598" s="95">
        <v>0</v>
      </c>
      <c r="J598" s="95">
        <v>0</v>
      </c>
      <c r="K598" s="95">
        <v>0</v>
      </c>
      <c r="L598" s="95">
        <v>0</v>
      </c>
      <c r="M598" s="96">
        <v>0</v>
      </c>
      <c r="N598" s="97">
        <v>0</v>
      </c>
      <c r="O598" s="98">
        <v>0</v>
      </c>
      <c r="P598" s="33"/>
      <c r="Q598" s="99" t="s">
        <v>1198</v>
      </c>
      <c r="R598" s="100"/>
      <c r="S598" s="101">
        <v>0</v>
      </c>
      <c r="T598" s="102">
        <v>0</v>
      </c>
      <c r="U598" s="103">
        <v>0</v>
      </c>
      <c r="V598" s="103">
        <v>0</v>
      </c>
      <c r="W598" s="104">
        <v>0</v>
      </c>
      <c r="X598" s="19"/>
      <c r="Y598" s="103">
        <v>0</v>
      </c>
      <c r="Z598" s="103">
        <v>0</v>
      </c>
      <c r="AA598" s="105">
        <v>0</v>
      </c>
      <c r="AB598" s="106">
        <v>0</v>
      </c>
      <c r="AC598" s="105">
        <v>0</v>
      </c>
      <c r="AD598" s="104">
        <v>0</v>
      </c>
      <c r="AE598" s="104">
        <v>0</v>
      </c>
      <c r="AF598" s="107">
        <v>46265</v>
      </c>
    </row>
    <row r="599" spans="1:32" x14ac:dyDescent="0.25">
      <c r="A599" s="90">
        <v>1014</v>
      </c>
      <c r="B599" s="91" t="s">
        <v>132</v>
      </c>
      <c r="C599" s="29">
        <v>10140179</v>
      </c>
      <c r="D599" s="92" t="s">
        <v>835</v>
      </c>
      <c r="E599" s="93" t="s">
        <v>270</v>
      </c>
      <c r="F599" s="93" t="s">
        <v>230</v>
      </c>
      <c r="G599" s="109">
        <v>787.7</v>
      </c>
      <c r="H599" s="109">
        <v>33916.850000000006</v>
      </c>
      <c r="I599" s="95">
        <v>0</v>
      </c>
      <c r="J599" s="95">
        <v>0</v>
      </c>
      <c r="K599" s="95">
        <v>0</v>
      </c>
      <c r="L599" s="95">
        <v>0</v>
      </c>
      <c r="M599" s="96">
        <v>107</v>
      </c>
      <c r="N599" s="97" t="s">
        <v>331</v>
      </c>
      <c r="O599" s="98">
        <v>1</v>
      </c>
      <c r="P599" s="33" t="s">
        <v>332</v>
      </c>
      <c r="Q599" s="99" t="s">
        <v>1198</v>
      </c>
      <c r="R599" s="100"/>
      <c r="S599" s="101">
        <v>3.1258799092487672E-3</v>
      </c>
      <c r="T599" s="102">
        <v>42</v>
      </c>
      <c r="U599" s="103">
        <v>13300</v>
      </c>
      <c r="V599" s="103">
        <v>0</v>
      </c>
      <c r="W599" s="104">
        <v>13300</v>
      </c>
      <c r="X599" s="19"/>
      <c r="Y599" s="103">
        <v>0</v>
      </c>
      <c r="Z599" s="103">
        <v>0</v>
      </c>
      <c r="AA599" s="105">
        <v>0</v>
      </c>
      <c r="AB599" s="106">
        <v>0</v>
      </c>
      <c r="AC599" s="105">
        <v>0</v>
      </c>
      <c r="AD599" s="104">
        <v>0</v>
      </c>
      <c r="AE599" s="104">
        <v>0</v>
      </c>
      <c r="AF599" s="107">
        <v>46265</v>
      </c>
    </row>
    <row r="600" spans="1:32" x14ac:dyDescent="0.25">
      <c r="A600" s="90">
        <v>1014</v>
      </c>
      <c r="B600" s="91" t="s">
        <v>132</v>
      </c>
      <c r="C600" s="29">
        <v>10140180</v>
      </c>
      <c r="D600" s="92" t="s">
        <v>836</v>
      </c>
      <c r="E600" s="93" t="s">
        <v>270</v>
      </c>
      <c r="F600" s="93" t="s">
        <v>230</v>
      </c>
      <c r="G600" s="109">
        <v>100.10000000000001</v>
      </c>
      <c r="H600" s="109">
        <v>4381.78</v>
      </c>
      <c r="I600" s="95">
        <v>0</v>
      </c>
      <c r="J600" s="95">
        <v>2242.1800000000003</v>
      </c>
      <c r="K600" s="95">
        <v>0</v>
      </c>
      <c r="L600" s="95">
        <v>0</v>
      </c>
      <c r="M600" s="96">
        <v>0</v>
      </c>
      <c r="N600" s="97">
        <v>0</v>
      </c>
      <c r="O600" s="98">
        <v>0</v>
      </c>
      <c r="P600" s="33"/>
      <c r="Q600" s="99" t="s">
        <v>1198</v>
      </c>
      <c r="R600" s="100"/>
      <c r="S600" s="101">
        <v>-5.8743250459860358E-3</v>
      </c>
      <c r="T600" s="102">
        <v>6</v>
      </c>
      <c r="U600" s="103">
        <v>0</v>
      </c>
      <c r="V600" s="103">
        <v>0</v>
      </c>
      <c r="W600" s="104">
        <v>0</v>
      </c>
      <c r="X600" s="19"/>
      <c r="Y600" s="103">
        <v>0</v>
      </c>
      <c r="Z600" s="103">
        <v>0</v>
      </c>
      <c r="AA600" s="105">
        <v>0</v>
      </c>
      <c r="AB600" s="106">
        <v>0</v>
      </c>
      <c r="AC600" s="105">
        <v>0</v>
      </c>
      <c r="AD600" s="104">
        <v>0</v>
      </c>
      <c r="AE600" s="104">
        <v>0</v>
      </c>
      <c r="AF600" s="107">
        <v>46265</v>
      </c>
    </row>
    <row r="601" spans="1:32" x14ac:dyDescent="0.25">
      <c r="A601" s="90">
        <v>1014</v>
      </c>
      <c r="B601" s="91" t="s">
        <v>132</v>
      </c>
      <c r="C601" s="29">
        <v>10140185</v>
      </c>
      <c r="D601" s="92" t="s">
        <v>837</v>
      </c>
      <c r="E601" s="93" t="s">
        <v>270</v>
      </c>
      <c r="F601" s="93" t="s">
        <v>230</v>
      </c>
      <c r="G601" s="109">
        <v>259</v>
      </c>
      <c r="H601" s="109">
        <v>7435.3499999999995</v>
      </c>
      <c r="I601" s="95">
        <v>0</v>
      </c>
      <c r="J601" s="95">
        <v>0</v>
      </c>
      <c r="K601" s="95">
        <v>0</v>
      </c>
      <c r="L601" s="95">
        <v>0</v>
      </c>
      <c r="M601" s="96">
        <v>33</v>
      </c>
      <c r="N601" s="97">
        <v>0</v>
      </c>
      <c r="O601" s="98">
        <v>0</v>
      </c>
      <c r="P601" s="33"/>
      <c r="Q601" s="99" t="s">
        <v>1198</v>
      </c>
      <c r="R601" s="100"/>
      <c r="S601" s="101">
        <v>4.4557418278896354E-3</v>
      </c>
      <c r="T601" s="102">
        <v>1</v>
      </c>
      <c r="U601" s="103">
        <v>0</v>
      </c>
      <c r="V601" s="103">
        <v>0</v>
      </c>
      <c r="W601" s="104">
        <v>0</v>
      </c>
      <c r="X601" s="19"/>
      <c r="Y601" s="103">
        <v>0</v>
      </c>
      <c r="Z601" s="103">
        <v>0</v>
      </c>
      <c r="AA601" s="105">
        <v>0</v>
      </c>
      <c r="AB601" s="106">
        <v>0</v>
      </c>
      <c r="AC601" s="105">
        <v>0</v>
      </c>
      <c r="AD601" s="104">
        <v>0</v>
      </c>
      <c r="AE601" s="104">
        <v>0</v>
      </c>
      <c r="AF601" s="107">
        <v>46265</v>
      </c>
    </row>
    <row r="602" spans="1:32" x14ac:dyDescent="0.25">
      <c r="A602" s="90">
        <v>1014</v>
      </c>
      <c r="B602" s="91" t="s">
        <v>132</v>
      </c>
      <c r="C602" s="29">
        <v>10140191</v>
      </c>
      <c r="D602" s="92" t="s">
        <v>838</v>
      </c>
      <c r="E602" s="93" t="s">
        <v>275</v>
      </c>
      <c r="F602" s="93" t="s">
        <v>231</v>
      </c>
      <c r="G602" s="109">
        <v>288.59999999999997</v>
      </c>
      <c r="H602" s="109">
        <v>11489.96</v>
      </c>
      <c r="I602" s="95">
        <v>0</v>
      </c>
      <c r="J602" s="95">
        <v>0</v>
      </c>
      <c r="K602" s="95">
        <v>0</v>
      </c>
      <c r="L602" s="95">
        <v>0</v>
      </c>
      <c r="M602" s="96">
        <v>0</v>
      </c>
      <c r="N602" s="97">
        <v>0</v>
      </c>
      <c r="O602" s="98">
        <v>0</v>
      </c>
      <c r="P602" s="33"/>
      <c r="Q602" s="99" t="s">
        <v>1198</v>
      </c>
      <c r="R602" s="100"/>
      <c r="S602" s="101">
        <v>0</v>
      </c>
      <c r="T602" s="102">
        <v>0</v>
      </c>
      <c r="U602" s="103">
        <v>0</v>
      </c>
      <c r="V602" s="103">
        <v>0</v>
      </c>
      <c r="W602" s="104">
        <v>0</v>
      </c>
      <c r="X602" s="19"/>
      <c r="Y602" s="103">
        <v>0</v>
      </c>
      <c r="Z602" s="103">
        <v>0</v>
      </c>
      <c r="AA602" s="105">
        <v>0</v>
      </c>
      <c r="AB602" s="106">
        <v>0</v>
      </c>
      <c r="AC602" s="105">
        <v>0</v>
      </c>
      <c r="AD602" s="104">
        <v>0</v>
      </c>
      <c r="AE602" s="104">
        <v>0</v>
      </c>
      <c r="AF602" s="107">
        <v>46265</v>
      </c>
    </row>
    <row r="603" spans="1:32" x14ac:dyDescent="0.25">
      <c r="A603" s="90">
        <v>1014</v>
      </c>
      <c r="B603" s="91" t="s">
        <v>132</v>
      </c>
      <c r="C603" s="29">
        <v>10140194</v>
      </c>
      <c r="D603" s="92" t="s">
        <v>839</v>
      </c>
      <c r="E603" s="93" t="s">
        <v>270</v>
      </c>
      <c r="F603" s="93" t="s">
        <v>230</v>
      </c>
      <c r="G603" s="109">
        <v>355.1</v>
      </c>
      <c r="H603" s="109">
        <v>14488.530000000002</v>
      </c>
      <c r="I603" s="95">
        <v>0</v>
      </c>
      <c r="J603" s="95">
        <v>0</v>
      </c>
      <c r="K603" s="95">
        <v>0</v>
      </c>
      <c r="L603" s="95">
        <v>0</v>
      </c>
      <c r="M603" s="96">
        <v>21</v>
      </c>
      <c r="N603" s="97">
        <v>0</v>
      </c>
      <c r="O603" s="98">
        <v>0</v>
      </c>
      <c r="P603" s="33"/>
      <c r="Q603" s="99" t="s">
        <v>1198</v>
      </c>
      <c r="R603" s="100"/>
      <c r="S603" s="101">
        <v>1.3907553078195834E-3</v>
      </c>
      <c r="T603" s="102">
        <v>2</v>
      </c>
      <c r="U603" s="103">
        <v>0</v>
      </c>
      <c r="V603" s="103">
        <v>0</v>
      </c>
      <c r="W603" s="104">
        <v>0</v>
      </c>
      <c r="X603" s="19"/>
      <c r="Y603" s="103">
        <v>0</v>
      </c>
      <c r="Z603" s="103">
        <v>0</v>
      </c>
      <c r="AA603" s="105">
        <v>0</v>
      </c>
      <c r="AB603" s="106">
        <v>0</v>
      </c>
      <c r="AC603" s="105">
        <v>0</v>
      </c>
      <c r="AD603" s="104">
        <v>0</v>
      </c>
      <c r="AE603" s="104">
        <v>0</v>
      </c>
      <c r="AF603" s="107">
        <v>46265</v>
      </c>
    </row>
    <row r="604" spans="1:32" x14ac:dyDescent="0.25">
      <c r="A604" s="90">
        <v>1014</v>
      </c>
      <c r="B604" s="91" t="s">
        <v>132</v>
      </c>
      <c r="C604" s="29">
        <v>10140196</v>
      </c>
      <c r="D604" s="92" t="s">
        <v>840</v>
      </c>
      <c r="E604" s="93" t="s">
        <v>275</v>
      </c>
      <c r="F604" s="93" t="s">
        <v>231</v>
      </c>
      <c r="G604" s="109">
        <v>371.4</v>
      </c>
      <c r="H604" s="109">
        <v>14780.039999999999</v>
      </c>
      <c r="I604" s="95">
        <v>0</v>
      </c>
      <c r="J604" s="95">
        <v>0</v>
      </c>
      <c r="K604" s="95">
        <v>0</v>
      </c>
      <c r="L604" s="95">
        <v>0</v>
      </c>
      <c r="M604" s="96">
        <v>0</v>
      </c>
      <c r="N604" s="97">
        <v>0</v>
      </c>
      <c r="O604" s="98">
        <v>0</v>
      </c>
      <c r="P604" s="33"/>
      <c r="Q604" s="99" t="s">
        <v>1198</v>
      </c>
      <c r="R604" s="100"/>
      <c r="S604" s="101">
        <v>0</v>
      </c>
      <c r="T604" s="102">
        <v>0</v>
      </c>
      <c r="U604" s="103">
        <v>0</v>
      </c>
      <c r="V604" s="103">
        <v>0</v>
      </c>
      <c r="W604" s="104">
        <v>0</v>
      </c>
      <c r="X604" s="19"/>
      <c r="Y604" s="103">
        <v>0</v>
      </c>
      <c r="Z604" s="103">
        <v>0</v>
      </c>
      <c r="AA604" s="105">
        <v>0</v>
      </c>
      <c r="AB604" s="106">
        <v>0</v>
      </c>
      <c r="AC604" s="105">
        <v>0</v>
      </c>
      <c r="AD604" s="104">
        <v>0</v>
      </c>
      <c r="AE604" s="104">
        <v>0</v>
      </c>
      <c r="AF604" s="107">
        <v>46265</v>
      </c>
    </row>
    <row r="605" spans="1:32" x14ac:dyDescent="0.25">
      <c r="A605" s="90">
        <v>1014</v>
      </c>
      <c r="B605" s="91" t="s">
        <v>132</v>
      </c>
      <c r="C605" s="29">
        <v>10140197</v>
      </c>
      <c r="D605" s="92" t="s">
        <v>841</v>
      </c>
      <c r="E605" s="93" t="s">
        <v>270</v>
      </c>
      <c r="F605" s="93" t="s">
        <v>230</v>
      </c>
      <c r="G605" s="109">
        <v>140</v>
      </c>
      <c r="H605" s="109">
        <v>6188.57</v>
      </c>
      <c r="I605" s="95">
        <v>0</v>
      </c>
      <c r="J605" s="95">
        <v>0</v>
      </c>
      <c r="K605" s="95">
        <v>0</v>
      </c>
      <c r="L605" s="95">
        <v>0</v>
      </c>
      <c r="M605" s="96">
        <v>15</v>
      </c>
      <c r="N605" s="97">
        <v>0</v>
      </c>
      <c r="O605" s="98">
        <v>0</v>
      </c>
      <c r="P605" s="33"/>
      <c r="Q605" s="99" t="s">
        <v>1198</v>
      </c>
      <c r="R605" s="100"/>
      <c r="S605" s="101">
        <v>2.2913209352078724E-3</v>
      </c>
      <c r="T605" s="102">
        <v>1</v>
      </c>
      <c r="U605" s="103">
        <v>0</v>
      </c>
      <c r="V605" s="103">
        <v>0</v>
      </c>
      <c r="W605" s="104">
        <v>0</v>
      </c>
      <c r="X605" s="19"/>
      <c r="Y605" s="103">
        <v>0</v>
      </c>
      <c r="Z605" s="103">
        <v>0</v>
      </c>
      <c r="AA605" s="105">
        <v>0</v>
      </c>
      <c r="AB605" s="106">
        <v>0</v>
      </c>
      <c r="AC605" s="105">
        <v>0</v>
      </c>
      <c r="AD605" s="104">
        <v>0</v>
      </c>
      <c r="AE605" s="104">
        <v>0</v>
      </c>
      <c r="AF605" s="107">
        <v>46265</v>
      </c>
    </row>
    <row r="606" spans="1:32" x14ac:dyDescent="0.25">
      <c r="A606" s="90">
        <v>1014</v>
      </c>
      <c r="B606" s="91" t="s">
        <v>132</v>
      </c>
      <c r="C606" s="29">
        <v>10140198</v>
      </c>
      <c r="D606" s="92" t="s">
        <v>842</v>
      </c>
      <c r="E606" s="93" t="s">
        <v>275</v>
      </c>
      <c r="F606" s="93" t="s">
        <v>231</v>
      </c>
      <c r="G606" s="109">
        <v>412.8</v>
      </c>
      <c r="H606" s="109">
        <v>17842.54</v>
      </c>
      <c r="I606" s="95">
        <v>0</v>
      </c>
      <c r="J606" s="95">
        <v>0</v>
      </c>
      <c r="K606" s="95">
        <v>0</v>
      </c>
      <c r="L606" s="95">
        <v>0</v>
      </c>
      <c r="M606" s="96">
        <v>0</v>
      </c>
      <c r="N606" s="97">
        <v>0</v>
      </c>
      <c r="O606" s="98">
        <v>0</v>
      </c>
      <c r="P606" s="33"/>
      <c r="Q606" s="99" t="s">
        <v>1198</v>
      </c>
      <c r="R606" s="100"/>
      <c r="S606" s="101">
        <v>0</v>
      </c>
      <c r="T606" s="102">
        <v>0</v>
      </c>
      <c r="U606" s="103">
        <v>0</v>
      </c>
      <c r="V606" s="103">
        <v>0</v>
      </c>
      <c r="W606" s="104">
        <v>0</v>
      </c>
      <c r="X606" s="19"/>
      <c r="Y606" s="103">
        <v>0</v>
      </c>
      <c r="Z606" s="103">
        <v>0</v>
      </c>
      <c r="AA606" s="105">
        <v>0</v>
      </c>
      <c r="AB606" s="106">
        <v>0</v>
      </c>
      <c r="AC606" s="105">
        <v>0</v>
      </c>
      <c r="AD606" s="104">
        <v>0</v>
      </c>
      <c r="AE606" s="104">
        <v>0</v>
      </c>
      <c r="AF606" s="107">
        <v>46265</v>
      </c>
    </row>
    <row r="607" spans="1:32" x14ac:dyDescent="0.25">
      <c r="A607" s="90">
        <v>1014</v>
      </c>
      <c r="B607" s="91" t="s">
        <v>132</v>
      </c>
      <c r="C607" s="29">
        <v>10140201</v>
      </c>
      <c r="D607" s="92" t="s">
        <v>843</v>
      </c>
      <c r="E607" s="93" t="s">
        <v>275</v>
      </c>
      <c r="F607" s="93" t="s">
        <v>231</v>
      </c>
      <c r="G607" s="109">
        <v>117.69999999999999</v>
      </c>
      <c r="H607" s="109">
        <v>4511.92</v>
      </c>
      <c r="I607" s="95">
        <v>0</v>
      </c>
      <c r="J607" s="95">
        <v>0</v>
      </c>
      <c r="K607" s="95">
        <v>0</v>
      </c>
      <c r="L607" s="95">
        <v>0</v>
      </c>
      <c r="M607" s="96">
        <v>0</v>
      </c>
      <c r="N607" s="97">
        <v>0</v>
      </c>
      <c r="O607" s="98">
        <v>0</v>
      </c>
      <c r="P607" s="33"/>
      <c r="Q607" s="99" t="s">
        <v>1198</v>
      </c>
      <c r="R607" s="100"/>
      <c r="S607" s="101">
        <v>0</v>
      </c>
      <c r="T607" s="102">
        <v>0</v>
      </c>
      <c r="U607" s="103">
        <v>0</v>
      </c>
      <c r="V607" s="103">
        <v>0</v>
      </c>
      <c r="W607" s="104">
        <v>0</v>
      </c>
      <c r="X607" s="19"/>
      <c r="Y607" s="103">
        <v>0</v>
      </c>
      <c r="Z607" s="103">
        <v>0</v>
      </c>
      <c r="AA607" s="105">
        <v>0</v>
      </c>
      <c r="AB607" s="106">
        <v>0</v>
      </c>
      <c r="AC607" s="105">
        <v>0</v>
      </c>
      <c r="AD607" s="104">
        <v>0</v>
      </c>
      <c r="AE607" s="104">
        <v>0</v>
      </c>
      <c r="AF607" s="107">
        <v>46265</v>
      </c>
    </row>
    <row r="608" spans="1:32" x14ac:dyDescent="0.25">
      <c r="A608" s="90">
        <v>1014</v>
      </c>
      <c r="B608" s="91" t="s">
        <v>132</v>
      </c>
      <c r="C608" s="29">
        <v>10140203</v>
      </c>
      <c r="D608" s="92" t="s">
        <v>844</v>
      </c>
      <c r="E608" s="93" t="s">
        <v>275</v>
      </c>
      <c r="F608" s="93" t="s">
        <v>231</v>
      </c>
      <c r="G608" s="109">
        <v>480.5</v>
      </c>
      <c r="H608" s="109">
        <v>17898.63</v>
      </c>
      <c r="I608" s="95">
        <v>0</v>
      </c>
      <c r="J608" s="95">
        <v>0</v>
      </c>
      <c r="K608" s="95">
        <v>0</v>
      </c>
      <c r="L608" s="95">
        <v>0</v>
      </c>
      <c r="M608" s="96">
        <v>0</v>
      </c>
      <c r="N608" s="97">
        <v>0</v>
      </c>
      <c r="O608" s="98">
        <v>0</v>
      </c>
      <c r="P608" s="33"/>
      <c r="Q608" s="99" t="s">
        <v>1198</v>
      </c>
      <c r="R608" s="100"/>
      <c r="S608" s="101">
        <v>0</v>
      </c>
      <c r="T608" s="102">
        <v>0</v>
      </c>
      <c r="U608" s="103">
        <v>0</v>
      </c>
      <c r="V608" s="103">
        <v>0</v>
      </c>
      <c r="W608" s="104">
        <v>0</v>
      </c>
      <c r="X608" s="19"/>
      <c r="Y608" s="103">
        <v>0</v>
      </c>
      <c r="Z608" s="103">
        <v>0</v>
      </c>
      <c r="AA608" s="105">
        <v>0</v>
      </c>
      <c r="AB608" s="106">
        <v>0</v>
      </c>
      <c r="AC608" s="105">
        <v>0</v>
      </c>
      <c r="AD608" s="104">
        <v>0</v>
      </c>
      <c r="AE608" s="104">
        <v>0</v>
      </c>
      <c r="AF608" s="107">
        <v>46265</v>
      </c>
    </row>
    <row r="609" spans="1:32" x14ac:dyDescent="0.25">
      <c r="A609" s="90">
        <v>1014</v>
      </c>
      <c r="B609" s="91" t="s">
        <v>132</v>
      </c>
      <c r="C609" s="29">
        <v>10140207</v>
      </c>
      <c r="D609" s="92" t="s">
        <v>845</v>
      </c>
      <c r="E609" s="93" t="s">
        <v>275</v>
      </c>
      <c r="F609" s="93" t="s">
        <v>231</v>
      </c>
      <c r="G609" s="109">
        <v>426.6</v>
      </c>
      <c r="H609" s="109">
        <v>15236.28</v>
      </c>
      <c r="I609" s="95">
        <v>0</v>
      </c>
      <c r="J609" s="95">
        <v>0</v>
      </c>
      <c r="K609" s="95">
        <v>0</v>
      </c>
      <c r="L609" s="95">
        <v>0</v>
      </c>
      <c r="M609" s="96">
        <v>0</v>
      </c>
      <c r="N609" s="97">
        <v>0</v>
      </c>
      <c r="O609" s="98">
        <v>0</v>
      </c>
      <c r="P609" s="33"/>
      <c r="Q609" s="99" t="s">
        <v>1198</v>
      </c>
      <c r="R609" s="100"/>
      <c r="S609" s="101">
        <v>0</v>
      </c>
      <c r="T609" s="102">
        <v>0</v>
      </c>
      <c r="U609" s="103">
        <v>0</v>
      </c>
      <c r="V609" s="103">
        <v>0</v>
      </c>
      <c r="W609" s="104">
        <v>0</v>
      </c>
      <c r="X609" s="19"/>
      <c r="Y609" s="103">
        <v>0</v>
      </c>
      <c r="Z609" s="103">
        <v>0</v>
      </c>
      <c r="AA609" s="105">
        <v>0</v>
      </c>
      <c r="AB609" s="106">
        <v>0</v>
      </c>
      <c r="AC609" s="105">
        <v>0</v>
      </c>
      <c r="AD609" s="104">
        <v>0</v>
      </c>
      <c r="AE609" s="104">
        <v>0</v>
      </c>
      <c r="AF609" s="107">
        <v>46265</v>
      </c>
    </row>
    <row r="610" spans="1:32" x14ac:dyDescent="0.25">
      <c r="A610" s="90">
        <v>1014</v>
      </c>
      <c r="B610" s="91" t="s">
        <v>132</v>
      </c>
      <c r="C610" s="29">
        <v>10140208</v>
      </c>
      <c r="D610" s="92" t="s">
        <v>846</v>
      </c>
      <c r="E610" s="93" t="s">
        <v>270</v>
      </c>
      <c r="F610" s="93" t="s">
        <v>230</v>
      </c>
      <c r="G610" s="109">
        <v>805.5</v>
      </c>
      <c r="H610" s="109">
        <v>32748.04</v>
      </c>
      <c r="I610" s="95">
        <v>0</v>
      </c>
      <c r="J610" s="95">
        <v>0</v>
      </c>
      <c r="K610" s="95">
        <v>0</v>
      </c>
      <c r="L610" s="95">
        <v>0</v>
      </c>
      <c r="M610" s="96">
        <v>56</v>
      </c>
      <c r="N610" s="97">
        <v>0</v>
      </c>
      <c r="O610" s="98">
        <v>1</v>
      </c>
      <c r="P610" s="33"/>
      <c r="Q610" s="99" t="s">
        <v>1198</v>
      </c>
      <c r="R610" s="100"/>
      <c r="S610" s="101">
        <v>1.6904828502713623E-3</v>
      </c>
      <c r="T610" s="102">
        <v>2</v>
      </c>
      <c r="U610" s="103">
        <v>0</v>
      </c>
      <c r="V610" s="103">
        <v>0</v>
      </c>
      <c r="W610" s="104">
        <v>0</v>
      </c>
      <c r="X610" s="19"/>
      <c r="Y610" s="103">
        <v>0</v>
      </c>
      <c r="Z610" s="103">
        <v>0</v>
      </c>
      <c r="AA610" s="105">
        <v>0</v>
      </c>
      <c r="AB610" s="106">
        <v>0</v>
      </c>
      <c r="AC610" s="105">
        <v>0</v>
      </c>
      <c r="AD610" s="104">
        <v>0</v>
      </c>
      <c r="AE610" s="104">
        <v>0</v>
      </c>
      <c r="AF610" s="107">
        <v>46265</v>
      </c>
    </row>
    <row r="611" spans="1:32" x14ac:dyDescent="0.25">
      <c r="A611" s="90">
        <v>1002</v>
      </c>
      <c r="B611" s="91" t="s">
        <v>222</v>
      </c>
      <c r="C611" s="29">
        <v>10180001</v>
      </c>
      <c r="D611" s="92" t="s">
        <v>847</v>
      </c>
      <c r="E611" s="93" t="s">
        <v>270</v>
      </c>
      <c r="F611" s="93" t="s">
        <v>231</v>
      </c>
      <c r="G611" s="109">
        <v>608.29999999999995</v>
      </c>
      <c r="H611" s="109">
        <v>25725.31</v>
      </c>
      <c r="I611" s="95">
        <v>0</v>
      </c>
      <c r="J611" s="95">
        <v>0</v>
      </c>
      <c r="K611" s="95">
        <v>0</v>
      </c>
      <c r="L611" s="95">
        <v>0</v>
      </c>
      <c r="M611" s="96">
        <v>0</v>
      </c>
      <c r="N611" s="97">
        <v>0</v>
      </c>
      <c r="O611" s="98">
        <v>0</v>
      </c>
      <c r="P611" s="33"/>
      <c r="Q611" s="99" t="s">
        <v>1198</v>
      </c>
      <c r="R611" s="100"/>
      <c r="S611" s="101">
        <v>0</v>
      </c>
      <c r="T611" s="102">
        <v>0</v>
      </c>
      <c r="U611" s="103">
        <v>0</v>
      </c>
      <c r="V611" s="103">
        <v>0</v>
      </c>
      <c r="W611" s="104">
        <v>0</v>
      </c>
      <c r="X611" s="19"/>
      <c r="Y611" s="103">
        <v>0</v>
      </c>
      <c r="Z611" s="103">
        <v>0</v>
      </c>
      <c r="AA611" s="105">
        <v>0</v>
      </c>
      <c r="AB611" s="106">
        <v>0</v>
      </c>
      <c r="AC611" s="105">
        <v>0</v>
      </c>
      <c r="AD611" s="104">
        <v>0</v>
      </c>
      <c r="AE611" s="104">
        <v>0</v>
      </c>
      <c r="AF611" s="107">
        <v>46265</v>
      </c>
    </row>
    <row r="612" spans="1:32" x14ac:dyDescent="0.25">
      <c r="A612" s="90">
        <v>1002</v>
      </c>
      <c r="B612" s="91" t="s">
        <v>222</v>
      </c>
      <c r="C612" s="29">
        <v>10200001</v>
      </c>
      <c r="D612" s="92" t="s">
        <v>848</v>
      </c>
      <c r="E612" s="93" t="s">
        <v>270</v>
      </c>
      <c r="F612" s="93" t="s">
        <v>230</v>
      </c>
      <c r="G612" s="109">
        <v>679.1</v>
      </c>
      <c r="H612" s="109">
        <v>25581.7</v>
      </c>
      <c r="I612" s="95">
        <v>0</v>
      </c>
      <c r="J612" s="95">
        <v>0</v>
      </c>
      <c r="K612" s="95">
        <v>0</v>
      </c>
      <c r="L612" s="95">
        <v>0</v>
      </c>
      <c r="M612" s="96">
        <v>0</v>
      </c>
      <c r="N612" s="97">
        <v>0</v>
      </c>
      <c r="O612" s="98">
        <v>0</v>
      </c>
      <c r="P612" s="33"/>
      <c r="Q612" s="99" t="s">
        <v>1198</v>
      </c>
      <c r="R612" s="100"/>
      <c r="S612" s="101">
        <v>0</v>
      </c>
      <c r="T612" s="102">
        <v>1</v>
      </c>
      <c r="U612" s="103">
        <v>0</v>
      </c>
      <c r="V612" s="103">
        <v>0</v>
      </c>
      <c r="W612" s="104">
        <v>0</v>
      </c>
      <c r="X612" s="19"/>
      <c r="Y612" s="103">
        <v>0</v>
      </c>
      <c r="Z612" s="103">
        <v>0</v>
      </c>
      <c r="AA612" s="105">
        <v>0</v>
      </c>
      <c r="AB612" s="106">
        <v>0</v>
      </c>
      <c r="AC612" s="105">
        <v>0</v>
      </c>
      <c r="AD612" s="104">
        <v>0</v>
      </c>
      <c r="AE612" s="104">
        <v>0</v>
      </c>
      <c r="AF612" s="107">
        <v>46265</v>
      </c>
    </row>
    <row r="613" spans="1:32" x14ac:dyDescent="0.25">
      <c r="A613" s="90">
        <v>1003</v>
      </c>
      <c r="B613" s="91" t="s">
        <v>161</v>
      </c>
      <c r="C613" s="29">
        <v>10240001</v>
      </c>
      <c r="D613" s="92" t="s">
        <v>849</v>
      </c>
      <c r="E613" s="93" t="s">
        <v>270</v>
      </c>
      <c r="F613" s="93" t="s">
        <v>230</v>
      </c>
      <c r="G613" s="109">
        <v>1858.3000000000002</v>
      </c>
      <c r="H613" s="109">
        <v>73250.81</v>
      </c>
      <c r="I613" s="95">
        <v>0</v>
      </c>
      <c r="J613" s="95">
        <v>0</v>
      </c>
      <c r="K613" s="95">
        <v>0</v>
      </c>
      <c r="L613" s="95">
        <v>0</v>
      </c>
      <c r="M613" s="96">
        <v>168</v>
      </c>
      <c r="N613" s="97">
        <v>0</v>
      </c>
      <c r="O613" s="98">
        <v>2</v>
      </c>
      <c r="P613" s="33"/>
      <c r="Q613" s="99" t="s">
        <v>1198</v>
      </c>
      <c r="R613" s="100"/>
      <c r="S613" s="101">
        <v>2.2683708207459209E-3</v>
      </c>
      <c r="T613" s="102">
        <v>72</v>
      </c>
      <c r="U613" s="103">
        <v>0</v>
      </c>
      <c r="V613" s="103">
        <v>0</v>
      </c>
      <c r="W613" s="104">
        <v>0</v>
      </c>
      <c r="X613" s="19"/>
      <c r="Y613" s="103">
        <v>0</v>
      </c>
      <c r="Z613" s="103">
        <v>0</v>
      </c>
      <c r="AA613" s="105">
        <v>0</v>
      </c>
      <c r="AB613" s="106">
        <v>0</v>
      </c>
      <c r="AC613" s="105">
        <v>0</v>
      </c>
      <c r="AD613" s="104">
        <v>0</v>
      </c>
      <c r="AE613" s="104">
        <v>0</v>
      </c>
      <c r="AF613" s="107">
        <v>46265</v>
      </c>
    </row>
    <row r="614" spans="1:32" x14ac:dyDescent="0.25">
      <c r="A614" s="90">
        <v>1003</v>
      </c>
      <c r="B614" s="91" t="s">
        <v>161</v>
      </c>
      <c r="C614" s="29">
        <v>10250001</v>
      </c>
      <c r="D614" s="92" t="s">
        <v>850</v>
      </c>
      <c r="E614" s="93" t="s">
        <v>270</v>
      </c>
      <c r="F614" s="93" t="s">
        <v>230</v>
      </c>
      <c r="G614" s="109">
        <v>1684.9500000000003</v>
      </c>
      <c r="H614" s="109">
        <v>77114.39</v>
      </c>
      <c r="I614" s="95">
        <v>0</v>
      </c>
      <c r="J614" s="95">
        <v>0</v>
      </c>
      <c r="K614" s="95">
        <v>0</v>
      </c>
      <c r="L614" s="95">
        <v>0</v>
      </c>
      <c r="M614" s="96">
        <v>0</v>
      </c>
      <c r="N614" s="97">
        <v>0</v>
      </c>
      <c r="O614" s="98">
        <v>0</v>
      </c>
      <c r="P614" s="33"/>
      <c r="Q614" s="99" t="s">
        <v>1198</v>
      </c>
      <c r="R614" s="100"/>
      <c r="S614" s="101">
        <v>-1.4238587635845114E-3</v>
      </c>
      <c r="T614" s="102">
        <v>17</v>
      </c>
      <c r="U614" s="103">
        <v>0</v>
      </c>
      <c r="V614" s="103">
        <v>0</v>
      </c>
      <c r="W614" s="104">
        <v>0</v>
      </c>
      <c r="X614" s="19"/>
      <c r="Y614" s="103">
        <v>0</v>
      </c>
      <c r="Z614" s="103">
        <v>0</v>
      </c>
      <c r="AA614" s="105">
        <v>0</v>
      </c>
      <c r="AB614" s="106">
        <v>0</v>
      </c>
      <c r="AC614" s="105">
        <v>0</v>
      </c>
      <c r="AD614" s="104">
        <v>0</v>
      </c>
      <c r="AE614" s="104">
        <v>0</v>
      </c>
      <c r="AF614" s="107">
        <v>46265</v>
      </c>
    </row>
    <row r="615" spans="1:32" x14ac:dyDescent="0.25">
      <c r="A615" s="90">
        <v>1003</v>
      </c>
      <c r="B615" s="91" t="s">
        <v>161</v>
      </c>
      <c r="C615" s="29">
        <v>10260001</v>
      </c>
      <c r="D615" s="92" t="s">
        <v>851</v>
      </c>
      <c r="E615" s="93" t="s">
        <v>270</v>
      </c>
      <c r="F615" s="93" t="s">
        <v>230</v>
      </c>
      <c r="G615" s="109">
        <v>846.9</v>
      </c>
      <c r="H615" s="109">
        <v>32352.879999999997</v>
      </c>
      <c r="I615" s="95">
        <v>0</v>
      </c>
      <c r="J615" s="95">
        <v>1000</v>
      </c>
      <c r="K615" s="95">
        <v>0</v>
      </c>
      <c r="L615" s="95">
        <v>0</v>
      </c>
      <c r="M615" s="96">
        <v>0</v>
      </c>
      <c r="N615" s="97" t="s">
        <v>331</v>
      </c>
      <c r="O615" s="98">
        <v>0</v>
      </c>
      <c r="P615" s="33" t="s">
        <v>332</v>
      </c>
      <c r="Q615" s="99" t="s">
        <v>1198</v>
      </c>
      <c r="R615" s="100"/>
      <c r="S615" s="101">
        <v>-3.6480523526808126E-2</v>
      </c>
      <c r="T615" s="102">
        <v>14</v>
      </c>
      <c r="U615" s="103">
        <v>30000</v>
      </c>
      <c r="V615" s="103">
        <v>1000</v>
      </c>
      <c r="W615" s="104">
        <v>29000</v>
      </c>
      <c r="X615" s="19"/>
      <c r="Y615" s="103">
        <v>0</v>
      </c>
      <c r="Z615" s="103">
        <v>0</v>
      </c>
      <c r="AA615" s="105">
        <v>0</v>
      </c>
      <c r="AB615" s="106">
        <v>0</v>
      </c>
      <c r="AC615" s="105">
        <v>0</v>
      </c>
      <c r="AD615" s="104">
        <v>0</v>
      </c>
      <c r="AE615" s="104">
        <v>0</v>
      </c>
      <c r="AF615" s="107">
        <v>46265</v>
      </c>
    </row>
    <row r="616" spans="1:32" x14ac:dyDescent="0.25">
      <c r="A616" s="90">
        <v>1006</v>
      </c>
      <c r="B616" s="91" t="s">
        <v>1187</v>
      </c>
      <c r="C616" s="29">
        <v>10290001</v>
      </c>
      <c r="D616" s="92" t="s">
        <v>852</v>
      </c>
      <c r="E616" s="93" t="s">
        <v>270</v>
      </c>
      <c r="F616" s="93" t="s">
        <v>230</v>
      </c>
      <c r="G616" s="109">
        <v>1461.2999999999997</v>
      </c>
      <c r="H616" s="109">
        <v>54663.83</v>
      </c>
      <c r="I616" s="95">
        <v>0</v>
      </c>
      <c r="J616" s="95">
        <v>0</v>
      </c>
      <c r="K616" s="95">
        <v>0</v>
      </c>
      <c r="L616" s="95">
        <v>0</v>
      </c>
      <c r="M616" s="96">
        <v>1060</v>
      </c>
      <c r="N616" s="97">
        <v>0</v>
      </c>
      <c r="O616" s="98">
        <v>1</v>
      </c>
      <c r="P616" s="33"/>
      <c r="Q616" s="99" t="s">
        <v>1198</v>
      </c>
      <c r="R616" s="100"/>
      <c r="S616" s="101">
        <v>1.9371310060052438E-2</v>
      </c>
      <c r="T616" s="102">
        <v>13</v>
      </c>
      <c r="U616" s="103">
        <v>0</v>
      </c>
      <c r="V616" s="103">
        <v>0</v>
      </c>
      <c r="W616" s="104">
        <v>0</v>
      </c>
      <c r="X616" s="19"/>
      <c r="Y616" s="103">
        <v>0</v>
      </c>
      <c r="Z616" s="103">
        <v>0</v>
      </c>
      <c r="AA616" s="105">
        <v>0</v>
      </c>
      <c r="AB616" s="106">
        <v>0</v>
      </c>
      <c r="AC616" s="105">
        <v>0</v>
      </c>
      <c r="AD616" s="104">
        <v>0</v>
      </c>
      <c r="AE616" s="104">
        <v>0</v>
      </c>
      <c r="AF616" s="107">
        <v>46265</v>
      </c>
    </row>
    <row r="617" spans="1:32" x14ac:dyDescent="0.25">
      <c r="A617" s="90">
        <v>1006</v>
      </c>
      <c r="B617" s="91" t="s">
        <v>1187</v>
      </c>
      <c r="C617" s="29">
        <v>10300001</v>
      </c>
      <c r="D617" s="92" t="s">
        <v>853</v>
      </c>
      <c r="E617" s="93" t="s">
        <v>270</v>
      </c>
      <c r="F617" s="93" t="s">
        <v>231</v>
      </c>
      <c r="G617" s="109">
        <v>1199</v>
      </c>
      <c r="H617" s="109">
        <v>52395.14</v>
      </c>
      <c r="I617" s="95">
        <v>0</v>
      </c>
      <c r="J617" s="95">
        <v>0</v>
      </c>
      <c r="K617" s="95">
        <v>0</v>
      </c>
      <c r="L617" s="95">
        <v>0</v>
      </c>
      <c r="M617" s="96">
        <v>0</v>
      </c>
      <c r="N617" s="97">
        <v>0</v>
      </c>
      <c r="O617" s="98">
        <v>0</v>
      </c>
      <c r="P617" s="33"/>
      <c r="Q617" s="99" t="s">
        <v>1198</v>
      </c>
      <c r="R617" s="100"/>
      <c r="S617" s="101">
        <v>0</v>
      </c>
      <c r="T617" s="102">
        <v>0</v>
      </c>
      <c r="U617" s="103">
        <v>0</v>
      </c>
      <c r="V617" s="103">
        <v>0</v>
      </c>
      <c r="W617" s="104">
        <v>0</v>
      </c>
      <c r="X617" s="19"/>
      <c r="Y617" s="103">
        <v>0</v>
      </c>
      <c r="Z617" s="103">
        <v>0</v>
      </c>
      <c r="AA617" s="105">
        <v>0</v>
      </c>
      <c r="AB617" s="106">
        <v>0</v>
      </c>
      <c r="AC617" s="105">
        <v>0</v>
      </c>
      <c r="AD617" s="104">
        <v>0</v>
      </c>
      <c r="AE617" s="104">
        <v>0</v>
      </c>
      <c r="AF617" s="107">
        <v>46265</v>
      </c>
    </row>
    <row r="618" spans="1:32" x14ac:dyDescent="0.25">
      <c r="A618" s="90">
        <v>1006</v>
      </c>
      <c r="B618" s="91" t="s">
        <v>1187</v>
      </c>
      <c r="C618" s="29">
        <v>10310001</v>
      </c>
      <c r="D618" s="92" t="s">
        <v>854</v>
      </c>
      <c r="E618" s="93" t="s">
        <v>270</v>
      </c>
      <c r="F618" s="93" t="s">
        <v>230</v>
      </c>
      <c r="G618" s="109">
        <v>619.5</v>
      </c>
      <c r="H618" s="109">
        <v>26235.929999999997</v>
      </c>
      <c r="I618" s="95">
        <v>0</v>
      </c>
      <c r="J618" s="95">
        <v>0</v>
      </c>
      <c r="K618" s="95">
        <v>0</v>
      </c>
      <c r="L618" s="95">
        <v>0</v>
      </c>
      <c r="M618" s="96">
        <v>371</v>
      </c>
      <c r="N618" s="97">
        <v>0</v>
      </c>
      <c r="O618" s="98">
        <v>-2</v>
      </c>
      <c r="P618" s="33"/>
      <c r="Q618" s="99" t="s">
        <v>1198</v>
      </c>
      <c r="R618" s="100"/>
      <c r="S618" s="101">
        <v>1.4201516774895836E-2</v>
      </c>
      <c r="T618" s="102">
        <v>12</v>
      </c>
      <c r="U618" s="103">
        <v>0</v>
      </c>
      <c r="V618" s="103">
        <v>0</v>
      </c>
      <c r="W618" s="104">
        <v>0</v>
      </c>
      <c r="X618" s="19"/>
      <c r="Y618" s="103">
        <v>0</v>
      </c>
      <c r="Z618" s="103">
        <v>0</v>
      </c>
      <c r="AA618" s="105">
        <v>0</v>
      </c>
      <c r="AB618" s="106">
        <v>0</v>
      </c>
      <c r="AC618" s="105">
        <v>0</v>
      </c>
      <c r="AD618" s="104">
        <v>0</v>
      </c>
      <c r="AE618" s="104">
        <v>0</v>
      </c>
      <c r="AF618" s="107">
        <v>46265</v>
      </c>
    </row>
    <row r="619" spans="1:32" x14ac:dyDescent="0.25">
      <c r="A619" s="90">
        <v>1006</v>
      </c>
      <c r="B619" s="91" t="s">
        <v>1187</v>
      </c>
      <c r="C619" s="29">
        <v>10320001</v>
      </c>
      <c r="D619" s="92" t="s">
        <v>855</v>
      </c>
      <c r="E619" s="93" t="s">
        <v>270</v>
      </c>
      <c r="F619" s="93" t="s">
        <v>231</v>
      </c>
      <c r="G619" s="109">
        <v>983.10000000000014</v>
      </c>
      <c r="H619" s="109">
        <v>39592.630000000005</v>
      </c>
      <c r="I619" s="95">
        <v>0</v>
      </c>
      <c r="J619" s="95">
        <v>0</v>
      </c>
      <c r="K619" s="95">
        <v>0</v>
      </c>
      <c r="L619" s="95">
        <v>0</v>
      </c>
      <c r="M619" s="96">
        <v>0</v>
      </c>
      <c r="N619" s="97">
        <v>0</v>
      </c>
      <c r="O619" s="98">
        <v>0</v>
      </c>
      <c r="P619" s="33"/>
      <c r="Q619" s="99" t="s">
        <v>1198</v>
      </c>
      <c r="R619" s="100"/>
      <c r="S619" s="101">
        <v>0</v>
      </c>
      <c r="T619" s="102">
        <v>0</v>
      </c>
      <c r="U619" s="103">
        <v>0</v>
      </c>
      <c r="V619" s="103">
        <v>0</v>
      </c>
      <c r="W619" s="104">
        <v>0</v>
      </c>
      <c r="X619" s="19"/>
      <c r="Y619" s="103">
        <v>0</v>
      </c>
      <c r="Z619" s="103">
        <v>0</v>
      </c>
      <c r="AA619" s="105">
        <v>0</v>
      </c>
      <c r="AB619" s="106">
        <v>0</v>
      </c>
      <c r="AC619" s="105">
        <v>0</v>
      </c>
      <c r="AD619" s="104">
        <v>0</v>
      </c>
      <c r="AE619" s="104">
        <v>0</v>
      </c>
      <c r="AF619" s="107">
        <v>46265</v>
      </c>
    </row>
    <row r="620" spans="1:32" x14ac:dyDescent="0.25">
      <c r="A620" s="90">
        <v>1006</v>
      </c>
      <c r="B620" s="91" t="s">
        <v>1187</v>
      </c>
      <c r="C620" s="29">
        <v>10330001</v>
      </c>
      <c r="D620" s="92" t="s">
        <v>856</v>
      </c>
      <c r="E620" s="93" t="s">
        <v>270</v>
      </c>
      <c r="F620" s="93" t="s">
        <v>231</v>
      </c>
      <c r="G620" s="109">
        <v>2529.8999999999996</v>
      </c>
      <c r="H620" s="109">
        <v>101171.37000000001</v>
      </c>
      <c r="I620" s="95">
        <v>0</v>
      </c>
      <c r="J620" s="95">
        <v>0</v>
      </c>
      <c r="K620" s="95">
        <v>0</v>
      </c>
      <c r="L620" s="95">
        <v>0</v>
      </c>
      <c r="M620" s="96">
        <v>0</v>
      </c>
      <c r="N620" s="97">
        <v>0</v>
      </c>
      <c r="O620" s="98">
        <v>0</v>
      </c>
      <c r="P620" s="33"/>
      <c r="Q620" s="99" t="s">
        <v>1198</v>
      </c>
      <c r="R620" s="100"/>
      <c r="S620" s="101">
        <v>0</v>
      </c>
      <c r="T620" s="102">
        <v>0</v>
      </c>
      <c r="U620" s="103">
        <v>0</v>
      </c>
      <c r="V620" s="103">
        <v>0</v>
      </c>
      <c r="W620" s="104">
        <v>0</v>
      </c>
      <c r="X620" s="19"/>
      <c r="Y620" s="103">
        <v>0</v>
      </c>
      <c r="Z620" s="103">
        <v>0</v>
      </c>
      <c r="AA620" s="105">
        <v>0</v>
      </c>
      <c r="AB620" s="106">
        <v>0</v>
      </c>
      <c r="AC620" s="105">
        <v>0</v>
      </c>
      <c r="AD620" s="104">
        <v>0</v>
      </c>
      <c r="AE620" s="104">
        <v>0</v>
      </c>
      <c r="AF620" s="107">
        <v>46265</v>
      </c>
    </row>
    <row r="621" spans="1:32" x14ac:dyDescent="0.25">
      <c r="A621" s="90">
        <v>1006</v>
      </c>
      <c r="B621" s="91" t="s">
        <v>1187</v>
      </c>
      <c r="C621" s="29">
        <v>10340001</v>
      </c>
      <c r="D621" s="92" t="s">
        <v>857</v>
      </c>
      <c r="E621" s="93" t="s">
        <v>270</v>
      </c>
      <c r="F621" s="93" t="s">
        <v>231</v>
      </c>
      <c r="G621" s="109">
        <v>1201.2</v>
      </c>
      <c r="H621" s="109">
        <v>46622.429999999993</v>
      </c>
      <c r="I621" s="95">
        <v>0</v>
      </c>
      <c r="J621" s="95">
        <v>0</v>
      </c>
      <c r="K621" s="95">
        <v>0</v>
      </c>
      <c r="L621" s="95">
        <v>0</v>
      </c>
      <c r="M621" s="96">
        <v>0</v>
      </c>
      <c r="N621" s="97">
        <v>0</v>
      </c>
      <c r="O621" s="98">
        <v>0</v>
      </c>
      <c r="P621" s="33"/>
      <c r="Q621" s="99" t="s">
        <v>1198</v>
      </c>
      <c r="R621" s="100"/>
      <c r="S621" s="101">
        <v>0</v>
      </c>
      <c r="T621" s="102">
        <v>0</v>
      </c>
      <c r="U621" s="103">
        <v>0</v>
      </c>
      <c r="V621" s="103">
        <v>0</v>
      </c>
      <c r="W621" s="104">
        <v>0</v>
      </c>
      <c r="X621" s="19"/>
      <c r="Y621" s="103">
        <v>0</v>
      </c>
      <c r="Z621" s="103">
        <v>0</v>
      </c>
      <c r="AA621" s="105">
        <v>0</v>
      </c>
      <c r="AB621" s="106">
        <v>0</v>
      </c>
      <c r="AC621" s="105">
        <v>0</v>
      </c>
      <c r="AD621" s="104">
        <v>0</v>
      </c>
      <c r="AE621" s="104">
        <v>0</v>
      </c>
      <c r="AF621" s="107">
        <v>46265</v>
      </c>
    </row>
    <row r="622" spans="1:32" x14ac:dyDescent="0.25">
      <c r="A622" s="90">
        <v>1006</v>
      </c>
      <c r="B622" s="91" t="s">
        <v>1187</v>
      </c>
      <c r="C622" s="29">
        <v>10350001</v>
      </c>
      <c r="D622" s="92" t="s">
        <v>858</v>
      </c>
      <c r="E622" s="93" t="s">
        <v>270</v>
      </c>
      <c r="F622" s="93" t="s">
        <v>230</v>
      </c>
      <c r="G622" s="109">
        <v>1464.5</v>
      </c>
      <c r="H622" s="109">
        <v>57765.35</v>
      </c>
      <c r="I622" s="95">
        <v>0</v>
      </c>
      <c r="J622" s="95">
        <v>0</v>
      </c>
      <c r="K622" s="95">
        <v>0</v>
      </c>
      <c r="L622" s="95">
        <v>0</v>
      </c>
      <c r="M622" s="96">
        <v>1</v>
      </c>
      <c r="N622" s="97">
        <v>0</v>
      </c>
      <c r="O622" s="98">
        <v>1</v>
      </c>
      <c r="P622" s="33"/>
      <c r="Q622" s="99" t="s">
        <v>1198</v>
      </c>
      <c r="R622" s="100"/>
      <c r="S622" s="101">
        <v>-5.0568723291731038E-2</v>
      </c>
      <c r="T622" s="102">
        <v>16</v>
      </c>
      <c r="U622" s="103">
        <v>0</v>
      </c>
      <c r="V622" s="103">
        <v>0</v>
      </c>
      <c r="W622" s="104">
        <v>0</v>
      </c>
      <c r="X622" s="19"/>
      <c r="Y622" s="103">
        <v>0</v>
      </c>
      <c r="Z622" s="103">
        <v>0</v>
      </c>
      <c r="AA622" s="105">
        <v>0</v>
      </c>
      <c r="AB622" s="106">
        <v>0</v>
      </c>
      <c r="AC622" s="105">
        <v>0</v>
      </c>
      <c r="AD622" s="104">
        <v>0</v>
      </c>
      <c r="AE622" s="104">
        <v>0</v>
      </c>
      <c r="AF622" s="107">
        <v>46265</v>
      </c>
    </row>
    <row r="623" spans="1:32" x14ac:dyDescent="0.25">
      <c r="A623" s="90">
        <v>1036</v>
      </c>
      <c r="B623" s="91" t="s">
        <v>859</v>
      </c>
      <c r="C623" s="29">
        <v>10360001</v>
      </c>
      <c r="D623" s="92" t="s">
        <v>859</v>
      </c>
      <c r="E623" s="93" t="s">
        <v>270</v>
      </c>
      <c r="F623" s="93" t="s">
        <v>230</v>
      </c>
      <c r="G623" s="109">
        <v>2063.9</v>
      </c>
      <c r="H623" s="109">
        <v>80093.829999999987</v>
      </c>
      <c r="I623" s="95">
        <v>0</v>
      </c>
      <c r="J623" s="95">
        <v>0</v>
      </c>
      <c r="K623" s="95">
        <v>0</v>
      </c>
      <c r="L623" s="95">
        <v>0</v>
      </c>
      <c r="M623" s="96">
        <v>1</v>
      </c>
      <c r="N623" s="97">
        <v>0</v>
      </c>
      <c r="O623" s="98">
        <v>1</v>
      </c>
      <c r="P623" s="33"/>
      <c r="Q623" s="99" t="s">
        <v>1198</v>
      </c>
      <c r="R623" s="100"/>
      <c r="S623" s="101">
        <v>0</v>
      </c>
      <c r="T623" s="102">
        <v>11</v>
      </c>
      <c r="U623" s="103">
        <v>0</v>
      </c>
      <c r="V623" s="103">
        <v>0</v>
      </c>
      <c r="W623" s="104">
        <v>0</v>
      </c>
      <c r="X623" s="19"/>
      <c r="Y623" s="103">
        <v>0</v>
      </c>
      <c r="Z623" s="103">
        <v>0</v>
      </c>
      <c r="AA623" s="105">
        <v>0</v>
      </c>
      <c r="AB623" s="106">
        <v>0</v>
      </c>
      <c r="AC623" s="105">
        <v>0</v>
      </c>
      <c r="AD623" s="104">
        <v>0</v>
      </c>
      <c r="AE623" s="104">
        <v>0</v>
      </c>
      <c r="AF623" s="107">
        <v>46265</v>
      </c>
    </row>
    <row r="624" spans="1:32" x14ac:dyDescent="0.25">
      <c r="A624" s="90">
        <v>1007</v>
      </c>
      <c r="B624" s="91" t="s">
        <v>497</v>
      </c>
      <c r="C624" s="29">
        <v>10380001</v>
      </c>
      <c r="D624" s="92" t="s">
        <v>860</v>
      </c>
      <c r="E624" s="93" t="s">
        <v>270</v>
      </c>
      <c r="F624" s="93" t="s">
        <v>230</v>
      </c>
      <c r="G624" s="109">
        <v>557</v>
      </c>
      <c r="H624" s="109">
        <v>19838.740000000002</v>
      </c>
      <c r="I624" s="95">
        <v>0</v>
      </c>
      <c r="J624" s="95">
        <v>0</v>
      </c>
      <c r="K624" s="95">
        <v>0</v>
      </c>
      <c r="L624" s="95">
        <v>0</v>
      </c>
      <c r="M624" s="96">
        <v>0</v>
      </c>
      <c r="N624" s="97">
        <v>0</v>
      </c>
      <c r="O624" s="98">
        <v>0</v>
      </c>
      <c r="P624" s="33"/>
      <c r="Q624" s="99" t="s">
        <v>1198</v>
      </c>
      <c r="R624" s="100"/>
      <c r="S624" s="101">
        <v>-1.4728757975556768E-2</v>
      </c>
      <c r="T624" s="102">
        <v>13</v>
      </c>
      <c r="U624" s="103">
        <v>0</v>
      </c>
      <c r="V624" s="103">
        <v>0</v>
      </c>
      <c r="W624" s="104">
        <v>0</v>
      </c>
      <c r="X624" s="19"/>
      <c r="Y624" s="103">
        <v>0</v>
      </c>
      <c r="Z624" s="103">
        <v>0</v>
      </c>
      <c r="AA624" s="105">
        <v>0</v>
      </c>
      <c r="AB624" s="106">
        <v>0</v>
      </c>
      <c r="AC624" s="105">
        <v>0</v>
      </c>
      <c r="AD624" s="104">
        <v>0</v>
      </c>
      <c r="AE624" s="104">
        <v>0</v>
      </c>
      <c r="AF624" s="107">
        <v>46265</v>
      </c>
    </row>
    <row r="625" spans="1:32" x14ac:dyDescent="0.25">
      <c r="A625" s="90">
        <v>1007</v>
      </c>
      <c r="B625" s="91" t="s">
        <v>497</v>
      </c>
      <c r="C625" s="29">
        <v>10390001</v>
      </c>
      <c r="D625" s="92" t="s">
        <v>861</v>
      </c>
      <c r="E625" s="93" t="s">
        <v>275</v>
      </c>
      <c r="F625" s="93" t="s">
        <v>231</v>
      </c>
      <c r="G625" s="109">
        <v>475</v>
      </c>
      <c r="H625" s="109">
        <v>17432.760000000002</v>
      </c>
      <c r="I625" s="95">
        <v>0</v>
      </c>
      <c r="J625" s="95">
        <v>0</v>
      </c>
      <c r="K625" s="95">
        <v>0</v>
      </c>
      <c r="L625" s="95">
        <v>0</v>
      </c>
      <c r="M625" s="96">
        <v>0</v>
      </c>
      <c r="N625" s="97">
        <v>0</v>
      </c>
      <c r="O625" s="98">
        <v>0</v>
      </c>
      <c r="P625" s="33"/>
      <c r="Q625" s="99" t="s">
        <v>1198</v>
      </c>
      <c r="R625" s="100"/>
      <c r="S625" s="101">
        <v>0</v>
      </c>
      <c r="T625" s="102">
        <v>15</v>
      </c>
      <c r="U625" s="103">
        <v>0</v>
      </c>
      <c r="V625" s="103">
        <v>0</v>
      </c>
      <c r="W625" s="104">
        <v>0</v>
      </c>
      <c r="X625" s="19"/>
      <c r="Y625" s="103">
        <v>0</v>
      </c>
      <c r="Z625" s="103">
        <v>0</v>
      </c>
      <c r="AA625" s="105">
        <v>0</v>
      </c>
      <c r="AB625" s="106">
        <v>0</v>
      </c>
      <c r="AC625" s="105">
        <v>0</v>
      </c>
      <c r="AD625" s="104">
        <v>0</v>
      </c>
      <c r="AE625" s="104">
        <v>0</v>
      </c>
      <c r="AF625" s="107">
        <v>46265</v>
      </c>
    </row>
    <row r="626" spans="1:32" x14ac:dyDescent="0.25">
      <c r="A626" s="90">
        <v>1007</v>
      </c>
      <c r="B626" s="91" t="s">
        <v>497</v>
      </c>
      <c r="C626" s="29">
        <v>10400001</v>
      </c>
      <c r="D626" s="92" t="s">
        <v>862</v>
      </c>
      <c r="E626" s="93" t="s">
        <v>270</v>
      </c>
      <c r="F626" s="93" t="s">
        <v>230</v>
      </c>
      <c r="G626" s="109">
        <v>2350</v>
      </c>
      <c r="H626" s="109">
        <v>83728.070000000007</v>
      </c>
      <c r="I626" s="95">
        <v>0</v>
      </c>
      <c r="J626" s="95">
        <v>0</v>
      </c>
      <c r="K626" s="95">
        <v>0</v>
      </c>
      <c r="L626" s="95">
        <v>0</v>
      </c>
      <c r="M626" s="96">
        <v>1</v>
      </c>
      <c r="N626" s="97">
        <v>0</v>
      </c>
      <c r="O626" s="98">
        <v>-1</v>
      </c>
      <c r="P626" s="33"/>
      <c r="Q626" s="99" t="s">
        <v>1198</v>
      </c>
      <c r="R626" s="100"/>
      <c r="S626" s="101">
        <v>2.1498166624441603E-5</v>
      </c>
      <c r="T626" s="102">
        <v>16</v>
      </c>
      <c r="U626" s="103">
        <v>0</v>
      </c>
      <c r="V626" s="103">
        <v>0</v>
      </c>
      <c r="W626" s="104">
        <v>0</v>
      </c>
      <c r="X626" s="19"/>
      <c r="Y626" s="103">
        <v>0</v>
      </c>
      <c r="Z626" s="103">
        <v>0</v>
      </c>
      <c r="AA626" s="105">
        <v>0</v>
      </c>
      <c r="AB626" s="106">
        <v>0</v>
      </c>
      <c r="AC626" s="105">
        <v>0</v>
      </c>
      <c r="AD626" s="104">
        <v>0</v>
      </c>
      <c r="AE626" s="104">
        <v>0</v>
      </c>
      <c r="AF626" s="107">
        <v>46265</v>
      </c>
    </row>
    <row r="627" spans="1:32" x14ac:dyDescent="0.25">
      <c r="A627" s="90">
        <v>1007</v>
      </c>
      <c r="B627" s="91" t="s">
        <v>497</v>
      </c>
      <c r="C627" s="29">
        <v>10410001</v>
      </c>
      <c r="D627" s="92" t="s">
        <v>863</v>
      </c>
      <c r="E627" s="93" t="s">
        <v>270</v>
      </c>
      <c r="F627" s="93" t="s">
        <v>230</v>
      </c>
      <c r="G627" s="109">
        <v>3559</v>
      </c>
      <c r="H627" s="109">
        <v>126784.29</v>
      </c>
      <c r="I627" s="95">
        <v>0</v>
      </c>
      <c r="J627" s="95">
        <v>0</v>
      </c>
      <c r="K627" s="95">
        <v>0</v>
      </c>
      <c r="L627" s="95">
        <v>0</v>
      </c>
      <c r="M627" s="96">
        <v>0</v>
      </c>
      <c r="N627" s="97">
        <v>0</v>
      </c>
      <c r="O627" s="98">
        <v>0</v>
      </c>
      <c r="P627" s="33"/>
      <c r="Q627" s="99" t="s">
        <v>1198</v>
      </c>
      <c r="R627" s="100"/>
      <c r="S627" s="101">
        <v>-1.1910860564822351E-2</v>
      </c>
      <c r="T627" s="102">
        <v>17</v>
      </c>
      <c r="U627" s="103">
        <v>0</v>
      </c>
      <c r="V627" s="103">
        <v>0</v>
      </c>
      <c r="W627" s="104">
        <v>0</v>
      </c>
      <c r="X627" s="19"/>
      <c r="Y627" s="103">
        <v>0</v>
      </c>
      <c r="Z627" s="103">
        <v>0</v>
      </c>
      <c r="AA627" s="105">
        <v>0</v>
      </c>
      <c r="AB627" s="106">
        <v>0</v>
      </c>
      <c r="AC627" s="105">
        <v>0</v>
      </c>
      <c r="AD627" s="104">
        <v>0</v>
      </c>
      <c r="AE627" s="104">
        <v>0</v>
      </c>
      <c r="AF627" s="107">
        <v>46265</v>
      </c>
    </row>
    <row r="628" spans="1:32" x14ac:dyDescent="0.25">
      <c r="A628" s="90">
        <v>1011</v>
      </c>
      <c r="B628" s="91" t="s">
        <v>97</v>
      </c>
      <c r="C628" s="29">
        <v>10430001</v>
      </c>
      <c r="D628" s="92" t="s">
        <v>98</v>
      </c>
      <c r="E628" s="93" t="s">
        <v>270</v>
      </c>
      <c r="F628" s="93" t="s">
        <v>231</v>
      </c>
      <c r="G628" s="109">
        <v>82.5</v>
      </c>
      <c r="H628" s="109">
        <v>3280.2</v>
      </c>
      <c r="I628" s="95">
        <v>0</v>
      </c>
      <c r="J628" s="95">
        <v>0</v>
      </c>
      <c r="K628" s="95">
        <v>0</v>
      </c>
      <c r="L628" s="95">
        <v>0</v>
      </c>
      <c r="M628" s="96">
        <v>0</v>
      </c>
      <c r="N628" s="97" t="s">
        <v>331</v>
      </c>
      <c r="O628" s="98">
        <v>0</v>
      </c>
      <c r="P628" s="33" t="s">
        <v>660</v>
      </c>
      <c r="Q628" s="99" t="s">
        <v>1198</v>
      </c>
      <c r="R628" s="100"/>
      <c r="S628" s="101">
        <v>0</v>
      </c>
      <c r="T628" s="102">
        <v>0</v>
      </c>
      <c r="U628" s="103">
        <v>0</v>
      </c>
      <c r="V628" s="103">
        <v>0</v>
      </c>
      <c r="W628" s="104">
        <v>0</v>
      </c>
      <c r="X628" s="19"/>
      <c r="Y628" s="103">
        <v>0</v>
      </c>
      <c r="Z628" s="103">
        <v>0</v>
      </c>
      <c r="AA628" s="105">
        <v>0</v>
      </c>
      <c r="AB628" s="106">
        <v>0</v>
      </c>
      <c r="AC628" s="105">
        <v>0</v>
      </c>
      <c r="AD628" s="104">
        <v>0</v>
      </c>
      <c r="AE628" s="104">
        <v>0</v>
      </c>
      <c r="AF628" s="107">
        <v>46265</v>
      </c>
    </row>
    <row r="629" spans="1:32" x14ac:dyDescent="0.25">
      <c r="A629" s="90">
        <v>1011</v>
      </c>
      <c r="B629" s="91" t="s">
        <v>97</v>
      </c>
      <c r="C629" s="29">
        <v>10440001</v>
      </c>
      <c r="D629" s="92" t="s">
        <v>864</v>
      </c>
      <c r="E629" s="93" t="s">
        <v>270</v>
      </c>
      <c r="F629" s="93" t="s">
        <v>231</v>
      </c>
      <c r="G629" s="109">
        <v>37.099999999999994</v>
      </c>
      <c r="H629" s="109">
        <v>1235.95</v>
      </c>
      <c r="I629" s="95">
        <v>0</v>
      </c>
      <c r="J629" s="95">
        <v>0</v>
      </c>
      <c r="K629" s="95">
        <v>0</v>
      </c>
      <c r="L629" s="95">
        <v>0</v>
      </c>
      <c r="M629" s="96">
        <v>0</v>
      </c>
      <c r="N629" s="97">
        <v>0</v>
      </c>
      <c r="O629" s="98">
        <v>0</v>
      </c>
      <c r="P629" s="33"/>
      <c r="Q629" s="99" t="s">
        <v>1198</v>
      </c>
      <c r="R629" s="100"/>
      <c r="S629" s="101">
        <v>0</v>
      </c>
      <c r="T629" s="102">
        <v>1</v>
      </c>
      <c r="U629" s="103">
        <v>0</v>
      </c>
      <c r="V629" s="103">
        <v>0</v>
      </c>
      <c r="W629" s="104">
        <v>0</v>
      </c>
      <c r="X629" s="19"/>
      <c r="Y629" s="103">
        <v>0</v>
      </c>
      <c r="Z629" s="103">
        <v>0</v>
      </c>
      <c r="AA629" s="105">
        <v>0</v>
      </c>
      <c r="AB629" s="106">
        <v>0</v>
      </c>
      <c r="AC629" s="105">
        <v>0</v>
      </c>
      <c r="AD629" s="104">
        <v>0</v>
      </c>
      <c r="AE629" s="104">
        <v>0</v>
      </c>
      <c r="AF629" s="107">
        <v>46265</v>
      </c>
    </row>
    <row r="630" spans="1:32" x14ac:dyDescent="0.25">
      <c r="A630" s="90">
        <v>1003</v>
      </c>
      <c r="B630" s="91" t="s">
        <v>161</v>
      </c>
      <c r="C630" s="29">
        <v>10460001</v>
      </c>
      <c r="D630" s="92" t="s">
        <v>865</v>
      </c>
      <c r="E630" s="93" t="s">
        <v>270</v>
      </c>
      <c r="F630" s="93" t="s">
        <v>230</v>
      </c>
      <c r="G630" s="109">
        <v>392.85</v>
      </c>
      <c r="H630" s="109">
        <v>13566.4</v>
      </c>
      <c r="I630" s="95">
        <v>0</v>
      </c>
      <c r="J630" s="95">
        <v>0</v>
      </c>
      <c r="K630" s="95">
        <v>0</v>
      </c>
      <c r="L630" s="95">
        <v>0</v>
      </c>
      <c r="M630" s="96">
        <v>0</v>
      </c>
      <c r="N630" s="97">
        <v>0</v>
      </c>
      <c r="O630" s="98">
        <v>0</v>
      </c>
      <c r="P630" s="33"/>
      <c r="Q630" s="99" t="s">
        <v>1198</v>
      </c>
      <c r="R630" s="100"/>
      <c r="S630" s="101">
        <v>-8.1446809765302414E-2</v>
      </c>
      <c r="T630" s="102">
        <v>8</v>
      </c>
      <c r="U630" s="103">
        <v>0</v>
      </c>
      <c r="V630" s="103">
        <v>0</v>
      </c>
      <c r="W630" s="104">
        <v>0</v>
      </c>
      <c r="X630" s="19"/>
      <c r="Y630" s="103">
        <v>0</v>
      </c>
      <c r="Z630" s="103">
        <v>0</v>
      </c>
      <c r="AA630" s="105">
        <v>0</v>
      </c>
      <c r="AB630" s="106">
        <v>0</v>
      </c>
      <c r="AC630" s="105">
        <v>0</v>
      </c>
      <c r="AD630" s="104">
        <v>0</v>
      </c>
      <c r="AE630" s="104">
        <v>0</v>
      </c>
      <c r="AF630" s="107">
        <v>46265</v>
      </c>
    </row>
    <row r="631" spans="1:32" x14ac:dyDescent="0.25">
      <c r="A631" s="90">
        <v>1003</v>
      </c>
      <c r="B631" s="91" t="s">
        <v>161</v>
      </c>
      <c r="C631" s="29">
        <v>10460002</v>
      </c>
      <c r="D631" s="92" t="s">
        <v>866</v>
      </c>
      <c r="E631" s="93" t="s">
        <v>270</v>
      </c>
      <c r="F631" s="93" t="s">
        <v>230</v>
      </c>
      <c r="G631" s="109">
        <v>458.20000000000005</v>
      </c>
      <c r="H631" s="109">
        <v>14350.05</v>
      </c>
      <c r="I631" s="95">
        <v>0</v>
      </c>
      <c r="J631" s="95">
        <v>0</v>
      </c>
      <c r="K631" s="95">
        <v>0</v>
      </c>
      <c r="L631" s="95">
        <v>0</v>
      </c>
      <c r="M631" s="96">
        <v>14</v>
      </c>
      <c r="N631" s="97">
        <v>0</v>
      </c>
      <c r="O631" s="98">
        <v>0</v>
      </c>
      <c r="P631" s="33"/>
      <c r="Q631" s="99" t="s">
        <v>1198</v>
      </c>
      <c r="R631" s="100"/>
      <c r="S631" s="101">
        <v>9.6515343152116988E-4</v>
      </c>
      <c r="T631" s="102">
        <v>4</v>
      </c>
      <c r="U631" s="103">
        <v>0</v>
      </c>
      <c r="V631" s="103">
        <v>0</v>
      </c>
      <c r="W631" s="104">
        <v>0</v>
      </c>
      <c r="X631" s="19"/>
      <c r="Y631" s="103">
        <v>0</v>
      </c>
      <c r="Z631" s="103">
        <v>0</v>
      </c>
      <c r="AA631" s="105">
        <v>0</v>
      </c>
      <c r="AB631" s="106">
        <v>0</v>
      </c>
      <c r="AC631" s="105">
        <v>0</v>
      </c>
      <c r="AD631" s="104">
        <v>0</v>
      </c>
      <c r="AE631" s="104">
        <v>0</v>
      </c>
      <c r="AF631" s="107">
        <v>46265</v>
      </c>
    </row>
    <row r="632" spans="1:32" x14ac:dyDescent="0.25">
      <c r="A632" s="90">
        <v>1036</v>
      </c>
      <c r="B632" s="91" t="s">
        <v>859</v>
      </c>
      <c r="C632" s="29">
        <v>10480001</v>
      </c>
      <c r="D632" s="92" t="s">
        <v>867</v>
      </c>
      <c r="E632" s="93" t="s">
        <v>270</v>
      </c>
      <c r="F632" s="93" t="s">
        <v>230</v>
      </c>
      <c r="G632" s="109">
        <v>328.1</v>
      </c>
      <c r="H632" s="109">
        <v>12803.010000000002</v>
      </c>
      <c r="I632" s="95">
        <v>0</v>
      </c>
      <c r="J632" s="95">
        <v>0</v>
      </c>
      <c r="K632" s="95">
        <v>0</v>
      </c>
      <c r="L632" s="95">
        <v>0</v>
      </c>
      <c r="M632" s="96">
        <v>0</v>
      </c>
      <c r="N632" s="97">
        <v>0</v>
      </c>
      <c r="O632" s="98">
        <v>0</v>
      </c>
      <c r="P632" s="33"/>
      <c r="Q632" s="99" t="s">
        <v>1198</v>
      </c>
      <c r="R632" s="100"/>
      <c r="S632" s="101">
        <v>-8.4800371162715681E-3</v>
      </c>
      <c r="T632" s="102">
        <v>3</v>
      </c>
      <c r="U632" s="103">
        <v>0</v>
      </c>
      <c r="V632" s="103">
        <v>0</v>
      </c>
      <c r="W632" s="104">
        <v>0</v>
      </c>
      <c r="X632" s="19"/>
      <c r="Y632" s="103">
        <v>0</v>
      </c>
      <c r="Z632" s="103">
        <v>0</v>
      </c>
      <c r="AA632" s="105">
        <v>0</v>
      </c>
      <c r="AB632" s="106">
        <v>0</v>
      </c>
      <c r="AC632" s="105">
        <v>0</v>
      </c>
      <c r="AD632" s="104">
        <v>0</v>
      </c>
      <c r="AE632" s="104">
        <v>0</v>
      </c>
      <c r="AF632" s="107">
        <v>46265</v>
      </c>
    </row>
    <row r="633" spans="1:32" x14ac:dyDescent="0.25">
      <c r="A633" s="90">
        <v>1036</v>
      </c>
      <c r="B633" s="91" t="s">
        <v>859</v>
      </c>
      <c r="C633" s="29">
        <v>10480002</v>
      </c>
      <c r="D633" s="92" t="s">
        <v>868</v>
      </c>
      <c r="E633" s="93" t="s">
        <v>270</v>
      </c>
      <c r="F633" s="93" t="s">
        <v>231</v>
      </c>
      <c r="G633" s="109">
        <v>214.4</v>
      </c>
      <c r="H633" s="109">
        <v>7981.5900000000011</v>
      </c>
      <c r="I633" s="95">
        <v>0</v>
      </c>
      <c r="J633" s="95">
        <v>0</v>
      </c>
      <c r="K633" s="95">
        <v>0</v>
      </c>
      <c r="L633" s="95">
        <v>0</v>
      </c>
      <c r="M633" s="96">
        <v>0</v>
      </c>
      <c r="N633" s="97">
        <v>0</v>
      </c>
      <c r="O633" s="98">
        <v>0</v>
      </c>
      <c r="P633" s="33"/>
      <c r="Q633" s="99" t="s">
        <v>1198</v>
      </c>
      <c r="R633" s="100"/>
      <c r="S633" s="101">
        <v>0</v>
      </c>
      <c r="T633" s="102">
        <v>1</v>
      </c>
      <c r="U633" s="103">
        <v>0</v>
      </c>
      <c r="V633" s="103">
        <v>0</v>
      </c>
      <c r="W633" s="104">
        <v>0</v>
      </c>
      <c r="X633" s="19"/>
      <c r="Y633" s="103">
        <v>0</v>
      </c>
      <c r="Z633" s="103">
        <v>0</v>
      </c>
      <c r="AA633" s="105">
        <v>0</v>
      </c>
      <c r="AB633" s="106">
        <v>0</v>
      </c>
      <c r="AC633" s="105">
        <v>0</v>
      </c>
      <c r="AD633" s="104">
        <v>0</v>
      </c>
      <c r="AE633" s="104">
        <v>0</v>
      </c>
      <c r="AF633" s="107">
        <v>46265</v>
      </c>
    </row>
    <row r="634" spans="1:32" x14ac:dyDescent="0.25">
      <c r="A634" s="90">
        <v>1007</v>
      </c>
      <c r="B634" s="91" t="s">
        <v>497</v>
      </c>
      <c r="C634" s="29">
        <v>10480003</v>
      </c>
      <c r="D634" s="92" t="s">
        <v>869</v>
      </c>
      <c r="E634" s="93" t="s">
        <v>270</v>
      </c>
      <c r="F634" s="93" t="s">
        <v>231</v>
      </c>
      <c r="G634" s="109">
        <v>680</v>
      </c>
      <c r="H634" s="109">
        <v>23151.120000000003</v>
      </c>
      <c r="I634" s="95">
        <v>0</v>
      </c>
      <c r="J634" s="95">
        <v>0</v>
      </c>
      <c r="K634" s="95">
        <v>0</v>
      </c>
      <c r="L634" s="95">
        <v>0</v>
      </c>
      <c r="M634" s="96">
        <v>0</v>
      </c>
      <c r="N634" s="97">
        <v>0</v>
      </c>
      <c r="O634" s="98">
        <v>0</v>
      </c>
      <c r="P634" s="33"/>
      <c r="Q634" s="99" t="s">
        <v>1198</v>
      </c>
      <c r="R634" s="100"/>
      <c r="S634" s="101">
        <v>0</v>
      </c>
      <c r="T634" s="102">
        <v>0</v>
      </c>
      <c r="U634" s="103">
        <v>0</v>
      </c>
      <c r="V634" s="103">
        <v>0</v>
      </c>
      <c r="W634" s="104">
        <v>0</v>
      </c>
      <c r="X634" s="19"/>
      <c r="Y634" s="103">
        <v>0</v>
      </c>
      <c r="Z634" s="103">
        <v>0</v>
      </c>
      <c r="AA634" s="105">
        <v>0</v>
      </c>
      <c r="AB634" s="106">
        <v>0</v>
      </c>
      <c r="AC634" s="105">
        <v>0</v>
      </c>
      <c r="AD634" s="104">
        <v>0</v>
      </c>
      <c r="AE634" s="104">
        <v>0</v>
      </c>
      <c r="AF634" s="107">
        <v>46265</v>
      </c>
    </row>
    <row r="635" spans="1:32" x14ac:dyDescent="0.25">
      <c r="A635" s="90">
        <v>1036</v>
      </c>
      <c r="B635" s="91" t="s">
        <v>859</v>
      </c>
      <c r="C635" s="29">
        <v>10480005</v>
      </c>
      <c r="D635" s="92" t="s">
        <v>870</v>
      </c>
      <c r="E635" s="93" t="s">
        <v>270</v>
      </c>
      <c r="F635" s="93" t="s">
        <v>230</v>
      </c>
      <c r="G635" s="109">
        <v>367.70000000000005</v>
      </c>
      <c r="H635" s="109">
        <v>15618.679999999997</v>
      </c>
      <c r="I635" s="95">
        <v>0</v>
      </c>
      <c r="J635" s="95">
        <v>0</v>
      </c>
      <c r="K635" s="95">
        <v>0</v>
      </c>
      <c r="L635" s="95">
        <v>0</v>
      </c>
      <c r="M635" s="96">
        <v>0</v>
      </c>
      <c r="N635" s="97">
        <v>0</v>
      </c>
      <c r="O635" s="98">
        <v>0</v>
      </c>
      <c r="P635" s="33"/>
      <c r="Q635" s="99" t="s">
        <v>1198</v>
      </c>
      <c r="R635" s="100"/>
      <c r="S635" s="101">
        <v>-3.8332304650585354E-2</v>
      </c>
      <c r="T635" s="102">
        <v>5</v>
      </c>
      <c r="U635" s="103">
        <v>0</v>
      </c>
      <c r="V635" s="103">
        <v>0</v>
      </c>
      <c r="W635" s="104">
        <v>0</v>
      </c>
      <c r="X635" s="19"/>
      <c r="Y635" s="103">
        <v>0</v>
      </c>
      <c r="Z635" s="103">
        <v>0</v>
      </c>
      <c r="AA635" s="105">
        <v>0</v>
      </c>
      <c r="AB635" s="106">
        <v>0</v>
      </c>
      <c r="AC635" s="105">
        <v>0</v>
      </c>
      <c r="AD635" s="104">
        <v>0</v>
      </c>
      <c r="AE635" s="104">
        <v>0</v>
      </c>
      <c r="AF635" s="107">
        <v>46265</v>
      </c>
    </row>
    <row r="636" spans="1:32" x14ac:dyDescent="0.25">
      <c r="A636" s="90">
        <v>1036</v>
      </c>
      <c r="B636" s="91" t="s">
        <v>859</v>
      </c>
      <c r="C636" s="29">
        <v>10480008</v>
      </c>
      <c r="D636" s="92" t="s">
        <v>871</v>
      </c>
      <c r="E636" s="93" t="s">
        <v>270</v>
      </c>
      <c r="F636" s="93" t="s">
        <v>230</v>
      </c>
      <c r="G636" s="109">
        <v>368.70000000000005</v>
      </c>
      <c r="H636" s="109">
        <v>15111.940000000002</v>
      </c>
      <c r="I636" s="95">
        <v>0</v>
      </c>
      <c r="J636" s="95">
        <v>0</v>
      </c>
      <c r="K636" s="95">
        <v>0</v>
      </c>
      <c r="L636" s="95">
        <v>0</v>
      </c>
      <c r="M636" s="96">
        <v>0</v>
      </c>
      <c r="N636" s="97">
        <v>0</v>
      </c>
      <c r="O636" s="98">
        <v>0</v>
      </c>
      <c r="P636" s="33"/>
      <c r="Q636" s="99" t="s">
        <v>1198</v>
      </c>
      <c r="R636" s="100"/>
      <c r="S636" s="101">
        <v>-0.17645054175704761</v>
      </c>
      <c r="T636" s="102">
        <v>12</v>
      </c>
      <c r="U636" s="103">
        <v>0</v>
      </c>
      <c r="V636" s="103">
        <v>0</v>
      </c>
      <c r="W636" s="104">
        <v>0</v>
      </c>
      <c r="X636" s="19"/>
      <c r="Y636" s="103">
        <v>0</v>
      </c>
      <c r="Z636" s="103">
        <v>0</v>
      </c>
      <c r="AA636" s="105">
        <v>0</v>
      </c>
      <c r="AB636" s="106">
        <v>0</v>
      </c>
      <c r="AC636" s="105">
        <v>0</v>
      </c>
      <c r="AD636" s="104">
        <v>0</v>
      </c>
      <c r="AE636" s="104">
        <v>0</v>
      </c>
      <c r="AF636" s="107">
        <v>46265</v>
      </c>
    </row>
    <row r="637" spans="1:32" x14ac:dyDescent="0.25">
      <c r="A637" s="90">
        <v>1036</v>
      </c>
      <c r="B637" s="91" t="s">
        <v>859</v>
      </c>
      <c r="C637" s="29">
        <v>10480022</v>
      </c>
      <c r="D637" s="92" t="s">
        <v>872</v>
      </c>
      <c r="E637" s="93" t="s">
        <v>270</v>
      </c>
      <c r="F637" s="93" t="s">
        <v>230</v>
      </c>
      <c r="G637" s="109">
        <v>364.90000000000003</v>
      </c>
      <c r="H637" s="109">
        <v>13851.650000000001</v>
      </c>
      <c r="I637" s="95">
        <v>0</v>
      </c>
      <c r="J637" s="95">
        <v>0</v>
      </c>
      <c r="K637" s="95">
        <v>0</v>
      </c>
      <c r="L637" s="95">
        <v>0</v>
      </c>
      <c r="M637" s="96">
        <v>1</v>
      </c>
      <c r="N637" s="97" t="s">
        <v>324</v>
      </c>
      <c r="O637" s="98">
        <v>1</v>
      </c>
      <c r="P637" s="33" t="s">
        <v>286</v>
      </c>
      <c r="Q637" s="99" t="s">
        <v>1198</v>
      </c>
      <c r="R637" s="100"/>
      <c r="S637" s="101">
        <v>-2.1150353928954311</v>
      </c>
      <c r="T637" s="102">
        <v>3</v>
      </c>
      <c r="U637" s="103">
        <v>0</v>
      </c>
      <c r="V637" s="103">
        <v>0</v>
      </c>
      <c r="W637" s="104">
        <v>0</v>
      </c>
      <c r="X637" s="19"/>
      <c r="Y637" s="103">
        <v>0</v>
      </c>
      <c r="Z637" s="103">
        <v>0</v>
      </c>
      <c r="AA637" s="105">
        <v>0</v>
      </c>
      <c r="AB637" s="106">
        <v>0</v>
      </c>
      <c r="AC637" s="105">
        <v>0</v>
      </c>
      <c r="AD637" s="104">
        <v>0</v>
      </c>
      <c r="AE637" s="104">
        <v>0</v>
      </c>
      <c r="AF637" s="107">
        <v>46265</v>
      </c>
    </row>
    <row r="638" spans="1:32" x14ac:dyDescent="0.25">
      <c r="A638" s="90">
        <v>1036</v>
      </c>
      <c r="B638" s="91" t="s">
        <v>859</v>
      </c>
      <c r="C638" s="29">
        <v>10480023</v>
      </c>
      <c r="D638" s="92" t="s">
        <v>873</v>
      </c>
      <c r="E638" s="93" t="s">
        <v>270</v>
      </c>
      <c r="F638" s="93" t="s">
        <v>230</v>
      </c>
      <c r="G638" s="109">
        <v>1589.9999999999995</v>
      </c>
      <c r="H638" s="109">
        <v>64021.090000000011</v>
      </c>
      <c r="I638" s="95">
        <v>0</v>
      </c>
      <c r="J638" s="95">
        <v>0</v>
      </c>
      <c r="K638" s="95">
        <v>0</v>
      </c>
      <c r="L638" s="95">
        <v>0</v>
      </c>
      <c r="M638" s="96">
        <v>0</v>
      </c>
      <c r="N638" s="97">
        <v>0</v>
      </c>
      <c r="O638" s="98">
        <v>0</v>
      </c>
      <c r="P638" s="33"/>
      <c r="Q638" s="99" t="s">
        <v>1198</v>
      </c>
      <c r="R638" s="100"/>
      <c r="S638" s="101">
        <v>-2.686630296360144E-2</v>
      </c>
      <c r="T638" s="102">
        <v>14</v>
      </c>
      <c r="U638" s="103">
        <v>0</v>
      </c>
      <c r="V638" s="103">
        <v>0</v>
      </c>
      <c r="W638" s="104">
        <v>0</v>
      </c>
      <c r="X638" s="19"/>
      <c r="Y638" s="103">
        <v>0</v>
      </c>
      <c r="Z638" s="103">
        <v>0</v>
      </c>
      <c r="AA638" s="105">
        <v>0</v>
      </c>
      <c r="AB638" s="106">
        <v>0</v>
      </c>
      <c r="AC638" s="105">
        <v>0</v>
      </c>
      <c r="AD638" s="104">
        <v>0</v>
      </c>
      <c r="AE638" s="104">
        <v>0</v>
      </c>
      <c r="AF638" s="107">
        <v>46265</v>
      </c>
    </row>
    <row r="639" spans="1:32" x14ac:dyDescent="0.25">
      <c r="A639" s="90">
        <v>1036</v>
      </c>
      <c r="B639" s="91" t="s">
        <v>859</v>
      </c>
      <c r="C639" s="29">
        <v>10480028</v>
      </c>
      <c r="D639" s="92" t="s">
        <v>874</v>
      </c>
      <c r="E639" s="93" t="s">
        <v>275</v>
      </c>
      <c r="F639" s="93" t="s">
        <v>231</v>
      </c>
      <c r="G639" s="109">
        <v>517.1</v>
      </c>
      <c r="H639" s="109">
        <v>19575.48</v>
      </c>
      <c r="I639" s="95">
        <v>0</v>
      </c>
      <c r="J639" s="95">
        <v>0</v>
      </c>
      <c r="K639" s="95">
        <v>0</v>
      </c>
      <c r="L639" s="95">
        <v>0</v>
      </c>
      <c r="M639" s="96">
        <v>0</v>
      </c>
      <c r="N639" s="97">
        <v>0</v>
      </c>
      <c r="O639" s="98">
        <v>0</v>
      </c>
      <c r="P639" s="33"/>
      <c r="Q639" s="99" t="s">
        <v>1198</v>
      </c>
      <c r="R639" s="100"/>
      <c r="S639" s="101">
        <v>0</v>
      </c>
      <c r="T639" s="102">
        <v>0</v>
      </c>
      <c r="U639" s="103">
        <v>0</v>
      </c>
      <c r="V639" s="103">
        <v>0</v>
      </c>
      <c r="W639" s="104">
        <v>0</v>
      </c>
      <c r="X639" s="19"/>
      <c r="Y639" s="103">
        <v>0</v>
      </c>
      <c r="Z639" s="103">
        <v>0</v>
      </c>
      <c r="AA639" s="105">
        <v>0</v>
      </c>
      <c r="AB639" s="106">
        <v>0</v>
      </c>
      <c r="AC639" s="105">
        <v>0</v>
      </c>
      <c r="AD639" s="104">
        <v>0</v>
      </c>
      <c r="AE639" s="104">
        <v>0</v>
      </c>
      <c r="AF639" s="107">
        <v>46265</v>
      </c>
    </row>
    <row r="640" spans="1:32" x14ac:dyDescent="0.25">
      <c r="A640" s="90">
        <v>1036</v>
      </c>
      <c r="B640" s="91" t="s">
        <v>859</v>
      </c>
      <c r="C640" s="29">
        <v>10480029</v>
      </c>
      <c r="D640" s="92" t="s">
        <v>875</v>
      </c>
      <c r="E640" s="93" t="s">
        <v>275</v>
      </c>
      <c r="F640" s="93" t="s">
        <v>231</v>
      </c>
      <c r="G640" s="109">
        <v>8.6999999999999993</v>
      </c>
      <c r="H640" s="109">
        <v>330.17</v>
      </c>
      <c r="I640" s="95">
        <v>0</v>
      </c>
      <c r="J640" s="95">
        <v>0</v>
      </c>
      <c r="K640" s="95">
        <v>0</v>
      </c>
      <c r="L640" s="95">
        <v>0</v>
      </c>
      <c r="M640" s="96">
        <v>0</v>
      </c>
      <c r="N640" s="97">
        <v>0</v>
      </c>
      <c r="O640" s="98">
        <v>0</v>
      </c>
      <c r="P640" s="33"/>
      <c r="Q640" s="99" t="s">
        <v>1198</v>
      </c>
      <c r="R640" s="100"/>
      <c r="S640" s="101">
        <v>0</v>
      </c>
      <c r="T640" s="102">
        <v>0</v>
      </c>
      <c r="U640" s="103">
        <v>0</v>
      </c>
      <c r="V640" s="103">
        <v>0</v>
      </c>
      <c r="W640" s="104">
        <v>0</v>
      </c>
      <c r="X640" s="19"/>
      <c r="Y640" s="103">
        <v>0</v>
      </c>
      <c r="Z640" s="103">
        <v>0</v>
      </c>
      <c r="AA640" s="105">
        <v>0</v>
      </c>
      <c r="AB640" s="106">
        <v>0</v>
      </c>
      <c r="AC640" s="105">
        <v>0</v>
      </c>
      <c r="AD640" s="104">
        <v>0</v>
      </c>
      <c r="AE640" s="104">
        <v>0</v>
      </c>
      <c r="AF640" s="107">
        <v>46265</v>
      </c>
    </row>
    <row r="641" spans="1:32" x14ac:dyDescent="0.25">
      <c r="A641" s="90">
        <v>1036</v>
      </c>
      <c r="B641" s="91" t="s">
        <v>859</v>
      </c>
      <c r="C641" s="29">
        <v>10480033</v>
      </c>
      <c r="D641" s="92" t="s">
        <v>876</v>
      </c>
      <c r="E641" s="93" t="s">
        <v>275</v>
      </c>
      <c r="F641" s="93" t="s">
        <v>231</v>
      </c>
      <c r="G641" s="109">
        <v>127.19999999999999</v>
      </c>
      <c r="H641" s="109">
        <v>4624.1400000000003</v>
      </c>
      <c r="I641" s="95">
        <v>0</v>
      </c>
      <c r="J641" s="95">
        <v>0</v>
      </c>
      <c r="K641" s="95">
        <v>0</v>
      </c>
      <c r="L641" s="95">
        <v>0</v>
      </c>
      <c r="M641" s="96">
        <v>0</v>
      </c>
      <c r="N641" s="97">
        <v>0</v>
      </c>
      <c r="O641" s="98">
        <v>0</v>
      </c>
      <c r="P641" s="33"/>
      <c r="Q641" s="99" t="s">
        <v>1198</v>
      </c>
      <c r="R641" s="100"/>
      <c r="S641" s="101">
        <v>0</v>
      </c>
      <c r="T641" s="102">
        <v>0</v>
      </c>
      <c r="U641" s="103">
        <v>0</v>
      </c>
      <c r="V641" s="103">
        <v>0</v>
      </c>
      <c r="W641" s="104">
        <v>0</v>
      </c>
      <c r="X641" s="19"/>
      <c r="Y641" s="103">
        <v>0</v>
      </c>
      <c r="Z641" s="103">
        <v>0</v>
      </c>
      <c r="AA641" s="105">
        <v>0</v>
      </c>
      <c r="AB641" s="106">
        <v>0</v>
      </c>
      <c r="AC641" s="105">
        <v>0</v>
      </c>
      <c r="AD641" s="104">
        <v>0</v>
      </c>
      <c r="AE641" s="104">
        <v>0</v>
      </c>
      <c r="AF641" s="107">
        <v>46265</v>
      </c>
    </row>
    <row r="642" spans="1:32" x14ac:dyDescent="0.25">
      <c r="A642" s="90">
        <v>1036</v>
      </c>
      <c r="B642" s="91" t="s">
        <v>859</v>
      </c>
      <c r="C642" s="29">
        <v>10480034</v>
      </c>
      <c r="D642" s="92" t="s">
        <v>877</v>
      </c>
      <c r="E642" s="93" t="s">
        <v>275</v>
      </c>
      <c r="F642" s="93" t="s">
        <v>231</v>
      </c>
      <c r="G642" s="109">
        <v>268</v>
      </c>
      <c r="H642" s="109">
        <v>10989.76</v>
      </c>
      <c r="I642" s="95">
        <v>0</v>
      </c>
      <c r="J642" s="95">
        <v>0</v>
      </c>
      <c r="K642" s="95">
        <v>0</v>
      </c>
      <c r="L642" s="95">
        <v>0</v>
      </c>
      <c r="M642" s="96">
        <v>0</v>
      </c>
      <c r="N642" s="97">
        <v>0</v>
      </c>
      <c r="O642" s="98">
        <v>0</v>
      </c>
      <c r="P642" s="33"/>
      <c r="Q642" s="99" t="s">
        <v>1198</v>
      </c>
      <c r="R642" s="100"/>
      <c r="S642" s="101">
        <v>0</v>
      </c>
      <c r="T642" s="102">
        <v>0</v>
      </c>
      <c r="U642" s="103">
        <v>0</v>
      </c>
      <c r="V642" s="103">
        <v>0</v>
      </c>
      <c r="W642" s="104">
        <v>0</v>
      </c>
      <c r="X642" s="19"/>
      <c r="Y642" s="103">
        <v>0</v>
      </c>
      <c r="Z642" s="103">
        <v>0</v>
      </c>
      <c r="AA642" s="105">
        <v>0</v>
      </c>
      <c r="AB642" s="106">
        <v>0</v>
      </c>
      <c r="AC642" s="105">
        <v>0</v>
      </c>
      <c r="AD642" s="104">
        <v>0</v>
      </c>
      <c r="AE642" s="104">
        <v>0</v>
      </c>
      <c r="AF642" s="107">
        <v>46265</v>
      </c>
    </row>
    <row r="643" spans="1:32" x14ac:dyDescent="0.25">
      <c r="A643" s="90">
        <v>1003</v>
      </c>
      <c r="B643" s="91" t="s">
        <v>161</v>
      </c>
      <c r="C643" s="29">
        <v>10500001</v>
      </c>
      <c r="D643" s="92" t="s">
        <v>878</v>
      </c>
      <c r="E643" s="93" t="s">
        <v>270</v>
      </c>
      <c r="F643" s="93" t="s">
        <v>230</v>
      </c>
      <c r="G643" s="109">
        <v>900.1</v>
      </c>
      <c r="H643" s="109">
        <v>35031.89</v>
      </c>
      <c r="I643" s="95">
        <v>0</v>
      </c>
      <c r="J643" s="95">
        <v>0</v>
      </c>
      <c r="K643" s="95">
        <v>0</v>
      </c>
      <c r="L643" s="95">
        <v>0</v>
      </c>
      <c r="M643" s="96">
        <v>0</v>
      </c>
      <c r="N643" s="97">
        <v>0</v>
      </c>
      <c r="O643" s="98">
        <v>0</v>
      </c>
      <c r="P643" s="33"/>
      <c r="Q643" s="99" t="s">
        <v>1198</v>
      </c>
      <c r="R643" s="100"/>
      <c r="S643" s="101">
        <v>-6.3510704104174217E-3</v>
      </c>
      <c r="T643" s="102">
        <v>11</v>
      </c>
      <c r="U643" s="103">
        <v>0</v>
      </c>
      <c r="V643" s="103">
        <v>0</v>
      </c>
      <c r="W643" s="104">
        <v>0</v>
      </c>
      <c r="X643" s="19"/>
      <c r="Y643" s="103">
        <v>0</v>
      </c>
      <c r="Z643" s="103">
        <v>0</v>
      </c>
      <c r="AA643" s="105">
        <v>0</v>
      </c>
      <c r="AB643" s="106">
        <v>0</v>
      </c>
      <c r="AC643" s="105">
        <v>0</v>
      </c>
      <c r="AD643" s="104">
        <v>0</v>
      </c>
      <c r="AE643" s="104">
        <v>0</v>
      </c>
      <c r="AF643" s="107">
        <v>46265</v>
      </c>
    </row>
    <row r="644" spans="1:32" x14ac:dyDescent="0.25">
      <c r="A644" s="90">
        <v>1014</v>
      </c>
      <c r="B644" s="91" t="s">
        <v>132</v>
      </c>
      <c r="C644" s="29">
        <v>10510001</v>
      </c>
      <c r="D644" s="92" t="s">
        <v>879</v>
      </c>
      <c r="E644" s="93" t="s">
        <v>270</v>
      </c>
      <c r="F644" s="93" t="s">
        <v>230</v>
      </c>
      <c r="G644" s="109">
        <v>1896.7</v>
      </c>
      <c r="H644" s="109">
        <v>72401.429999999993</v>
      </c>
      <c r="I644" s="95">
        <v>0</v>
      </c>
      <c r="J644" s="95">
        <v>0</v>
      </c>
      <c r="K644" s="95">
        <v>0</v>
      </c>
      <c r="L644" s="95">
        <v>0</v>
      </c>
      <c r="M644" s="96">
        <v>0</v>
      </c>
      <c r="N644" s="97">
        <v>0</v>
      </c>
      <c r="O644" s="98">
        <v>0</v>
      </c>
      <c r="P644" s="33"/>
      <c r="Q644" s="99" t="s">
        <v>1198</v>
      </c>
      <c r="R644" s="100"/>
      <c r="S644" s="101">
        <v>-2.5838439931365871E-2</v>
      </c>
      <c r="T644" s="102">
        <v>36</v>
      </c>
      <c r="U644" s="103">
        <v>0</v>
      </c>
      <c r="V644" s="103">
        <v>0</v>
      </c>
      <c r="W644" s="104">
        <v>0</v>
      </c>
      <c r="X644" s="19"/>
      <c r="Y644" s="103">
        <v>0</v>
      </c>
      <c r="Z644" s="103">
        <v>0</v>
      </c>
      <c r="AA644" s="105">
        <v>0</v>
      </c>
      <c r="AB644" s="106">
        <v>0</v>
      </c>
      <c r="AC644" s="105">
        <v>0</v>
      </c>
      <c r="AD644" s="104">
        <v>0</v>
      </c>
      <c r="AE644" s="104">
        <v>0</v>
      </c>
      <c r="AF644" s="107">
        <v>46265</v>
      </c>
    </row>
    <row r="645" spans="1:32" x14ac:dyDescent="0.25">
      <c r="A645" s="90">
        <v>1014</v>
      </c>
      <c r="B645" s="91" t="s">
        <v>132</v>
      </c>
      <c r="C645" s="29">
        <v>10510002</v>
      </c>
      <c r="D645" s="92" t="s">
        <v>880</v>
      </c>
      <c r="E645" s="93" t="s">
        <v>270</v>
      </c>
      <c r="F645" s="93" t="s">
        <v>230</v>
      </c>
      <c r="G645" s="109">
        <v>1075.6000000000001</v>
      </c>
      <c r="H645" s="109">
        <v>44521.75</v>
      </c>
      <c r="I645" s="95">
        <v>0</v>
      </c>
      <c r="J645" s="95">
        <v>0</v>
      </c>
      <c r="K645" s="95">
        <v>0</v>
      </c>
      <c r="L645" s="95">
        <v>0</v>
      </c>
      <c r="M645" s="96">
        <v>0</v>
      </c>
      <c r="N645" s="97">
        <v>0</v>
      </c>
      <c r="O645" s="98">
        <v>0</v>
      </c>
      <c r="P645" s="33"/>
      <c r="Q645" s="99" t="s">
        <v>1198</v>
      </c>
      <c r="R645" s="100"/>
      <c r="S645" s="101">
        <v>-2.6191692824293874E-3</v>
      </c>
      <c r="T645" s="102">
        <v>7</v>
      </c>
      <c r="U645" s="103">
        <v>0</v>
      </c>
      <c r="V645" s="103">
        <v>0</v>
      </c>
      <c r="W645" s="104">
        <v>0</v>
      </c>
      <c r="X645" s="19"/>
      <c r="Y645" s="103">
        <v>0</v>
      </c>
      <c r="Z645" s="103">
        <v>0</v>
      </c>
      <c r="AA645" s="105">
        <v>0</v>
      </c>
      <c r="AB645" s="106">
        <v>0</v>
      </c>
      <c r="AC645" s="105">
        <v>0</v>
      </c>
      <c r="AD645" s="104">
        <v>0</v>
      </c>
      <c r="AE645" s="104">
        <v>0</v>
      </c>
      <c r="AF645" s="107">
        <v>46265</v>
      </c>
    </row>
    <row r="646" spans="1:32" x14ac:dyDescent="0.25">
      <c r="A646" s="90">
        <v>1014</v>
      </c>
      <c r="B646" s="91" t="s">
        <v>132</v>
      </c>
      <c r="C646" s="29">
        <v>10510004</v>
      </c>
      <c r="D646" s="92" t="s">
        <v>881</v>
      </c>
      <c r="E646" s="93" t="s">
        <v>270</v>
      </c>
      <c r="F646" s="93" t="s">
        <v>230</v>
      </c>
      <c r="G646" s="109">
        <v>1829.3</v>
      </c>
      <c r="H646" s="109">
        <v>71914.11</v>
      </c>
      <c r="I646" s="95">
        <v>0</v>
      </c>
      <c r="J646" s="95">
        <v>0</v>
      </c>
      <c r="K646" s="95">
        <v>0</v>
      </c>
      <c r="L646" s="95">
        <v>0</v>
      </c>
      <c r="M646" s="96">
        <v>0</v>
      </c>
      <c r="N646" s="97">
        <v>0</v>
      </c>
      <c r="O646" s="98">
        <v>0</v>
      </c>
      <c r="P646" s="33"/>
      <c r="Q646" s="99" t="s">
        <v>1198</v>
      </c>
      <c r="R646" s="100"/>
      <c r="S646" s="101">
        <v>-0.25113207964334161</v>
      </c>
      <c r="T646" s="102">
        <v>5</v>
      </c>
      <c r="U646" s="103">
        <v>0</v>
      </c>
      <c r="V646" s="103">
        <v>0</v>
      </c>
      <c r="W646" s="104">
        <v>0</v>
      </c>
      <c r="X646" s="19"/>
      <c r="Y646" s="103">
        <v>0</v>
      </c>
      <c r="Z646" s="103">
        <v>0</v>
      </c>
      <c r="AA646" s="105">
        <v>0</v>
      </c>
      <c r="AB646" s="106">
        <v>0</v>
      </c>
      <c r="AC646" s="105">
        <v>0</v>
      </c>
      <c r="AD646" s="104">
        <v>0</v>
      </c>
      <c r="AE646" s="104">
        <v>0</v>
      </c>
      <c r="AF646" s="107">
        <v>46265</v>
      </c>
    </row>
    <row r="647" spans="1:32" x14ac:dyDescent="0.25">
      <c r="A647" s="90">
        <v>1012</v>
      </c>
      <c r="B647" s="91" t="s">
        <v>32</v>
      </c>
      <c r="C647" s="29">
        <v>10520006</v>
      </c>
      <c r="D647" s="92" t="s">
        <v>882</v>
      </c>
      <c r="E647" s="93" t="s">
        <v>275</v>
      </c>
      <c r="F647" s="93" t="s">
        <v>231</v>
      </c>
      <c r="G647" s="109">
        <v>6150</v>
      </c>
      <c r="H647" s="109">
        <v>230157</v>
      </c>
      <c r="I647" s="95">
        <v>0</v>
      </c>
      <c r="J647" s="95">
        <v>0</v>
      </c>
      <c r="K647" s="95">
        <v>0</v>
      </c>
      <c r="L647" s="95">
        <v>0</v>
      </c>
      <c r="M647" s="96">
        <v>0</v>
      </c>
      <c r="N647" s="97">
        <v>0</v>
      </c>
      <c r="O647" s="98">
        <v>0</v>
      </c>
      <c r="P647" s="33"/>
      <c r="Q647" s="99" t="s">
        <v>1198</v>
      </c>
      <c r="R647" s="100"/>
      <c r="S647" s="101">
        <v>0</v>
      </c>
      <c r="T647" s="102">
        <v>0</v>
      </c>
      <c r="U647" s="103">
        <v>0</v>
      </c>
      <c r="V647" s="103">
        <v>0</v>
      </c>
      <c r="W647" s="104">
        <v>0</v>
      </c>
      <c r="X647" s="19"/>
      <c r="Y647" s="103">
        <v>0</v>
      </c>
      <c r="Z647" s="103">
        <v>0</v>
      </c>
      <c r="AA647" s="105">
        <v>0</v>
      </c>
      <c r="AB647" s="106">
        <v>0</v>
      </c>
      <c r="AC647" s="105">
        <v>0</v>
      </c>
      <c r="AD647" s="104">
        <v>0</v>
      </c>
      <c r="AE647" s="104">
        <v>0</v>
      </c>
      <c r="AF647" s="107">
        <v>46265</v>
      </c>
    </row>
    <row r="648" spans="1:32" x14ac:dyDescent="0.25">
      <c r="A648" s="90">
        <v>1053</v>
      </c>
      <c r="B648" s="91" t="s">
        <v>24</v>
      </c>
      <c r="C648" s="29">
        <v>10520010</v>
      </c>
      <c r="D648" s="92" t="s">
        <v>883</v>
      </c>
      <c r="E648" s="93" t="s">
        <v>275</v>
      </c>
      <c r="F648" s="93" t="s">
        <v>231</v>
      </c>
      <c r="G648" s="109">
        <v>4805</v>
      </c>
      <c r="H648" s="109">
        <v>189925.40000000002</v>
      </c>
      <c r="I648" s="95">
        <v>0</v>
      </c>
      <c r="J648" s="95">
        <v>0</v>
      </c>
      <c r="K648" s="95">
        <v>0</v>
      </c>
      <c r="L648" s="95">
        <v>0</v>
      </c>
      <c r="M648" s="96">
        <v>0</v>
      </c>
      <c r="N648" s="97">
        <v>0</v>
      </c>
      <c r="O648" s="98">
        <v>0</v>
      </c>
      <c r="P648" s="33"/>
      <c r="Q648" s="99" t="s">
        <v>1198</v>
      </c>
      <c r="R648" s="100"/>
      <c r="S648" s="101">
        <v>0</v>
      </c>
      <c r="T648" s="102">
        <v>0</v>
      </c>
      <c r="U648" s="103">
        <v>0</v>
      </c>
      <c r="V648" s="103">
        <v>0</v>
      </c>
      <c r="W648" s="104">
        <v>0</v>
      </c>
      <c r="X648" s="19"/>
      <c r="Y648" s="103">
        <v>0</v>
      </c>
      <c r="Z648" s="103">
        <v>0</v>
      </c>
      <c r="AA648" s="105">
        <v>0</v>
      </c>
      <c r="AB648" s="106">
        <v>0</v>
      </c>
      <c r="AC648" s="105">
        <v>0</v>
      </c>
      <c r="AD648" s="104">
        <v>0</v>
      </c>
      <c r="AE648" s="104">
        <v>0</v>
      </c>
      <c r="AF648" s="107">
        <v>46265</v>
      </c>
    </row>
    <row r="649" spans="1:32" x14ac:dyDescent="0.25">
      <c r="A649" s="90">
        <v>1052</v>
      </c>
      <c r="B649" s="91" t="s">
        <v>1194</v>
      </c>
      <c r="C649" s="29">
        <v>10520011</v>
      </c>
      <c r="D649" s="92" t="s">
        <v>884</v>
      </c>
      <c r="E649" s="93" t="s">
        <v>270</v>
      </c>
      <c r="F649" s="93" t="s">
        <v>231</v>
      </c>
      <c r="G649" s="109">
        <v>19544</v>
      </c>
      <c r="H649" s="109">
        <v>731362.40000000014</v>
      </c>
      <c r="I649" s="95">
        <v>45000</v>
      </c>
      <c r="J649" s="95">
        <v>0</v>
      </c>
      <c r="K649" s="95">
        <v>0</v>
      </c>
      <c r="L649" s="95">
        <v>0</v>
      </c>
      <c r="M649" s="96">
        <v>0</v>
      </c>
      <c r="N649" s="97">
        <v>0</v>
      </c>
      <c r="O649" s="98">
        <v>0</v>
      </c>
      <c r="P649" s="33" t="s">
        <v>885</v>
      </c>
      <c r="Q649" s="99" t="s">
        <v>1198</v>
      </c>
      <c r="R649" s="100"/>
      <c r="S649" s="101">
        <v>0</v>
      </c>
      <c r="T649" s="102">
        <v>0</v>
      </c>
      <c r="U649" s="103">
        <v>0</v>
      </c>
      <c r="V649" s="103">
        <v>0</v>
      </c>
      <c r="W649" s="104">
        <v>0</v>
      </c>
      <c r="X649" s="19"/>
      <c r="Y649" s="103">
        <v>0</v>
      </c>
      <c r="Z649" s="103">
        <v>0</v>
      </c>
      <c r="AA649" s="105">
        <v>0</v>
      </c>
      <c r="AB649" s="106">
        <v>0</v>
      </c>
      <c r="AC649" s="105">
        <v>0</v>
      </c>
      <c r="AD649" s="104">
        <v>0</v>
      </c>
      <c r="AE649" s="104">
        <v>0</v>
      </c>
      <c r="AF649" s="107">
        <v>46265</v>
      </c>
    </row>
    <row r="650" spans="1:32" x14ac:dyDescent="0.25">
      <c r="A650" s="90">
        <v>1053</v>
      </c>
      <c r="B650" s="91" t="s">
        <v>24</v>
      </c>
      <c r="C650" s="29">
        <v>10530001</v>
      </c>
      <c r="D650" s="92" t="s">
        <v>204</v>
      </c>
      <c r="E650" s="93" t="s">
        <v>270</v>
      </c>
      <c r="F650" s="93" t="s">
        <v>230</v>
      </c>
      <c r="G650" s="109">
        <v>1441.8</v>
      </c>
      <c r="H650" s="109">
        <v>64053.57999999998</v>
      </c>
      <c r="I650" s="95">
        <v>0</v>
      </c>
      <c r="J650" s="95">
        <v>2800</v>
      </c>
      <c r="K650" s="95">
        <v>0</v>
      </c>
      <c r="L650" s="95">
        <v>0</v>
      </c>
      <c r="M650" s="96">
        <v>33</v>
      </c>
      <c r="N650" s="97">
        <v>0</v>
      </c>
      <c r="O650" s="98">
        <v>3</v>
      </c>
      <c r="P650" s="33"/>
      <c r="Q650" s="99" t="s">
        <v>1198</v>
      </c>
      <c r="R650" s="100"/>
      <c r="S650" s="101">
        <v>4.6804565802538098E-4</v>
      </c>
      <c r="T650" s="102">
        <v>30</v>
      </c>
      <c r="U650" s="103">
        <v>0</v>
      </c>
      <c r="V650" s="103">
        <v>0</v>
      </c>
      <c r="W650" s="104">
        <v>0</v>
      </c>
      <c r="X650" s="19"/>
      <c r="Y650" s="103">
        <v>0</v>
      </c>
      <c r="Z650" s="103">
        <v>0</v>
      </c>
      <c r="AA650" s="105">
        <v>0</v>
      </c>
      <c r="AB650" s="106">
        <v>0</v>
      </c>
      <c r="AC650" s="105">
        <v>0</v>
      </c>
      <c r="AD650" s="104">
        <v>0</v>
      </c>
      <c r="AE650" s="104">
        <v>0</v>
      </c>
      <c r="AF650" s="107">
        <v>46265</v>
      </c>
    </row>
    <row r="651" spans="1:32" x14ac:dyDescent="0.25">
      <c r="A651" s="90">
        <v>1053</v>
      </c>
      <c r="B651" s="91" t="s">
        <v>24</v>
      </c>
      <c r="C651" s="29">
        <v>10530002</v>
      </c>
      <c r="D651" s="92" t="s">
        <v>123</v>
      </c>
      <c r="E651" s="93" t="s">
        <v>270</v>
      </c>
      <c r="F651" s="93" t="s">
        <v>230</v>
      </c>
      <c r="G651" s="109">
        <v>1701.2</v>
      </c>
      <c r="H651" s="109">
        <v>71003.87</v>
      </c>
      <c r="I651" s="95">
        <v>0</v>
      </c>
      <c r="J651" s="95">
        <v>1580</v>
      </c>
      <c r="K651" s="95">
        <v>0</v>
      </c>
      <c r="L651" s="95">
        <v>0</v>
      </c>
      <c r="M651" s="96">
        <v>20</v>
      </c>
      <c r="N651" s="97">
        <v>0</v>
      </c>
      <c r="O651" s="98">
        <v>-1</v>
      </c>
      <c r="P651" s="33"/>
      <c r="Q651" s="99" t="s">
        <v>1198</v>
      </c>
      <c r="R651" s="100"/>
      <c r="S651" s="101">
        <v>2.9561768957087395E-4</v>
      </c>
      <c r="T651" s="102">
        <v>37</v>
      </c>
      <c r="U651" s="103">
        <v>0</v>
      </c>
      <c r="V651" s="103">
        <v>0</v>
      </c>
      <c r="W651" s="104">
        <v>0</v>
      </c>
      <c r="X651" s="19"/>
      <c r="Y651" s="103">
        <v>0</v>
      </c>
      <c r="Z651" s="103">
        <v>0</v>
      </c>
      <c r="AA651" s="105">
        <v>0</v>
      </c>
      <c r="AB651" s="106">
        <v>0</v>
      </c>
      <c r="AC651" s="105">
        <v>0</v>
      </c>
      <c r="AD651" s="104">
        <v>0</v>
      </c>
      <c r="AE651" s="104">
        <v>0</v>
      </c>
      <c r="AF651" s="107">
        <v>46265</v>
      </c>
    </row>
    <row r="652" spans="1:32" x14ac:dyDescent="0.25">
      <c r="A652" s="90">
        <v>1053</v>
      </c>
      <c r="B652" s="91" t="s">
        <v>24</v>
      </c>
      <c r="C652" s="29">
        <v>10530003</v>
      </c>
      <c r="D652" s="92" t="s">
        <v>186</v>
      </c>
      <c r="E652" s="93" t="s">
        <v>270</v>
      </c>
      <c r="F652" s="93" t="s">
        <v>230</v>
      </c>
      <c r="G652" s="109">
        <v>1269.3500000000001</v>
      </c>
      <c r="H652" s="109">
        <v>57712.61</v>
      </c>
      <c r="I652" s="95">
        <v>0</v>
      </c>
      <c r="J652" s="95">
        <v>4702</v>
      </c>
      <c r="K652" s="95">
        <v>0</v>
      </c>
      <c r="L652" s="95">
        <v>0</v>
      </c>
      <c r="M652" s="96">
        <v>223</v>
      </c>
      <c r="N652" s="97">
        <v>0</v>
      </c>
      <c r="O652" s="98">
        <v>0</v>
      </c>
      <c r="P652" s="33"/>
      <c r="Q652" s="99" t="s">
        <v>1198</v>
      </c>
      <c r="R652" s="100"/>
      <c r="S652" s="101">
        <v>3.8674390224251575E-3</v>
      </c>
      <c r="T652" s="102">
        <v>31</v>
      </c>
      <c r="U652" s="103">
        <v>0</v>
      </c>
      <c r="V652" s="103">
        <v>0</v>
      </c>
      <c r="W652" s="104">
        <v>0</v>
      </c>
      <c r="X652" s="19"/>
      <c r="Y652" s="103">
        <v>0</v>
      </c>
      <c r="Z652" s="103">
        <v>0</v>
      </c>
      <c r="AA652" s="105">
        <v>0</v>
      </c>
      <c r="AB652" s="106">
        <v>0</v>
      </c>
      <c r="AC652" s="105">
        <v>0</v>
      </c>
      <c r="AD652" s="104">
        <v>0</v>
      </c>
      <c r="AE652" s="104">
        <v>0</v>
      </c>
      <c r="AF652" s="107">
        <v>46265</v>
      </c>
    </row>
    <row r="653" spans="1:32" x14ac:dyDescent="0.25">
      <c r="A653" s="90">
        <v>1053</v>
      </c>
      <c r="B653" s="91" t="s">
        <v>24</v>
      </c>
      <c r="C653" s="29">
        <v>10530005</v>
      </c>
      <c r="D653" s="92" t="s">
        <v>95</v>
      </c>
      <c r="E653" s="93" t="s">
        <v>270</v>
      </c>
      <c r="F653" s="93" t="s">
        <v>230</v>
      </c>
      <c r="G653" s="109">
        <v>612.75000000000023</v>
      </c>
      <c r="H653" s="109">
        <v>30189.83</v>
      </c>
      <c r="I653" s="95">
        <v>0</v>
      </c>
      <c r="J653" s="95">
        <v>5960</v>
      </c>
      <c r="K653" s="95">
        <v>0</v>
      </c>
      <c r="L653" s="95">
        <v>0</v>
      </c>
      <c r="M653" s="96">
        <v>289</v>
      </c>
      <c r="N653" s="97">
        <v>0</v>
      </c>
      <c r="O653" s="98">
        <v>-2</v>
      </c>
      <c r="P653" s="33"/>
      <c r="Q653" s="99" t="s">
        <v>1198</v>
      </c>
      <c r="R653" s="100"/>
      <c r="S653" s="101">
        <v>9.6224457043978043E-3</v>
      </c>
      <c r="T653" s="102">
        <v>18</v>
      </c>
      <c r="U653" s="103">
        <v>0</v>
      </c>
      <c r="V653" s="103">
        <v>0</v>
      </c>
      <c r="W653" s="104">
        <v>0</v>
      </c>
      <c r="X653" s="19"/>
      <c r="Y653" s="103">
        <v>0</v>
      </c>
      <c r="Z653" s="103">
        <v>0</v>
      </c>
      <c r="AA653" s="105">
        <v>0</v>
      </c>
      <c r="AB653" s="106">
        <v>0</v>
      </c>
      <c r="AC653" s="105">
        <v>0</v>
      </c>
      <c r="AD653" s="104">
        <v>0</v>
      </c>
      <c r="AE653" s="104">
        <v>0</v>
      </c>
      <c r="AF653" s="107">
        <v>46265</v>
      </c>
    </row>
    <row r="654" spans="1:32" x14ac:dyDescent="0.25">
      <c r="A654" s="90">
        <v>1053</v>
      </c>
      <c r="B654" s="91" t="s">
        <v>24</v>
      </c>
      <c r="C654" s="29">
        <v>10530006</v>
      </c>
      <c r="D654" s="92" t="s">
        <v>118</v>
      </c>
      <c r="E654" s="93" t="s">
        <v>270</v>
      </c>
      <c r="F654" s="93" t="s">
        <v>230</v>
      </c>
      <c r="G654" s="109">
        <v>1161.1499999999999</v>
      </c>
      <c r="H654" s="109">
        <v>53793.509999999995</v>
      </c>
      <c r="I654" s="95">
        <v>0</v>
      </c>
      <c r="J654" s="95">
        <v>2991</v>
      </c>
      <c r="K654" s="95">
        <v>0</v>
      </c>
      <c r="L654" s="95">
        <v>0</v>
      </c>
      <c r="M654" s="96">
        <v>41</v>
      </c>
      <c r="N654" s="97">
        <v>0</v>
      </c>
      <c r="O654" s="98">
        <v>1</v>
      </c>
      <c r="P654" s="33"/>
      <c r="Q654" s="99" t="s">
        <v>1198</v>
      </c>
      <c r="R654" s="100"/>
      <c r="S654" s="101">
        <v>7.4042389128370736E-4</v>
      </c>
      <c r="T654" s="102">
        <v>62</v>
      </c>
      <c r="U654" s="103">
        <v>0</v>
      </c>
      <c r="V654" s="103">
        <v>0</v>
      </c>
      <c r="W654" s="104">
        <v>0</v>
      </c>
      <c r="X654" s="19"/>
      <c r="Y654" s="103">
        <v>0</v>
      </c>
      <c r="Z654" s="103">
        <v>0</v>
      </c>
      <c r="AA654" s="105">
        <v>0</v>
      </c>
      <c r="AB654" s="106">
        <v>0</v>
      </c>
      <c r="AC654" s="105">
        <v>0</v>
      </c>
      <c r="AD654" s="104">
        <v>0</v>
      </c>
      <c r="AE654" s="104">
        <v>0</v>
      </c>
      <c r="AF654" s="107">
        <v>46265</v>
      </c>
    </row>
    <row r="655" spans="1:32" x14ac:dyDescent="0.25">
      <c r="A655" s="90">
        <v>1053</v>
      </c>
      <c r="B655" s="91" t="s">
        <v>24</v>
      </c>
      <c r="C655" s="29">
        <v>10530007</v>
      </c>
      <c r="D655" s="92" t="s">
        <v>886</v>
      </c>
      <c r="E655" s="93" t="s">
        <v>270</v>
      </c>
      <c r="F655" s="93" t="s">
        <v>230</v>
      </c>
      <c r="G655" s="109">
        <v>579.30000000000007</v>
      </c>
      <c r="H655" s="109">
        <v>27567.219999999998</v>
      </c>
      <c r="I655" s="95">
        <v>0</v>
      </c>
      <c r="J655" s="95">
        <v>0</v>
      </c>
      <c r="K655" s="95">
        <v>0</v>
      </c>
      <c r="L655" s="95">
        <v>0</v>
      </c>
      <c r="M655" s="96">
        <v>1</v>
      </c>
      <c r="N655" s="97">
        <v>0</v>
      </c>
      <c r="O655" s="98">
        <v>-3</v>
      </c>
      <c r="P655" s="33"/>
      <c r="Q655" s="99" t="s">
        <v>1198</v>
      </c>
      <c r="R655" s="100"/>
      <c r="S655" s="101">
        <v>1.3965862353893164E-4</v>
      </c>
      <c r="T655" s="102">
        <v>14</v>
      </c>
      <c r="U655" s="103">
        <v>0</v>
      </c>
      <c r="V655" s="103">
        <v>0</v>
      </c>
      <c r="W655" s="104">
        <v>0</v>
      </c>
      <c r="X655" s="19"/>
      <c r="Y655" s="103">
        <v>0</v>
      </c>
      <c r="Z655" s="103">
        <v>0</v>
      </c>
      <c r="AA655" s="105">
        <v>0</v>
      </c>
      <c r="AB655" s="106">
        <v>0</v>
      </c>
      <c r="AC655" s="105">
        <v>0</v>
      </c>
      <c r="AD655" s="104">
        <v>0</v>
      </c>
      <c r="AE655" s="104">
        <v>0</v>
      </c>
      <c r="AF655" s="107">
        <v>46265</v>
      </c>
    </row>
    <row r="656" spans="1:32" x14ac:dyDescent="0.25">
      <c r="A656" s="90">
        <v>1053</v>
      </c>
      <c r="B656" s="91" t="s">
        <v>24</v>
      </c>
      <c r="C656" s="29">
        <v>10530008</v>
      </c>
      <c r="D656" s="92" t="s">
        <v>142</v>
      </c>
      <c r="E656" s="93" t="s">
        <v>270</v>
      </c>
      <c r="F656" s="93" t="s">
        <v>230</v>
      </c>
      <c r="G656" s="109">
        <v>337.8</v>
      </c>
      <c r="H656" s="109">
        <v>15952.599999999999</v>
      </c>
      <c r="I656" s="95">
        <v>0</v>
      </c>
      <c r="J656" s="95">
        <v>8679</v>
      </c>
      <c r="K656" s="95">
        <v>0</v>
      </c>
      <c r="L656" s="95">
        <v>0</v>
      </c>
      <c r="M656" s="96">
        <v>2</v>
      </c>
      <c r="N656" s="97">
        <v>0</v>
      </c>
      <c r="O656" s="98">
        <v>1</v>
      </c>
      <c r="P656" s="33"/>
      <c r="Q656" s="99" t="s">
        <v>1198</v>
      </c>
      <c r="R656" s="100"/>
      <c r="S656" s="101">
        <v>7.2088562365872475E-5</v>
      </c>
      <c r="T656" s="102">
        <v>6</v>
      </c>
      <c r="U656" s="103">
        <v>0</v>
      </c>
      <c r="V656" s="103">
        <v>0</v>
      </c>
      <c r="W656" s="104">
        <v>0</v>
      </c>
      <c r="X656" s="19"/>
      <c r="Y656" s="103">
        <v>0</v>
      </c>
      <c r="Z656" s="103">
        <v>0</v>
      </c>
      <c r="AA656" s="105">
        <v>0</v>
      </c>
      <c r="AB656" s="106">
        <v>0</v>
      </c>
      <c r="AC656" s="105">
        <v>0</v>
      </c>
      <c r="AD656" s="104">
        <v>0</v>
      </c>
      <c r="AE656" s="104">
        <v>0</v>
      </c>
      <c r="AF656" s="107">
        <v>46265</v>
      </c>
    </row>
    <row r="657" spans="1:32" x14ac:dyDescent="0.25">
      <c r="A657" s="90">
        <v>1053</v>
      </c>
      <c r="B657" s="91" t="s">
        <v>24</v>
      </c>
      <c r="C657" s="29">
        <v>10530009</v>
      </c>
      <c r="D657" s="92" t="s">
        <v>887</v>
      </c>
      <c r="E657" s="93" t="s">
        <v>275</v>
      </c>
      <c r="F657" s="93" t="s">
        <v>231</v>
      </c>
      <c r="G657" s="109">
        <v>5613.35</v>
      </c>
      <c r="H657" s="109">
        <v>238465.52000000002</v>
      </c>
      <c r="I657" s="95">
        <v>0</v>
      </c>
      <c r="J657" s="95">
        <v>0</v>
      </c>
      <c r="K657" s="95">
        <v>0</v>
      </c>
      <c r="L657" s="95">
        <v>0</v>
      </c>
      <c r="M657" s="96">
        <v>0</v>
      </c>
      <c r="N657" s="97">
        <v>0</v>
      </c>
      <c r="O657" s="98">
        <v>0</v>
      </c>
      <c r="P657" s="33"/>
      <c r="Q657" s="99" t="s">
        <v>1198</v>
      </c>
      <c r="R657" s="100"/>
      <c r="S657" s="101">
        <v>0</v>
      </c>
      <c r="T657" s="102">
        <v>0</v>
      </c>
      <c r="U657" s="103">
        <v>0</v>
      </c>
      <c r="V657" s="103">
        <v>0</v>
      </c>
      <c r="W657" s="104">
        <v>0</v>
      </c>
      <c r="X657" s="19"/>
      <c r="Y657" s="103">
        <v>0</v>
      </c>
      <c r="Z657" s="103">
        <v>0</v>
      </c>
      <c r="AA657" s="105">
        <v>0</v>
      </c>
      <c r="AB657" s="106">
        <v>0</v>
      </c>
      <c r="AC657" s="105">
        <v>0</v>
      </c>
      <c r="AD657" s="104">
        <v>0</v>
      </c>
      <c r="AE657" s="104">
        <v>0</v>
      </c>
      <c r="AF657" s="107">
        <v>46265</v>
      </c>
    </row>
    <row r="658" spans="1:32" x14ac:dyDescent="0.25">
      <c r="A658" s="90">
        <v>1053</v>
      </c>
      <c r="B658" s="91" t="s">
        <v>24</v>
      </c>
      <c r="C658" s="29">
        <v>10530010</v>
      </c>
      <c r="D658" s="92" t="s">
        <v>888</v>
      </c>
      <c r="E658" s="93" t="s">
        <v>275</v>
      </c>
      <c r="F658" s="93" t="s">
        <v>231</v>
      </c>
      <c r="G658" s="109">
        <v>2167.4499999999998</v>
      </c>
      <c r="H658" s="109">
        <v>98316.03</v>
      </c>
      <c r="I658" s="95">
        <v>0</v>
      </c>
      <c r="J658" s="95">
        <v>0</v>
      </c>
      <c r="K658" s="95">
        <v>0</v>
      </c>
      <c r="L658" s="95">
        <v>0</v>
      </c>
      <c r="M658" s="96">
        <v>0</v>
      </c>
      <c r="N658" s="97">
        <v>0</v>
      </c>
      <c r="O658" s="98">
        <v>0</v>
      </c>
      <c r="P658" s="33"/>
      <c r="Q658" s="99" t="s">
        <v>1198</v>
      </c>
      <c r="R658" s="100"/>
      <c r="S658" s="101">
        <v>0</v>
      </c>
      <c r="T658" s="102">
        <v>0</v>
      </c>
      <c r="U658" s="103">
        <v>0</v>
      </c>
      <c r="V658" s="103">
        <v>0</v>
      </c>
      <c r="W658" s="104">
        <v>0</v>
      </c>
      <c r="X658" s="19"/>
      <c r="Y658" s="103">
        <v>0</v>
      </c>
      <c r="Z658" s="103">
        <v>0</v>
      </c>
      <c r="AA658" s="105">
        <v>0</v>
      </c>
      <c r="AB658" s="106">
        <v>0</v>
      </c>
      <c r="AC658" s="105">
        <v>0</v>
      </c>
      <c r="AD658" s="104">
        <v>0</v>
      </c>
      <c r="AE658" s="104">
        <v>0</v>
      </c>
      <c r="AF658" s="107">
        <v>46265</v>
      </c>
    </row>
    <row r="659" spans="1:32" x14ac:dyDescent="0.25">
      <c r="A659" s="90">
        <v>1053</v>
      </c>
      <c r="B659" s="91" t="s">
        <v>24</v>
      </c>
      <c r="C659" s="29">
        <v>10530014</v>
      </c>
      <c r="D659" s="92" t="s">
        <v>889</v>
      </c>
      <c r="E659" s="93" t="s">
        <v>275</v>
      </c>
      <c r="F659" s="93" t="s">
        <v>231</v>
      </c>
      <c r="G659" s="109">
        <v>1325.0499999999997</v>
      </c>
      <c r="H659" s="109">
        <v>53141.03</v>
      </c>
      <c r="I659" s="95">
        <v>0</v>
      </c>
      <c r="J659" s="95">
        <v>0</v>
      </c>
      <c r="K659" s="95">
        <v>0</v>
      </c>
      <c r="L659" s="95">
        <v>0</v>
      </c>
      <c r="M659" s="96">
        <v>0</v>
      </c>
      <c r="N659" s="97">
        <v>0</v>
      </c>
      <c r="O659" s="98">
        <v>0</v>
      </c>
      <c r="P659" s="33"/>
      <c r="Q659" s="99" t="s">
        <v>1198</v>
      </c>
      <c r="R659" s="100"/>
      <c r="S659" s="101">
        <v>0</v>
      </c>
      <c r="T659" s="102">
        <v>0</v>
      </c>
      <c r="U659" s="103">
        <v>0</v>
      </c>
      <c r="V659" s="103">
        <v>0</v>
      </c>
      <c r="W659" s="104">
        <v>0</v>
      </c>
      <c r="X659" s="19"/>
      <c r="Y659" s="103">
        <v>0</v>
      </c>
      <c r="Z659" s="103">
        <v>0</v>
      </c>
      <c r="AA659" s="105">
        <v>0</v>
      </c>
      <c r="AB659" s="106">
        <v>0</v>
      </c>
      <c r="AC659" s="105">
        <v>0</v>
      </c>
      <c r="AD659" s="104">
        <v>0</v>
      </c>
      <c r="AE659" s="104">
        <v>0</v>
      </c>
      <c r="AF659" s="107">
        <v>46265</v>
      </c>
    </row>
    <row r="660" spans="1:32" x14ac:dyDescent="0.25">
      <c r="A660" s="90">
        <v>1053</v>
      </c>
      <c r="B660" s="91" t="s">
        <v>24</v>
      </c>
      <c r="C660" s="29">
        <v>10530015</v>
      </c>
      <c r="D660" s="92" t="s">
        <v>143</v>
      </c>
      <c r="E660" s="93" t="s">
        <v>275</v>
      </c>
      <c r="F660" s="93" t="s">
        <v>231</v>
      </c>
      <c r="G660" s="109">
        <v>591.85</v>
      </c>
      <c r="H660" s="109">
        <v>26415.539999999997</v>
      </c>
      <c r="I660" s="95">
        <v>0</v>
      </c>
      <c r="J660" s="95">
        <v>2800</v>
      </c>
      <c r="K660" s="95">
        <v>0</v>
      </c>
      <c r="L660" s="95">
        <v>0</v>
      </c>
      <c r="M660" s="96">
        <v>0</v>
      </c>
      <c r="N660" s="97">
        <v>0</v>
      </c>
      <c r="O660" s="98">
        <v>0</v>
      </c>
      <c r="P660" s="33"/>
      <c r="Q660" s="99" t="s">
        <v>1198</v>
      </c>
      <c r="R660" s="100"/>
      <c r="S660" s="101">
        <v>0</v>
      </c>
      <c r="T660" s="102">
        <v>0</v>
      </c>
      <c r="U660" s="103">
        <v>0</v>
      </c>
      <c r="V660" s="103">
        <v>0</v>
      </c>
      <c r="W660" s="104">
        <v>0</v>
      </c>
      <c r="X660" s="19"/>
      <c r="Y660" s="103">
        <v>0</v>
      </c>
      <c r="Z660" s="103">
        <v>0</v>
      </c>
      <c r="AA660" s="105">
        <v>0</v>
      </c>
      <c r="AB660" s="106">
        <v>0</v>
      </c>
      <c r="AC660" s="105">
        <v>0</v>
      </c>
      <c r="AD660" s="104">
        <v>0</v>
      </c>
      <c r="AE660" s="104">
        <v>0</v>
      </c>
      <c r="AF660" s="107">
        <v>46265</v>
      </c>
    </row>
    <row r="661" spans="1:32" x14ac:dyDescent="0.25">
      <c r="A661" s="90">
        <v>1053</v>
      </c>
      <c r="B661" s="91" t="s">
        <v>24</v>
      </c>
      <c r="C661" s="29">
        <v>10530016</v>
      </c>
      <c r="D661" s="92" t="s">
        <v>890</v>
      </c>
      <c r="E661" s="93" t="s">
        <v>275</v>
      </c>
      <c r="F661" s="93" t="s">
        <v>231</v>
      </c>
      <c r="G661" s="109">
        <v>890.05000000000007</v>
      </c>
      <c r="H661" s="109">
        <v>37684.47</v>
      </c>
      <c r="I661" s="95">
        <v>0</v>
      </c>
      <c r="J661" s="95">
        <v>0</v>
      </c>
      <c r="K661" s="95">
        <v>0</v>
      </c>
      <c r="L661" s="95">
        <v>0</v>
      </c>
      <c r="M661" s="96">
        <v>0</v>
      </c>
      <c r="N661" s="97">
        <v>0</v>
      </c>
      <c r="O661" s="98">
        <v>0</v>
      </c>
      <c r="P661" s="33"/>
      <c r="Q661" s="99" t="s">
        <v>1198</v>
      </c>
      <c r="R661" s="100"/>
      <c r="S661" s="101">
        <v>0</v>
      </c>
      <c r="T661" s="102">
        <v>0</v>
      </c>
      <c r="U661" s="103">
        <v>0</v>
      </c>
      <c r="V661" s="103">
        <v>0</v>
      </c>
      <c r="W661" s="104">
        <v>0</v>
      </c>
      <c r="X661" s="19"/>
      <c r="Y661" s="103">
        <v>0</v>
      </c>
      <c r="Z661" s="103">
        <v>0</v>
      </c>
      <c r="AA661" s="105">
        <v>0</v>
      </c>
      <c r="AB661" s="106">
        <v>0</v>
      </c>
      <c r="AC661" s="105">
        <v>0</v>
      </c>
      <c r="AD661" s="104">
        <v>0</v>
      </c>
      <c r="AE661" s="104">
        <v>0</v>
      </c>
      <c r="AF661" s="107">
        <v>46265</v>
      </c>
    </row>
    <row r="662" spans="1:32" x14ac:dyDescent="0.25">
      <c r="A662" s="90">
        <v>1053</v>
      </c>
      <c r="B662" s="91" t="s">
        <v>24</v>
      </c>
      <c r="C662" s="29">
        <v>10530017</v>
      </c>
      <c r="D662" s="92" t="s">
        <v>891</v>
      </c>
      <c r="E662" s="93" t="s">
        <v>275</v>
      </c>
      <c r="F662" s="93" t="s">
        <v>231</v>
      </c>
      <c r="G662" s="109">
        <v>1663.2499999999998</v>
      </c>
      <c r="H662" s="109">
        <v>72151.929999999993</v>
      </c>
      <c r="I662" s="95">
        <v>0</v>
      </c>
      <c r="J662" s="95">
        <v>0</v>
      </c>
      <c r="K662" s="95">
        <v>0</v>
      </c>
      <c r="L662" s="95">
        <v>0</v>
      </c>
      <c r="M662" s="96">
        <v>0</v>
      </c>
      <c r="N662" s="97">
        <v>0</v>
      </c>
      <c r="O662" s="98">
        <v>0</v>
      </c>
      <c r="P662" s="33"/>
      <c r="Q662" s="99" t="s">
        <v>1198</v>
      </c>
      <c r="R662" s="100"/>
      <c r="S662" s="101">
        <v>0</v>
      </c>
      <c r="T662" s="102">
        <v>0</v>
      </c>
      <c r="U662" s="103">
        <v>0</v>
      </c>
      <c r="V662" s="103">
        <v>0</v>
      </c>
      <c r="W662" s="104">
        <v>0</v>
      </c>
      <c r="X662" s="19"/>
      <c r="Y662" s="103">
        <v>0</v>
      </c>
      <c r="Z662" s="103">
        <v>0</v>
      </c>
      <c r="AA662" s="105">
        <v>0</v>
      </c>
      <c r="AB662" s="106">
        <v>0</v>
      </c>
      <c r="AC662" s="105">
        <v>0</v>
      </c>
      <c r="AD662" s="104">
        <v>0</v>
      </c>
      <c r="AE662" s="104">
        <v>0</v>
      </c>
      <c r="AF662" s="107">
        <v>46265</v>
      </c>
    </row>
    <row r="663" spans="1:32" x14ac:dyDescent="0.25">
      <c r="A663" s="90">
        <v>1053</v>
      </c>
      <c r="B663" s="91" t="s">
        <v>24</v>
      </c>
      <c r="C663" s="29">
        <v>10530018</v>
      </c>
      <c r="D663" s="92" t="s">
        <v>892</v>
      </c>
      <c r="E663" s="93" t="s">
        <v>275</v>
      </c>
      <c r="F663" s="93" t="s">
        <v>231</v>
      </c>
      <c r="G663" s="109">
        <v>1021.7500000000001</v>
      </c>
      <c r="H663" s="109">
        <v>43880.219999999994</v>
      </c>
      <c r="I663" s="95">
        <v>0</v>
      </c>
      <c r="J663" s="95">
        <v>0</v>
      </c>
      <c r="K663" s="95">
        <v>0</v>
      </c>
      <c r="L663" s="95">
        <v>0</v>
      </c>
      <c r="M663" s="96">
        <v>0</v>
      </c>
      <c r="N663" s="97">
        <v>0</v>
      </c>
      <c r="O663" s="98">
        <v>0</v>
      </c>
      <c r="P663" s="33"/>
      <c r="Q663" s="99" t="s">
        <v>1198</v>
      </c>
      <c r="R663" s="100"/>
      <c r="S663" s="101">
        <v>0</v>
      </c>
      <c r="T663" s="102">
        <v>0</v>
      </c>
      <c r="U663" s="103">
        <v>0</v>
      </c>
      <c r="V663" s="103">
        <v>0</v>
      </c>
      <c r="W663" s="104">
        <v>0</v>
      </c>
      <c r="X663" s="19"/>
      <c r="Y663" s="103">
        <v>0</v>
      </c>
      <c r="Z663" s="103">
        <v>0</v>
      </c>
      <c r="AA663" s="105">
        <v>0</v>
      </c>
      <c r="AB663" s="106">
        <v>0</v>
      </c>
      <c r="AC663" s="105">
        <v>0</v>
      </c>
      <c r="AD663" s="104">
        <v>0</v>
      </c>
      <c r="AE663" s="104">
        <v>0</v>
      </c>
      <c r="AF663" s="107">
        <v>46265</v>
      </c>
    </row>
    <row r="664" spans="1:32" x14ac:dyDescent="0.25">
      <c r="A664" s="90">
        <v>1053</v>
      </c>
      <c r="B664" s="91" t="s">
        <v>24</v>
      </c>
      <c r="C664" s="29">
        <v>10530019</v>
      </c>
      <c r="D664" s="92" t="s">
        <v>893</v>
      </c>
      <c r="E664" s="93" t="s">
        <v>275</v>
      </c>
      <c r="F664" s="93" t="s">
        <v>231</v>
      </c>
      <c r="G664" s="109">
        <v>964.25</v>
      </c>
      <c r="H664" s="109">
        <v>40870.47</v>
      </c>
      <c r="I664" s="95">
        <v>0</v>
      </c>
      <c r="J664" s="95">
        <v>0</v>
      </c>
      <c r="K664" s="95">
        <v>0</v>
      </c>
      <c r="L664" s="95">
        <v>0</v>
      </c>
      <c r="M664" s="96">
        <v>0</v>
      </c>
      <c r="N664" s="97">
        <v>0</v>
      </c>
      <c r="O664" s="98">
        <v>0</v>
      </c>
      <c r="P664" s="33"/>
      <c r="Q664" s="99" t="s">
        <v>1198</v>
      </c>
      <c r="R664" s="100"/>
      <c r="S664" s="101">
        <v>0</v>
      </c>
      <c r="T664" s="102">
        <v>0</v>
      </c>
      <c r="U664" s="103">
        <v>0</v>
      </c>
      <c r="V664" s="103">
        <v>0</v>
      </c>
      <c r="W664" s="104">
        <v>0</v>
      </c>
      <c r="X664" s="19"/>
      <c r="Y664" s="103">
        <v>0</v>
      </c>
      <c r="Z664" s="103">
        <v>0</v>
      </c>
      <c r="AA664" s="105">
        <v>0</v>
      </c>
      <c r="AB664" s="106">
        <v>0</v>
      </c>
      <c r="AC664" s="105">
        <v>0</v>
      </c>
      <c r="AD664" s="104">
        <v>0</v>
      </c>
      <c r="AE664" s="104">
        <v>0</v>
      </c>
      <c r="AF664" s="107">
        <v>46265</v>
      </c>
    </row>
    <row r="665" spans="1:32" x14ac:dyDescent="0.25">
      <c r="A665" s="90">
        <v>1053</v>
      </c>
      <c r="B665" s="91" t="s">
        <v>24</v>
      </c>
      <c r="C665" s="29">
        <v>10530025</v>
      </c>
      <c r="D665" s="92" t="s">
        <v>894</v>
      </c>
      <c r="E665" s="93" t="s">
        <v>275</v>
      </c>
      <c r="F665" s="93" t="s">
        <v>231</v>
      </c>
      <c r="G665" s="109">
        <v>178.15</v>
      </c>
      <c r="H665" s="109">
        <v>8972.43</v>
      </c>
      <c r="I665" s="95">
        <v>0</v>
      </c>
      <c r="J665" s="95">
        <v>0</v>
      </c>
      <c r="K665" s="95">
        <v>0</v>
      </c>
      <c r="L665" s="95">
        <v>0</v>
      </c>
      <c r="M665" s="96">
        <v>0</v>
      </c>
      <c r="N665" s="97">
        <v>0</v>
      </c>
      <c r="O665" s="98">
        <v>0</v>
      </c>
      <c r="P665" s="33"/>
      <c r="Q665" s="99" t="s">
        <v>1198</v>
      </c>
      <c r="R665" s="100"/>
      <c r="S665" s="101">
        <v>0</v>
      </c>
      <c r="T665" s="102">
        <v>0</v>
      </c>
      <c r="U665" s="103">
        <v>0</v>
      </c>
      <c r="V665" s="103">
        <v>0</v>
      </c>
      <c r="W665" s="104">
        <v>0</v>
      </c>
      <c r="X665" s="19"/>
      <c r="Y665" s="103">
        <v>0</v>
      </c>
      <c r="Z665" s="103">
        <v>0</v>
      </c>
      <c r="AA665" s="105">
        <v>0</v>
      </c>
      <c r="AB665" s="106">
        <v>0</v>
      </c>
      <c r="AC665" s="105">
        <v>0</v>
      </c>
      <c r="AD665" s="104">
        <v>0</v>
      </c>
      <c r="AE665" s="104">
        <v>0</v>
      </c>
      <c r="AF665" s="107">
        <v>46265</v>
      </c>
    </row>
    <row r="666" spans="1:32" x14ac:dyDescent="0.25">
      <c r="A666" s="90">
        <v>1053</v>
      </c>
      <c r="B666" s="91" t="s">
        <v>24</v>
      </c>
      <c r="C666" s="29">
        <v>10530029</v>
      </c>
      <c r="D666" s="92" t="s">
        <v>895</v>
      </c>
      <c r="E666" s="93" t="s">
        <v>275</v>
      </c>
      <c r="F666" s="93" t="s">
        <v>231</v>
      </c>
      <c r="G666" s="109">
        <v>456.05</v>
      </c>
      <c r="H666" s="109">
        <v>21145.940000000002</v>
      </c>
      <c r="I666" s="95">
        <v>0</v>
      </c>
      <c r="J666" s="95">
        <v>0</v>
      </c>
      <c r="K666" s="95">
        <v>0</v>
      </c>
      <c r="L666" s="95">
        <v>0</v>
      </c>
      <c r="M666" s="96">
        <v>0</v>
      </c>
      <c r="N666" s="97">
        <v>0</v>
      </c>
      <c r="O666" s="98">
        <v>0</v>
      </c>
      <c r="P666" s="33"/>
      <c r="Q666" s="99" t="s">
        <v>1198</v>
      </c>
      <c r="R666" s="100"/>
      <c r="S666" s="101">
        <v>0</v>
      </c>
      <c r="T666" s="102">
        <v>0</v>
      </c>
      <c r="U666" s="103">
        <v>0</v>
      </c>
      <c r="V666" s="103">
        <v>0</v>
      </c>
      <c r="W666" s="104">
        <v>0</v>
      </c>
      <c r="X666" s="19"/>
      <c r="Y666" s="103">
        <v>0</v>
      </c>
      <c r="Z666" s="103">
        <v>0</v>
      </c>
      <c r="AA666" s="105">
        <v>0</v>
      </c>
      <c r="AB666" s="106">
        <v>0</v>
      </c>
      <c r="AC666" s="105">
        <v>0</v>
      </c>
      <c r="AD666" s="104">
        <v>0</v>
      </c>
      <c r="AE666" s="104">
        <v>0</v>
      </c>
      <c r="AF666" s="107">
        <v>46265</v>
      </c>
    </row>
    <row r="667" spans="1:32" x14ac:dyDescent="0.25">
      <c r="A667" s="90">
        <v>1053</v>
      </c>
      <c r="B667" s="91" t="s">
        <v>24</v>
      </c>
      <c r="C667" s="29">
        <v>10530030</v>
      </c>
      <c r="D667" s="92" t="s">
        <v>896</v>
      </c>
      <c r="E667" s="93" t="s">
        <v>275</v>
      </c>
      <c r="F667" s="93" t="s">
        <v>231</v>
      </c>
      <c r="G667" s="109">
        <v>326.99999999999994</v>
      </c>
      <c r="H667" s="109">
        <v>13711.270000000002</v>
      </c>
      <c r="I667" s="95">
        <v>0</v>
      </c>
      <c r="J667" s="95">
        <v>0</v>
      </c>
      <c r="K667" s="95">
        <v>0</v>
      </c>
      <c r="L667" s="95">
        <v>0</v>
      </c>
      <c r="M667" s="96">
        <v>0</v>
      </c>
      <c r="N667" s="97">
        <v>0</v>
      </c>
      <c r="O667" s="98">
        <v>0</v>
      </c>
      <c r="P667" s="33"/>
      <c r="Q667" s="99" t="s">
        <v>1198</v>
      </c>
      <c r="R667" s="100"/>
      <c r="S667" s="101">
        <v>0</v>
      </c>
      <c r="T667" s="102">
        <v>0</v>
      </c>
      <c r="U667" s="103">
        <v>0</v>
      </c>
      <c r="V667" s="103">
        <v>0</v>
      </c>
      <c r="W667" s="104">
        <v>0</v>
      </c>
      <c r="X667" s="19"/>
      <c r="Y667" s="103">
        <v>0</v>
      </c>
      <c r="Z667" s="103">
        <v>0</v>
      </c>
      <c r="AA667" s="105">
        <v>0</v>
      </c>
      <c r="AB667" s="106">
        <v>0</v>
      </c>
      <c r="AC667" s="105">
        <v>0</v>
      </c>
      <c r="AD667" s="104">
        <v>0</v>
      </c>
      <c r="AE667" s="104">
        <v>0</v>
      </c>
      <c r="AF667" s="107">
        <v>46265</v>
      </c>
    </row>
    <row r="668" spans="1:32" x14ac:dyDescent="0.25">
      <c r="A668" s="90">
        <v>1053</v>
      </c>
      <c r="B668" s="91" t="s">
        <v>24</v>
      </c>
      <c r="C668" s="29">
        <v>10530031</v>
      </c>
      <c r="D668" s="92" t="s">
        <v>150</v>
      </c>
      <c r="E668" s="93" t="s">
        <v>275</v>
      </c>
      <c r="F668" s="93" t="s">
        <v>231</v>
      </c>
      <c r="G668" s="109">
        <v>2467.9500000000003</v>
      </c>
      <c r="H668" s="109">
        <v>104295.15999999999</v>
      </c>
      <c r="I668" s="95">
        <v>0</v>
      </c>
      <c r="J668" s="95">
        <v>1550</v>
      </c>
      <c r="K668" s="95">
        <v>0</v>
      </c>
      <c r="L668" s="95">
        <v>0</v>
      </c>
      <c r="M668" s="96">
        <v>0</v>
      </c>
      <c r="N668" s="97">
        <v>0</v>
      </c>
      <c r="O668" s="98">
        <v>0</v>
      </c>
      <c r="P668" s="115"/>
      <c r="Q668" s="99" t="s">
        <v>1198</v>
      </c>
      <c r="R668" s="100"/>
      <c r="S668" s="101">
        <v>0</v>
      </c>
      <c r="T668" s="102">
        <v>0</v>
      </c>
      <c r="U668" s="103">
        <v>0</v>
      </c>
      <c r="V668" s="103">
        <v>0</v>
      </c>
      <c r="W668" s="104">
        <v>0</v>
      </c>
      <c r="X668" s="19"/>
      <c r="Y668" s="103">
        <v>0</v>
      </c>
      <c r="Z668" s="103">
        <v>0</v>
      </c>
      <c r="AA668" s="105">
        <v>0</v>
      </c>
      <c r="AB668" s="106">
        <v>0</v>
      </c>
      <c r="AC668" s="105">
        <v>0</v>
      </c>
      <c r="AD668" s="104">
        <v>0</v>
      </c>
      <c r="AE668" s="104">
        <v>0</v>
      </c>
      <c r="AF668" s="107">
        <v>46265</v>
      </c>
    </row>
    <row r="669" spans="1:32" x14ac:dyDescent="0.25">
      <c r="A669" s="90">
        <v>1053</v>
      </c>
      <c r="B669" s="91" t="s">
        <v>24</v>
      </c>
      <c r="C669" s="29">
        <v>10530032</v>
      </c>
      <c r="D669" s="92" t="s">
        <v>52</v>
      </c>
      <c r="E669" s="93" t="s">
        <v>270</v>
      </c>
      <c r="F669" s="93" t="s">
        <v>230</v>
      </c>
      <c r="G669" s="109">
        <v>755.85000000000014</v>
      </c>
      <c r="H669" s="109">
        <v>38252.200000000004</v>
      </c>
      <c r="I669" s="95">
        <v>0</v>
      </c>
      <c r="J669" s="95">
        <v>4084</v>
      </c>
      <c r="K669" s="95">
        <v>0</v>
      </c>
      <c r="L669" s="95">
        <v>0</v>
      </c>
      <c r="M669" s="96">
        <v>20</v>
      </c>
      <c r="N669" s="97">
        <v>0</v>
      </c>
      <c r="O669" s="98">
        <v>-2</v>
      </c>
      <c r="P669" s="33"/>
      <c r="Q669" s="99" t="s">
        <v>1198</v>
      </c>
      <c r="R669" s="100"/>
      <c r="S669" s="101">
        <v>5.6205917568158891E-4</v>
      </c>
      <c r="T669" s="102">
        <v>28</v>
      </c>
      <c r="U669" s="103">
        <v>0</v>
      </c>
      <c r="V669" s="103">
        <v>0</v>
      </c>
      <c r="W669" s="104">
        <v>0</v>
      </c>
      <c r="X669" s="19"/>
      <c r="Y669" s="103">
        <v>0</v>
      </c>
      <c r="Z669" s="103">
        <v>0</v>
      </c>
      <c r="AA669" s="105">
        <v>0</v>
      </c>
      <c r="AB669" s="106">
        <v>0</v>
      </c>
      <c r="AC669" s="105">
        <v>0</v>
      </c>
      <c r="AD669" s="104">
        <v>0</v>
      </c>
      <c r="AE669" s="104">
        <v>0</v>
      </c>
      <c r="AF669" s="107">
        <v>46265</v>
      </c>
    </row>
    <row r="670" spans="1:32" x14ac:dyDescent="0.25">
      <c r="A670" s="90">
        <v>1053</v>
      </c>
      <c r="B670" s="91" t="s">
        <v>24</v>
      </c>
      <c r="C670" s="29">
        <v>10530033</v>
      </c>
      <c r="D670" s="92" t="s">
        <v>897</v>
      </c>
      <c r="E670" s="93" t="s">
        <v>270</v>
      </c>
      <c r="F670" s="93" t="s">
        <v>230</v>
      </c>
      <c r="G670" s="109">
        <v>735.40000000000009</v>
      </c>
      <c r="H670" s="109">
        <v>34074.6</v>
      </c>
      <c r="I670" s="95">
        <v>0</v>
      </c>
      <c r="J670" s="95">
        <v>0</v>
      </c>
      <c r="K670" s="95">
        <v>0</v>
      </c>
      <c r="L670" s="95">
        <v>0</v>
      </c>
      <c r="M670" s="96">
        <v>408</v>
      </c>
      <c r="N670" s="97">
        <v>0</v>
      </c>
      <c r="O670" s="98">
        <v>-1</v>
      </c>
      <c r="P670" s="33"/>
      <c r="Q670" s="99" t="s">
        <v>1198</v>
      </c>
      <c r="R670" s="100"/>
      <c r="S670" s="101">
        <v>1.2010118974250342E-2</v>
      </c>
      <c r="T670" s="102">
        <v>23</v>
      </c>
      <c r="U670" s="103">
        <v>0</v>
      </c>
      <c r="V670" s="103">
        <v>0</v>
      </c>
      <c r="W670" s="104">
        <v>0</v>
      </c>
      <c r="X670" s="19"/>
      <c r="Y670" s="103">
        <v>0</v>
      </c>
      <c r="Z670" s="103">
        <v>0</v>
      </c>
      <c r="AA670" s="105">
        <v>0</v>
      </c>
      <c r="AB670" s="106">
        <v>0</v>
      </c>
      <c r="AC670" s="105">
        <v>0</v>
      </c>
      <c r="AD670" s="104">
        <v>0</v>
      </c>
      <c r="AE670" s="104">
        <v>0</v>
      </c>
      <c r="AF670" s="107">
        <v>46265</v>
      </c>
    </row>
    <row r="671" spans="1:32" x14ac:dyDescent="0.25">
      <c r="A671" s="90">
        <v>1053</v>
      </c>
      <c r="B671" s="91" t="s">
        <v>24</v>
      </c>
      <c r="C671" s="29">
        <v>10530034</v>
      </c>
      <c r="D671" s="92" t="s">
        <v>162</v>
      </c>
      <c r="E671" s="93" t="s">
        <v>270</v>
      </c>
      <c r="F671" s="93" t="s">
        <v>230</v>
      </c>
      <c r="G671" s="109">
        <v>2270.7999999999997</v>
      </c>
      <c r="H671" s="109">
        <v>118871.62999999999</v>
      </c>
      <c r="I671" s="95">
        <v>0</v>
      </c>
      <c r="J671" s="95">
        <v>8242</v>
      </c>
      <c r="K671" s="95">
        <v>0</v>
      </c>
      <c r="L671" s="95">
        <v>0</v>
      </c>
      <c r="M671" s="96">
        <v>1</v>
      </c>
      <c r="N671" s="97">
        <v>0</v>
      </c>
      <c r="O671" s="98">
        <v>-1</v>
      </c>
      <c r="P671" s="33"/>
      <c r="Q671" s="99" t="s">
        <v>1198</v>
      </c>
      <c r="R671" s="100"/>
      <c r="S671" s="101">
        <v>1.758199159892953E-5</v>
      </c>
      <c r="T671" s="102">
        <v>54</v>
      </c>
      <c r="U671" s="103">
        <v>0</v>
      </c>
      <c r="V671" s="103">
        <v>0</v>
      </c>
      <c r="W671" s="104">
        <v>0</v>
      </c>
      <c r="X671" s="19"/>
      <c r="Y671" s="103">
        <v>0</v>
      </c>
      <c r="Z671" s="103">
        <v>0</v>
      </c>
      <c r="AA671" s="105">
        <v>0</v>
      </c>
      <c r="AB671" s="106">
        <v>0</v>
      </c>
      <c r="AC671" s="105">
        <v>0</v>
      </c>
      <c r="AD671" s="104">
        <v>0</v>
      </c>
      <c r="AE671" s="104">
        <v>0</v>
      </c>
      <c r="AF671" s="107">
        <v>46265</v>
      </c>
    </row>
    <row r="672" spans="1:32" x14ac:dyDescent="0.25">
      <c r="A672" s="90">
        <v>1053</v>
      </c>
      <c r="B672" s="91" t="s">
        <v>24</v>
      </c>
      <c r="C672" s="29">
        <v>10530035</v>
      </c>
      <c r="D672" s="92" t="s">
        <v>197</v>
      </c>
      <c r="E672" s="93" t="s">
        <v>270</v>
      </c>
      <c r="F672" s="93" t="s">
        <v>230</v>
      </c>
      <c r="G672" s="109">
        <v>809.6</v>
      </c>
      <c r="H672" s="109">
        <v>41012.619999999995</v>
      </c>
      <c r="I672" s="95">
        <v>0</v>
      </c>
      <c r="J672" s="95">
        <v>3179</v>
      </c>
      <c r="K672" s="95">
        <v>0</v>
      </c>
      <c r="L672" s="95">
        <v>0</v>
      </c>
      <c r="M672" s="96">
        <v>529</v>
      </c>
      <c r="N672" s="97">
        <v>0</v>
      </c>
      <c r="O672" s="98">
        <v>4</v>
      </c>
      <c r="P672" s="33"/>
      <c r="Q672" s="99" t="s">
        <v>1198</v>
      </c>
      <c r="R672" s="100"/>
      <c r="S672" s="101">
        <v>1.2807765024521339E-2</v>
      </c>
      <c r="T672" s="102">
        <v>21</v>
      </c>
      <c r="U672" s="103">
        <v>0</v>
      </c>
      <c r="V672" s="103">
        <v>0</v>
      </c>
      <c r="W672" s="104">
        <v>0</v>
      </c>
      <c r="X672" s="19"/>
      <c r="Y672" s="103">
        <v>0</v>
      </c>
      <c r="Z672" s="103">
        <v>0</v>
      </c>
      <c r="AA672" s="105">
        <v>0</v>
      </c>
      <c r="AB672" s="106">
        <v>0</v>
      </c>
      <c r="AC672" s="105">
        <v>0</v>
      </c>
      <c r="AD672" s="104">
        <v>0</v>
      </c>
      <c r="AE672" s="104">
        <v>0</v>
      </c>
      <c r="AF672" s="107">
        <v>46265</v>
      </c>
    </row>
    <row r="673" spans="1:32" x14ac:dyDescent="0.25">
      <c r="A673" s="90">
        <v>1053</v>
      </c>
      <c r="B673" s="91" t="s">
        <v>24</v>
      </c>
      <c r="C673" s="29">
        <v>10530038</v>
      </c>
      <c r="D673" s="92" t="s">
        <v>149</v>
      </c>
      <c r="E673" s="93" t="s">
        <v>275</v>
      </c>
      <c r="F673" s="93" t="s">
        <v>231</v>
      </c>
      <c r="G673" s="109">
        <v>434.1</v>
      </c>
      <c r="H673" s="109">
        <v>19248.2</v>
      </c>
      <c r="I673" s="95">
        <v>0</v>
      </c>
      <c r="J673" s="95">
        <v>1400</v>
      </c>
      <c r="K673" s="95">
        <v>0</v>
      </c>
      <c r="L673" s="95">
        <v>0</v>
      </c>
      <c r="M673" s="96">
        <v>0</v>
      </c>
      <c r="N673" s="97">
        <v>0</v>
      </c>
      <c r="O673" s="98">
        <v>0</v>
      </c>
      <c r="P673" s="33"/>
      <c r="Q673" s="99" t="s">
        <v>1198</v>
      </c>
      <c r="R673" s="100"/>
      <c r="S673" s="101">
        <v>0</v>
      </c>
      <c r="T673" s="102">
        <v>0</v>
      </c>
      <c r="U673" s="103">
        <v>0</v>
      </c>
      <c r="V673" s="103">
        <v>0</v>
      </c>
      <c r="W673" s="104">
        <v>0</v>
      </c>
      <c r="X673" s="19"/>
      <c r="Y673" s="103">
        <v>0</v>
      </c>
      <c r="Z673" s="103">
        <v>0</v>
      </c>
      <c r="AA673" s="105">
        <v>0</v>
      </c>
      <c r="AB673" s="106">
        <v>0</v>
      </c>
      <c r="AC673" s="105">
        <v>0</v>
      </c>
      <c r="AD673" s="104">
        <v>0</v>
      </c>
      <c r="AE673" s="104">
        <v>0</v>
      </c>
      <c r="AF673" s="107">
        <v>46265</v>
      </c>
    </row>
    <row r="674" spans="1:32" x14ac:dyDescent="0.25">
      <c r="A674" s="90">
        <v>1053</v>
      </c>
      <c r="B674" s="91" t="s">
        <v>24</v>
      </c>
      <c r="C674" s="29">
        <v>10530040</v>
      </c>
      <c r="D674" s="92" t="s">
        <v>146</v>
      </c>
      <c r="E674" s="93" t="s">
        <v>270</v>
      </c>
      <c r="F674" s="93" t="s">
        <v>230</v>
      </c>
      <c r="G674" s="109">
        <v>923.6500000000002</v>
      </c>
      <c r="H674" s="109">
        <v>44660.209999999992</v>
      </c>
      <c r="I674" s="95">
        <v>0</v>
      </c>
      <c r="J674" s="95">
        <v>5973</v>
      </c>
      <c r="K674" s="95">
        <v>0</v>
      </c>
      <c r="L674" s="95">
        <v>0</v>
      </c>
      <c r="M674" s="96">
        <v>46</v>
      </c>
      <c r="N674" s="97">
        <v>0</v>
      </c>
      <c r="O674" s="98">
        <v>1</v>
      </c>
      <c r="P674" s="115"/>
      <c r="Q674" s="99" t="s">
        <v>1198</v>
      </c>
      <c r="R674" s="100"/>
      <c r="S674" s="101">
        <v>1.0033539922895661E-3</v>
      </c>
      <c r="T674" s="102">
        <v>22</v>
      </c>
      <c r="U674" s="103">
        <v>0</v>
      </c>
      <c r="V674" s="103">
        <v>0</v>
      </c>
      <c r="W674" s="104">
        <v>0</v>
      </c>
      <c r="X674" s="19"/>
      <c r="Y674" s="103">
        <v>0</v>
      </c>
      <c r="Z674" s="103">
        <v>0</v>
      </c>
      <c r="AA674" s="105">
        <v>0</v>
      </c>
      <c r="AB674" s="106">
        <v>0</v>
      </c>
      <c r="AC674" s="105">
        <v>0</v>
      </c>
      <c r="AD674" s="104">
        <v>0</v>
      </c>
      <c r="AE674" s="104">
        <v>0</v>
      </c>
      <c r="AF674" s="107">
        <v>46265</v>
      </c>
    </row>
    <row r="675" spans="1:32" x14ac:dyDescent="0.25">
      <c r="A675" s="90">
        <v>1053</v>
      </c>
      <c r="B675" s="91" t="s">
        <v>24</v>
      </c>
      <c r="C675" s="29">
        <v>10530044</v>
      </c>
      <c r="D675" s="92" t="s">
        <v>71</v>
      </c>
      <c r="E675" s="93" t="s">
        <v>270</v>
      </c>
      <c r="F675" s="93" t="s">
        <v>230</v>
      </c>
      <c r="G675" s="109">
        <v>1197.05</v>
      </c>
      <c r="H675" s="109">
        <v>55844.859999999993</v>
      </c>
      <c r="I675" s="95">
        <v>0</v>
      </c>
      <c r="J675" s="95">
        <v>2002</v>
      </c>
      <c r="K675" s="95">
        <v>0</v>
      </c>
      <c r="L675" s="95">
        <v>0</v>
      </c>
      <c r="M675" s="96">
        <v>5</v>
      </c>
      <c r="N675" s="97">
        <v>0</v>
      </c>
      <c r="O675" s="98">
        <v>0</v>
      </c>
      <c r="P675" s="33"/>
      <c r="Q675" s="99" t="s">
        <v>1198</v>
      </c>
      <c r="R675" s="100"/>
      <c r="S675" s="101">
        <v>9.4905780048174234E-5</v>
      </c>
      <c r="T675" s="102">
        <v>29</v>
      </c>
      <c r="U675" s="103">
        <v>0</v>
      </c>
      <c r="V675" s="103">
        <v>0</v>
      </c>
      <c r="W675" s="104">
        <v>0</v>
      </c>
      <c r="X675" s="19"/>
      <c r="Y675" s="103">
        <v>0</v>
      </c>
      <c r="Z675" s="103">
        <v>0</v>
      </c>
      <c r="AA675" s="105">
        <v>0</v>
      </c>
      <c r="AB675" s="106">
        <v>0</v>
      </c>
      <c r="AC675" s="105">
        <v>0</v>
      </c>
      <c r="AD675" s="104">
        <v>0</v>
      </c>
      <c r="AE675" s="104">
        <v>0</v>
      </c>
      <c r="AF675" s="107">
        <v>46265</v>
      </c>
    </row>
    <row r="676" spans="1:32" x14ac:dyDescent="0.25">
      <c r="A676" s="90">
        <v>1053</v>
      </c>
      <c r="B676" s="91" t="s">
        <v>24</v>
      </c>
      <c r="C676" s="29">
        <v>10530046</v>
      </c>
      <c r="D676" s="92" t="s">
        <v>898</v>
      </c>
      <c r="E676" s="93" t="s">
        <v>270</v>
      </c>
      <c r="F676" s="93" t="s">
        <v>230</v>
      </c>
      <c r="G676" s="109">
        <v>309.5499999999999</v>
      </c>
      <c r="H676" s="109">
        <v>15316.119999999999</v>
      </c>
      <c r="I676" s="95">
        <v>0</v>
      </c>
      <c r="J676" s="95">
        <v>0</v>
      </c>
      <c r="K676" s="95">
        <v>0</v>
      </c>
      <c r="L676" s="95">
        <v>0</v>
      </c>
      <c r="M676" s="96">
        <v>1</v>
      </c>
      <c r="N676" s="97">
        <v>0</v>
      </c>
      <c r="O676" s="98">
        <v>-2</v>
      </c>
      <c r="P676" s="33"/>
      <c r="Q676" s="99" t="s">
        <v>1198</v>
      </c>
      <c r="R676" s="100"/>
      <c r="S676" s="101">
        <v>2.0631857154421973E-4</v>
      </c>
      <c r="T676" s="102">
        <v>14</v>
      </c>
      <c r="U676" s="103">
        <v>0</v>
      </c>
      <c r="V676" s="103">
        <v>0</v>
      </c>
      <c r="W676" s="104">
        <v>0</v>
      </c>
      <c r="X676" s="19"/>
      <c r="Y676" s="103">
        <v>0</v>
      </c>
      <c r="Z676" s="103">
        <v>0</v>
      </c>
      <c r="AA676" s="105">
        <v>0</v>
      </c>
      <c r="AB676" s="106">
        <v>0</v>
      </c>
      <c r="AC676" s="105">
        <v>0</v>
      </c>
      <c r="AD676" s="104">
        <v>0</v>
      </c>
      <c r="AE676" s="104">
        <v>0</v>
      </c>
      <c r="AF676" s="107">
        <v>46265</v>
      </c>
    </row>
    <row r="677" spans="1:32" x14ac:dyDescent="0.25">
      <c r="A677" s="90">
        <v>1053</v>
      </c>
      <c r="B677" s="91" t="s">
        <v>24</v>
      </c>
      <c r="C677" s="29">
        <v>10530047</v>
      </c>
      <c r="D677" s="92" t="s">
        <v>147</v>
      </c>
      <c r="E677" s="93" t="s">
        <v>270</v>
      </c>
      <c r="F677" s="93" t="s">
        <v>230</v>
      </c>
      <c r="G677" s="109">
        <v>276.5</v>
      </c>
      <c r="H677" s="109">
        <v>10371.25</v>
      </c>
      <c r="I677" s="95">
        <v>0</v>
      </c>
      <c r="J677" s="95">
        <v>3100</v>
      </c>
      <c r="K677" s="95">
        <v>0</v>
      </c>
      <c r="L677" s="95">
        <v>0</v>
      </c>
      <c r="M677" s="96">
        <v>19</v>
      </c>
      <c r="N677" s="97">
        <v>0</v>
      </c>
      <c r="O677" s="98">
        <v>1</v>
      </c>
      <c r="P677" s="33"/>
      <c r="Q677" s="99" t="s">
        <v>1198</v>
      </c>
      <c r="R677" s="100"/>
      <c r="S677" s="101">
        <v>1.7230324213571941E-3</v>
      </c>
      <c r="T677" s="102">
        <v>5</v>
      </c>
      <c r="U677" s="103">
        <v>0</v>
      </c>
      <c r="V677" s="103">
        <v>0</v>
      </c>
      <c r="W677" s="104">
        <v>0</v>
      </c>
      <c r="X677" s="19"/>
      <c r="Y677" s="103">
        <v>0</v>
      </c>
      <c r="Z677" s="103">
        <v>0</v>
      </c>
      <c r="AA677" s="105">
        <v>0</v>
      </c>
      <c r="AB677" s="106">
        <v>0</v>
      </c>
      <c r="AC677" s="105">
        <v>0</v>
      </c>
      <c r="AD677" s="104">
        <v>0</v>
      </c>
      <c r="AE677" s="104">
        <v>0</v>
      </c>
      <c r="AF677" s="107">
        <v>46265</v>
      </c>
    </row>
    <row r="678" spans="1:32" x14ac:dyDescent="0.25">
      <c r="A678" s="90">
        <v>1053</v>
      </c>
      <c r="B678" s="91" t="s">
        <v>24</v>
      </c>
      <c r="C678" s="29">
        <v>10530048</v>
      </c>
      <c r="D678" s="92" t="s">
        <v>899</v>
      </c>
      <c r="E678" s="93" t="s">
        <v>270</v>
      </c>
      <c r="F678" s="93" t="s">
        <v>230</v>
      </c>
      <c r="G678" s="109">
        <v>362</v>
      </c>
      <c r="H678" s="109">
        <v>16543.52</v>
      </c>
      <c r="I678" s="95">
        <v>0</v>
      </c>
      <c r="J678" s="95">
        <v>0</v>
      </c>
      <c r="K678" s="95">
        <v>0</v>
      </c>
      <c r="L678" s="95">
        <v>0</v>
      </c>
      <c r="M678" s="96">
        <v>24</v>
      </c>
      <c r="N678" s="97">
        <v>0</v>
      </c>
      <c r="O678" s="98">
        <v>0</v>
      </c>
      <c r="P678" s="33"/>
      <c r="Q678" s="99" t="s">
        <v>1198</v>
      </c>
      <c r="R678" s="100"/>
      <c r="S678" s="101">
        <v>1.4640173312572636E-3</v>
      </c>
      <c r="T678" s="102">
        <v>14</v>
      </c>
      <c r="U678" s="103">
        <v>0</v>
      </c>
      <c r="V678" s="103">
        <v>0</v>
      </c>
      <c r="W678" s="104">
        <v>0</v>
      </c>
      <c r="X678" s="19"/>
      <c r="Y678" s="103">
        <v>0</v>
      </c>
      <c r="Z678" s="103">
        <v>0</v>
      </c>
      <c r="AA678" s="105">
        <v>0</v>
      </c>
      <c r="AB678" s="106">
        <v>0</v>
      </c>
      <c r="AC678" s="105">
        <v>0</v>
      </c>
      <c r="AD678" s="104">
        <v>0</v>
      </c>
      <c r="AE678" s="104">
        <v>0</v>
      </c>
      <c r="AF678" s="107">
        <v>46265</v>
      </c>
    </row>
    <row r="679" spans="1:32" x14ac:dyDescent="0.25">
      <c r="A679" s="90">
        <v>1053</v>
      </c>
      <c r="B679" s="91" t="s">
        <v>24</v>
      </c>
      <c r="C679" s="29">
        <v>10530049</v>
      </c>
      <c r="D679" s="92" t="s">
        <v>900</v>
      </c>
      <c r="E679" s="93" t="s">
        <v>275</v>
      </c>
      <c r="F679" s="93" t="s">
        <v>231</v>
      </c>
      <c r="G679" s="109">
        <v>2296.7999999999997</v>
      </c>
      <c r="H679" s="109">
        <v>92750.99</v>
      </c>
      <c r="I679" s="95">
        <v>0</v>
      </c>
      <c r="J679" s="95">
        <v>0</v>
      </c>
      <c r="K679" s="95">
        <v>0</v>
      </c>
      <c r="L679" s="95">
        <v>0</v>
      </c>
      <c r="M679" s="96">
        <v>0</v>
      </c>
      <c r="N679" s="97">
        <v>0</v>
      </c>
      <c r="O679" s="98">
        <v>0</v>
      </c>
      <c r="P679" s="33"/>
      <c r="Q679" s="99" t="s">
        <v>1198</v>
      </c>
      <c r="R679" s="100"/>
      <c r="S679" s="101">
        <v>0</v>
      </c>
      <c r="T679" s="102">
        <v>0</v>
      </c>
      <c r="U679" s="103">
        <v>0</v>
      </c>
      <c r="V679" s="103">
        <v>0</v>
      </c>
      <c r="W679" s="104">
        <v>0</v>
      </c>
      <c r="X679" s="19"/>
      <c r="Y679" s="103">
        <v>0</v>
      </c>
      <c r="Z679" s="103">
        <v>0</v>
      </c>
      <c r="AA679" s="105">
        <v>0</v>
      </c>
      <c r="AB679" s="106">
        <v>0</v>
      </c>
      <c r="AC679" s="105">
        <v>0</v>
      </c>
      <c r="AD679" s="104">
        <v>0</v>
      </c>
      <c r="AE679" s="104">
        <v>0</v>
      </c>
      <c r="AF679" s="107">
        <v>46265</v>
      </c>
    </row>
    <row r="680" spans="1:32" x14ac:dyDescent="0.25">
      <c r="A680" s="90">
        <v>1053</v>
      </c>
      <c r="B680" s="91" t="s">
        <v>24</v>
      </c>
      <c r="C680" s="29">
        <v>10530050</v>
      </c>
      <c r="D680" s="92" t="s">
        <v>901</v>
      </c>
      <c r="E680" s="93" t="s">
        <v>275</v>
      </c>
      <c r="F680" s="93" t="s">
        <v>231</v>
      </c>
      <c r="G680" s="109">
        <v>352.2</v>
      </c>
      <c r="H680" s="109">
        <v>18444.439999999999</v>
      </c>
      <c r="I680" s="95">
        <v>0</v>
      </c>
      <c r="J680" s="95">
        <v>0</v>
      </c>
      <c r="K680" s="95">
        <v>0</v>
      </c>
      <c r="L680" s="95">
        <v>0</v>
      </c>
      <c r="M680" s="96">
        <v>0</v>
      </c>
      <c r="N680" s="97">
        <v>0</v>
      </c>
      <c r="O680" s="98">
        <v>0</v>
      </c>
      <c r="P680" s="33"/>
      <c r="Q680" s="99" t="s">
        <v>1198</v>
      </c>
      <c r="R680" s="100"/>
      <c r="S680" s="101">
        <v>0</v>
      </c>
      <c r="T680" s="102">
        <v>0</v>
      </c>
      <c r="U680" s="103">
        <v>0</v>
      </c>
      <c r="V680" s="103">
        <v>0</v>
      </c>
      <c r="W680" s="104">
        <v>0</v>
      </c>
      <c r="X680" s="19"/>
      <c r="Y680" s="103">
        <v>0</v>
      </c>
      <c r="Z680" s="103">
        <v>0</v>
      </c>
      <c r="AA680" s="105">
        <v>0</v>
      </c>
      <c r="AB680" s="106">
        <v>0</v>
      </c>
      <c r="AC680" s="105">
        <v>0</v>
      </c>
      <c r="AD680" s="104">
        <v>0</v>
      </c>
      <c r="AE680" s="104">
        <v>0</v>
      </c>
      <c r="AF680" s="107">
        <v>46265</v>
      </c>
    </row>
    <row r="681" spans="1:32" x14ac:dyDescent="0.25">
      <c r="A681" s="90">
        <v>1066</v>
      </c>
      <c r="B681" s="91" t="s">
        <v>1195</v>
      </c>
      <c r="C681" s="29">
        <v>10530054</v>
      </c>
      <c r="D681" s="92" t="s">
        <v>902</v>
      </c>
      <c r="E681" s="93" t="s">
        <v>275</v>
      </c>
      <c r="F681" s="93" t="s">
        <v>231</v>
      </c>
      <c r="G681" s="109">
        <v>408.4</v>
      </c>
      <c r="H681" s="109">
        <v>16634.13</v>
      </c>
      <c r="I681" s="95">
        <v>0</v>
      </c>
      <c r="J681" s="95">
        <v>0</v>
      </c>
      <c r="K681" s="95">
        <v>0</v>
      </c>
      <c r="L681" s="95">
        <v>0</v>
      </c>
      <c r="M681" s="96">
        <v>0</v>
      </c>
      <c r="N681" s="97">
        <v>0</v>
      </c>
      <c r="O681" s="98">
        <v>0</v>
      </c>
      <c r="P681" s="33"/>
      <c r="Q681" s="99" t="s">
        <v>1198</v>
      </c>
      <c r="R681" s="100"/>
      <c r="S681" s="101">
        <v>0</v>
      </c>
      <c r="T681" s="102">
        <v>0</v>
      </c>
      <c r="U681" s="103">
        <v>0</v>
      </c>
      <c r="V681" s="103">
        <v>0</v>
      </c>
      <c r="W681" s="104">
        <v>0</v>
      </c>
      <c r="X681" s="19"/>
      <c r="Y681" s="103">
        <v>0</v>
      </c>
      <c r="Z681" s="103">
        <v>0</v>
      </c>
      <c r="AA681" s="105">
        <v>0</v>
      </c>
      <c r="AB681" s="106">
        <v>0</v>
      </c>
      <c r="AC681" s="105">
        <v>0</v>
      </c>
      <c r="AD681" s="104">
        <v>0</v>
      </c>
      <c r="AE681" s="104">
        <v>0</v>
      </c>
      <c r="AF681" s="107">
        <v>46265</v>
      </c>
    </row>
    <row r="682" spans="1:32" x14ac:dyDescent="0.25">
      <c r="A682" s="90">
        <v>1053</v>
      </c>
      <c r="B682" s="91" t="s">
        <v>24</v>
      </c>
      <c r="C682" s="29">
        <v>10530055</v>
      </c>
      <c r="D682" s="92" t="s">
        <v>72</v>
      </c>
      <c r="E682" s="93" t="s">
        <v>270</v>
      </c>
      <c r="F682" s="93" t="s">
        <v>230</v>
      </c>
      <c r="G682" s="109">
        <v>1620.35</v>
      </c>
      <c r="H682" s="109">
        <v>68703.100000000006</v>
      </c>
      <c r="I682" s="95">
        <v>0</v>
      </c>
      <c r="J682" s="95">
        <v>924</v>
      </c>
      <c r="K682" s="95">
        <v>0</v>
      </c>
      <c r="L682" s="95">
        <v>0</v>
      </c>
      <c r="M682" s="96">
        <v>2</v>
      </c>
      <c r="N682" s="97">
        <v>0</v>
      </c>
      <c r="O682" s="98">
        <v>-7</v>
      </c>
      <c r="P682" s="33"/>
      <c r="Q682" s="99" t="s">
        <v>1198</v>
      </c>
      <c r="R682" s="100"/>
      <c r="S682" s="101">
        <v>1.2139190225742295E-4</v>
      </c>
      <c r="T682" s="102">
        <v>51</v>
      </c>
      <c r="U682" s="103">
        <v>0</v>
      </c>
      <c r="V682" s="103">
        <v>0</v>
      </c>
      <c r="W682" s="104">
        <v>0</v>
      </c>
      <c r="X682" s="19"/>
      <c r="Y682" s="103">
        <v>0</v>
      </c>
      <c r="Z682" s="103">
        <v>0</v>
      </c>
      <c r="AA682" s="105">
        <v>0</v>
      </c>
      <c r="AB682" s="106">
        <v>0</v>
      </c>
      <c r="AC682" s="105">
        <v>0</v>
      </c>
      <c r="AD682" s="104">
        <v>0</v>
      </c>
      <c r="AE682" s="104">
        <v>0</v>
      </c>
      <c r="AF682" s="107">
        <v>46265</v>
      </c>
    </row>
    <row r="683" spans="1:32" x14ac:dyDescent="0.25">
      <c r="A683" s="90">
        <v>1053</v>
      </c>
      <c r="B683" s="91" t="s">
        <v>24</v>
      </c>
      <c r="C683" s="29">
        <v>10530057</v>
      </c>
      <c r="D683" s="92" t="s">
        <v>903</v>
      </c>
      <c r="E683" s="93" t="s">
        <v>275</v>
      </c>
      <c r="F683" s="93" t="s">
        <v>231</v>
      </c>
      <c r="G683" s="109">
        <v>93.5</v>
      </c>
      <c r="H683" s="109">
        <v>3892.2200000000003</v>
      </c>
      <c r="I683" s="95">
        <v>0</v>
      </c>
      <c r="J683" s="95">
        <v>0</v>
      </c>
      <c r="K683" s="95">
        <v>0</v>
      </c>
      <c r="L683" s="95">
        <v>0</v>
      </c>
      <c r="M683" s="96">
        <v>0</v>
      </c>
      <c r="N683" s="97">
        <v>0</v>
      </c>
      <c r="O683" s="98">
        <v>0</v>
      </c>
      <c r="P683" s="33"/>
      <c r="Q683" s="99" t="s">
        <v>1198</v>
      </c>
      <c r="R683" s="100"/>
      <c r="S683" s="101">
        <v>0</v>
      </c>
      <c r="T683" s="102">
        <v>0</v>
      </c>
      <c r="U683" s="103">
        <v>0</v>
      </c>
      <c r="V683" s="103">
        <v>0</v>
      </c>
      <c r="W683" s="104">
        <v>0</v>
      </c>
      <c r="X683" s="19"/>
      <c r="Y683" s="103">
        <v>0</v>
      </c>
      <c r="Z683" s="103">
        <v>0</v>
      </c>
      <c r="AA683" s="105">
        <v>0</v>
      </c>
      <c r="AB683" s="106">
        <v>0</v>
      </c>
      <c r="AC683" s="105">
        <v>0</v>
      </c>
      <c r="AD683" s="104">
        <v>0</v>
      </c>
      <c r="AE683" s="104">
        <v>0</v>
      </c>
      <c r="AF683" s="107">
        <v>46265</v>
      </c>
    </row>
    <row r="684" spans="1:32" x14ac:dyDescent="0.25">
      <c r="A684" s="90">
        <v>1053</v>
      </c>
      <c r="B684" s="91" t="s">
        <v>24</v>
      </c>
      <c r="C684" s="29">
        <v>10530058</v>
      </c>
      <c r="D684" s="92" t="s">
        <v>904</v>
      </c>
      <c r="E684" s="93" t="s">
        <v>270</v>
      </c>
      <c r="F684" s="93" t="s">
        <v>230</v>
      </c>
      <c r="G684" s="109">
        <v>177.7</v>
      </c>
      <c r="H684" s="109">
        <v>6559.26</v>
      </c>
      <c r="I684" s="95">
        <v>0</v>
      </c>
      <c r="J684" s="95">
        <v>0</v>
      </c>
      <c r="K684" s="95">
        <v>500</v>
      </c>
      <c r="L684" s="95">
        <v>0</v>
      </c>
      <c r="M684" s="96">
        <v>9</v>
      </c>
      <c r="N684" s="97">
        <v>0</v>
      </c>
      <c r="O684" s="98">
        <v>0</v>
      </c>
      <c r="P684" s="33"/>
      <c r="Q684" s="99" t="s">
        <v>1198</v>
      </c>
      <c r="R684" s="100"/>
      <c r="S684" s="101">
        <v>1.3416147553228981E-3</v>
      </c>
      <c r="T684" s="102">
        <v>7</v>
      </c>
      <c r="U684" s="103">
        <v>0</v>
      </c>
      <c r="V684" s="103">
        <v>0</v>
      </c>
      <c r="W684" s="104">
        <v>0</v>
      </c>
      <c r="X684" s="19"/>
      <c r="Y684" s="103">
        <v>500</v>
      </c>
      <c r="Z684" s="103">
        <v>0</v>
      </c>
      <c r="AA684" s="105">
        <v>0</v>
      </c>
      <c r="AB684" s="106">
        <v>500</v>
      </c>
      <c r="AC684" s="105">
        <v>500</v>
      </c>
      <c r="AD684" s="104">
        <v>0</v>
      </c>
      <c r="AE684" s="104">
        <v>0</v>
      </c>
      <c r="AF684" s="107">
        <v>46265</v>
      </c>
    </row>
    <row r="685" spans="1:32" x14ac:dyDescent="0.25">
      <c r="A685" s="90">
        <v>1053</v>
      </c>
      <c r="B685" s="91" t="s">
        <v>24</v>
      </c>
      <c r="C685" s="29">
        <v>10530059</v>
      </c>
      <c r="D685" s="92" t="s">
        <v>905</v>
      </c>
      <c r="E685" s="93" t="s">
        <v>275</v>
      </c>
      <c r="F685" s="93" t="s">
        <v>231</v>
      </c>
      <c r="G685" s="109">
        <v>2006.6499999999994</v>
      </c>
      <c r="H685" s="109">
        <v>94818.180000000008</v>
      </c>
      <c r="I685" s="95">
        <v>0</v>
      </c>
      <c r="J685" s="95">
        <v>0</v>
      </c>
      <c r="K685" s="95">
        <v>0</v>
      </c>
      <c r="L685" s="95">
        <v>0</v>
      </c>
      <c r="M685" s="96">
        <v>0</v>
      </c>
      <c r="N685" s="97">
        <v>0</v>
      </c>
      <c r="O685" s="98">
        <v>0</v>
      </c>
      <c r="P685" s="33"/>
      <c r="Q685" s="99" t="s">
        <v>1198</v>
      </c>
      <c r="R685" s="100"/>
      <c r="S685" s="101">
        <v>0</v>
      </c>
      <c r="T685" s="102">
        <v>0</v>
      </c>
      <c r="U685" s="103">
        <v>0</v>
      </c>
      <c r="V685" s="103">
        <v>0</v>
      </c>
      <c r="W685" s="104">
        <v>0</v>
      </c>
      <c r="X685" s="19"/>
      <c r="Y685" s="103">
        <v>0</v>
      </c>
      <c r="Z685" s="103">
        <v>0</v>
      </c>
      <c r="AA685" s="105">
        <v>0</v>
      </c>
      <c r="AB685" s="106">
        <v>0</v>
      </c>
      <c r="AC685" s="105">
        <v>0</v>
      </c>
      <c r="AD685" s="104">
        <v>0</v>
      </c>
      <c r="AE685" s="104">
        <v>0</v>
      </c>
      <c r="AF685" s="107">
        <v>46265</v>
      </c>
    </row>
    <row r="686" spans="1:32" x14ac:dyDescent="0.25">
      <c r="A686" s="90">
        <v>1053</v>
      </c>
      <c r="B686" s="91" t="s">
        <v>24</v>
      </c>
      <c r="C686" s="29">
        <v>10530060</v>
      </c>
      <c r="D686" s="92" t="s">
        <v>906</v>
      </c>
      <c r="E686" s="93" t="s">
        <v>275</v>
      </c>
      <c r="F686" s="93" t="s">
        <v>231</v>
      </c>
      <c r="G686" s="109">
        <v>1329</v>
      </c>
      <c r="H686" s="109">
        <v>59028.05</v>
      </c>
      <c r="I686" s="95">
        <v>0</v>
      </c>
      <c r="J686" s="95">
        <v>0</v>
      </c>
      <c r="K686" s="95">
        <v>0</v>
      </c>
      <c r="L686" s="95">
        <v>0</v>
      </c>
      <c r="M686" s="96">
        <v>0</v>
      </c>
      <c r="N686" s="97">
        <v>0</v>
      </c>
      <c r="O686" s="98">
        <v>0</v>
      </c>
      <c r="P686" s="33"/>
      <c r="Q686" s="99" t="s">
        <v>1198</v>
      </c>
      <c r="R686" s="100"/>
      <c r="S686" s="101">
        <v>0</v>
      </c>
      <c r="T686" s="102">
        <v>0</v>
      </c>
      <c r="U686" s="103">
        <v>0</v>
      </c>
      <c r="V686" s="103">
        <v>0</v>
      </c>
      <c r="W686" s="104">
        <v>0</v>
      </c>
      <c r="X686" s="19"/>
      <c r="Y686" s="103">
        <v>0</v>
      </c>
      <c r="Z686" s="103">
        <v>0</v>
      </c>
      <c r="AA686" s="105">
        <v>0</v>
      </c>
      <c r="AB686" s="106">
        <v>0</v>
      </c>
      <c r="AC686" s="105">
        <v>0</v>
      </c>
      <c r="AD686" s="104">
        <v>0</v>
      </c>
      <c r="AE686" s="104">
        <v>0</v>
      </c>
      <c r="AF686" s="107">
        <v>46265</v>
      </c>
    </row>
    <row r="687" spans="1:32" x14ac:dyDescent="0.25">
      <c r="A687" s="90">
        <v>1053</v>
      </c>
      <c r="B687" s="91" t="s">
        <v>24</v>
      </c>
      <c r="C687" s="29">
        <v>10530062</v>
      </c>
      <c r="D687" s="92" t="s">
        <v>907</v>
      </c>
      <c r="E687" s="93" t="s">
        <v>270</v>
      </c>
      <c r="F687" s="93" t="s">
        <v>230</v>
      </c>
      <c r="G687" s="109">
        <v>1237.55</v>
      </c>
      <c r="H687" s="109">
        <v>54855.210000000014</v>
      </c>
      <c r="I687" s="95">
        <v>0</v>
      </c>
      <c r="J687" s="95">
        <v>0</v>
      </c>
      <c r="K687" s="95">
        <v>0</v>
      </c>
      <c r="L687" s="95">
        <v>0</v>
      </c>
      <c r="M687" s="96">
        <v>1</v>
      </c>
      <c r="N687" s="97">
        <v>0</v>
      </c>
      <c r="O687" s="98">
        <v>-1</v>
      </c>
      <c r="P687" s="33"/>
      <c r="Q687" s="99" t="s">
        <v>1198</v>
      </c>
      <c r="R687" s="100"/>
      <c r="S687" s="101">
        <v>3.4454338977221915E-5</v>
      </c>
      <c r="T687" s="102">
        <v>10</v>
      </c>
      <c r="U687" s="103">
        <v>0</v>
      </c>
      <c r="V687" s="103">
        <v>0</v>
      </c>
      <c r="W687" s="104">
        <v>0</v>
      </c>
      <c r="X687" s="19"/>
      <c r="Y687" s="103">
        <v>0</v>
      </c>
      <c r="Z687" s="103">
        <v>0</v>
      </c>
      <c r="AA687" s="105">
        <v>0</v>
      </c>
      <c r="AB687" s="106">
        <v>0</v>
      </c>
      <c r="AC687" s="105">
        <v>0</v>
      </c>
      <c r="AD687" s="104">
        <v>0</v>
      </c>
      <c r="AE687" s="104">
        <v>0</v>
      </c>
      <c r="AF687" s="107">
        <v>46265</v>
      </c>
    </row>
    <row r="688" spans="1:32" x14ac:dyDescent="0.25">
      <c r="A688" s="90">
        <v>1053</v>
      </c>
      <c r="B688" s="91" t="s">
        <v>24</v>
      </c>
      <c r="C688" s="29">
        <v>10530063</v>
      </c>
      <c r="D688" s="92" t="s">
        <v>908</v>
      </c>
      <c r="E688" s="93" t="s">
        <v>275</v>
      </c>
      <c r="F688" s="93" t="s">
        <v>231</v>
      </c>
      <c r="G688" s="109">
        <v>168.3</v>
      </c>
      <c r="H688" s="109">
        <v>7859.6399999999994</v>
      </c>
      <c r="I688" s="95">
        <v>0</v>
      </c>
      <c r="J688" s="95">
        <v>0</v>
      </c>
      <c r="K688" s="95">
        <v>0</v>
      </c>
      <c r="L688" s="95">
        <v>0</v>
      </c>
      <c r="M688" s="96">
        <v>0</v>
      </c>
      <c r="N688" s="97">
        <v>0</v>
      </c>
      <c r="O688" s="98">
        <v>0</v>
      </c>
      <c r="P688" s="33"/>
      <c r="Q688" s="99" t="s">
        <v>1198</v>
      </c>
      <c r="R688" s="100"/>
      <c r="S688" s="101">
        <v>0</v>
      </c>
      <c r="T688" s="102">
        <v>0</v>
      </c>
      <c r="U688" s="103">
        <v>0</v>
      </c>
      <c r="V688" s="103">
        <v>0</v>
      </c>
      <c r="W688" s="104">
        <v>0</v>
      </c>
      <c r="X688" s="19"/>
      <c r="Y688" s="103">
        <v>0</v>
      </c>
      <c r="Z688" s="103">
        <v>0</v>
      </c>
      <c r="AA688" s="105">
        <v>0</v>
      </c>
      <c r="AB688" s="106">
        <v>0</v>
      </c>
      <c r="AC688" s="105">
        <v>0</v>
      </c>
      <c r="AD688" s="104">
        <v>0</v>
      </c>
      <c r="AE688" s="104">
        <v>0</v>
      </c>
      <c r="AF688" s="107">
        <v>46265</v>
      </c>
    </row>
    <row r="689" spans="1:32" x14ac:dyDescent="0.25">
      <c r="A689" s="90">
        <v>1053</v>
      </c>
      <c r="B689" s="91" t="s">
        <v>24</v>
      </c>
      <c r="C689" s="29">
        <v>10530064</v>
      </c>
      <c r="D689" s="92" t="s">
        <v>155</v>
      </c>
      <c r="E689" s="93" t="s">
        <v>270</v>
      </c>
      <c r="F689" s="93" t="s">
        <v>230</v>
      </c>
      <c r="G689" s="109">
        <v>1015.1499999999997</v>
      </c>
      <c r="H689" s="109">
        <v>45202.66</v>
      </c>
      <c r="I689" s="95">
        <v>0</v>
      </c>
      <c r="J689" s="95">
        <v>1561</v>
      </c>
      <c r="K689" s="95">
        <v>0</v>
      </c>
      <c r="L689" s="95">
        <v>0</v>
      </c>
      <c r="M689" s="96">
        <v>841</v>
      </c>
      <c r="N689" s="97">
        <v>0</v>
      </c>
      <c r="O689" s="98">
        <v>0</v>
      </c>
      <c r="P689" s="33"/>
      <c r="Q689" s="99" t="s">
        <v>1198</v>
      </c>
      <c r="R689" s="100"/>
      <c r="S689" s="101">
        <v>1.8601781399590008E-2</v>
      </c>
      <c r="T689" s="102">
        <v>32</v>
      </c>
      <c r="U689" s="103">
        <v>0</v>
      </c>
      <c r="V689" s="103">
        <v>0</v>
      </c>
      <c r="W689" s="104">
        <v>0</v>
      </c>
      <c r="X689" s="19"/>
      <c r="Y689" s="103">
        <v>0</v>
      </c>
      <c r="Z689" s="103">
        <v>0</v>
      </c>
      <c r="AA689" s="105">
        <v>0</v>
      </c>
      <c r="AB689" s="106">
        <v>0</v>
      </c>
      <c r="AC689" s="105">
        <v>0</v>
      </c>
      <c r="AD689" s="104">
        <v>0</v>
      </c>
      <c r="AE689" s="104">
        <v>0</v>
      </c>
      <c r="AF689" s="107">
        <v>46265</v>
      </c>
    </row>
    <row r="690" spans="1:32" x14ac:dyDescent="0.25">
      <c r="A690" s="90">
        <v>1053</v>
      </c>
      <c r="B690" s="91" t="s">
        <v>24</v>
      </c>
      <c r="C690" s="29">
        <v>10530065</v>
      </c>
      <c r="D690" s="92" t="s">
        <v>909</v>
      </c>
      <c r="E690" s="93" t="s">
        <v>270</v>
      </c>
      <c r="F690" s="93" t="s">
        <v>230</v>
      </c>
      <c r="G690" s="109">
        <v>773</v>
      </c>
      <c r="H690" s="109">
        <v>31621.739999999998</v>
      </c>
      <c r="I690" s="95">
        <v>1500</v>
      </c>
      <c r="J690" s="95">
        <v>0</v>
      </c>
      <c r="K690" s="95">
        <v>0</v>
      </c>
      <c r="L690" s="95">
        <v>0</v>
      </c>
      <c r="M690" s="96">
        <v>1001</v>
      </c>
      <c r="N690" s="97">
        <v>0</v>
      </c>
      <c r="O690" s="98">
        <v>0</v>
      </c>
      <c r="P690" s="33" t="s">
        <v>328</v>
      </c>
      <c r="Q690" s="99" t="s">
        <v>1198</v>
      </c>
      <c r="R690" s="100"/>
      <c r="S690" s="101">
        <v>3.1632035428790284E-2</v>
      </c>
      <c r="T690" s="102">
        <v>9</v>
      </c>
      <c r="U690" s="103">
        <v>0</v>
      </c>
      <c r="V690" s="103">
        <v>0</v>
      </c>
      <c r="W690" s="104">
        <v>0</v>
      </c>
      <c r="X690" s="19"/>
      <c r="Y690" s="103">
        <v>0</v>
      </c>
      <c r="Z690" s="103">
        <v>0</v>
      </c>
      <c r="AA690" s="105">
        <v>0</v>
      </c>
      <c r="AB690" s="106">
        <v>0</v>
      </c>
      <c r="AC690" s="105">
        <v>0</v>
      </c>
      <c r="AD690" s="104">
        <v>0</v>
      </c>
      <c r="AE690" s="104">
        <v>0</v>
      </c>
      <c r="AF690" s="107">
        <v>46265</v>
      </c>
    </row>
    <row r="691" spans="1:32" x14ac:dyDescent="0.25">
      <c r="A691" s="90">
        <v>1053</v>
      </c>
      <c r="B691" s="91" t="s">
        <v>24</v>
      </c>
      <c r="C691" s="29">
        <v>10530067</v>
      </c>
      <c r="D691" s="92" t="s">
        <v>910</v>
      </c>
      <c r="E691" s="93" t="s">
        <v>270</v>
      </c>
      <c r="F691" s="93" t="s">
        <v>230</v>
      </c>
      <c r="G691" s="109">
        <v>413.0499999999999</v>
      </c>
      <c r="H691" s="109">
        <v>18946.810000000005</v>
      </c>
      <c r="I691" s="95">
        <v>0</v>
      </c>
      <c r="J691" s="95">
        <v>0</v>
      </c>
      <c r="K691" s="95">
        <v>0</v>
      </c>
      <c r="L691" s="95">
        <v>0</v>
      </c>
      <c r="M691" s="96">
        <v>34</v>
      </c>
      <c r="N691" s="97">
        <v>0</v>
      </c>
      <c r="O691" s="98">
        <v>2</v>
      </c>
      <c r="P691" s="33"/>
      <c r="Q691" s="99" t="s">
        <v>1198</v>
      </c>
      <c r="R691" s="100"/>
      <c r="S691" s="101">
        <v>1.6789105923374404E-3</v>
      </c>
      <c r="T691" s="102">
        <v>20</v>
      </c>
      <c r="U691" s="103">
        <v>0</v>
      </c>
      <c r="V691" s="103">
        <v>0</v>
      </c>
      <c r="W691" s="104">
        <v>0</v>
      </c>
      <c r="X691" s="19"/>
      <c r="Y691" s="103">
        <v>0</v>
      </c>
      <c r="Z691" s="103">
        <v>0</v>
      </c>
      <c r="AA691" s="105">
        <v>0</v>
      </c>
      <c r="AB691" s="106">
        <v>0</v>
      </c>
      <c r="AC691" s="105">
        <v>0</v>
      </c>
      <c r="AD691" s="104">
        <v>0</v>
      </c>
      <c r="AE691" s="104">
        <v>0</v>
      </c>
      <c r="AF691" s="107">
        <v>46265</v>
      </c>
    </row>
    <row r="692" spans="1:32" x14ac:dyDescent="0.25">
      <c r="A692" s="90">
        <v>1066</v>
      </c>
      <c r="B692" s="91" t="s">
        <v>1195</v>
      </c>
      <c r="C692" s="29">
        <v>10530069</v>
      </c>
      <c r="D692" s="92" t="s">
        <v>188</v>
      </c>
      <c r="E692" s="93" t="s">
        <v>275</v>
      </c>
      <c r="F692" s="93" t="s">
        <v>231</v>
      </c>
      <c r="G692" s="109">
        <v>768.19999999999993</v>
      </c>
      <c r="H692" s="109">
        <v>31770.27</v>
      </c>
      <c r="I692" s="95">
        <v>0</v>
      </c>
      <c r="J692" s="95">
        <v>1550</v>
      </c>
      <c r="K692" s="95">
        <v>0</v>
      </c>
      <c r="L692" s="95">
        <v>0</v>
      </c>
      <c r="M692" s="96">
        <v>0</v>
      </c>
      <c r="N692" s="97">
        <v>0</v>
      </c>
      <c r="O692" s="98">
        <v>0</v>
      </c>
      <c r="P692" s="33"/>
      <c r="Q692" s="99" t="s">
        <v>1198</v>
      </c>
      <c r="R692" s="100"/>
      <c r="S692" s="101">
        <v>0</v>
      </c>
      <c r="T692" s="102">
        <v>0</v>
      </c>
      <c r="U692" s="103">
        <v>0</v>
      </c>
      <c r="V692" s="103">
        <v>0</v>
      </c>
      <c r="W692" s="104">
        <v>0</v>
      </c>
      <c r="X692" s="19"/>
      <c r="Y692" s="103">
        <v>0</v>
      </c>
      <c r="Z692" s="103">
        <v>0</v>
      </c>
      <c r="AA692" s="105">
        <v>0</v>
      </c>
      <c r="AB692" s="106">
        <v>0</v>
      </c>
      <c r="AC692" s="105">
        <v>0</v>
      </c>
      <c r="AD692" s="104">
        <v>0</v>
      </c>
      <c r="AE692" s="104">
        <v>0</v>
      </c>
      <c r="AF692" s="107">
        <v>46265</v>
      </c>
    </row>
    <row r="693" spans="1:32" x14ac:dyDescent="0.25">
      <c r="A693" s="90">
        <v>1053</v>
      </c>
      <c r="B693" s="91" t="s">
        <v>24</v>
      </c>
      <c r="C693" s="29">
        <v>10530070</v>
      </c>
      <c r="D693" s="92" t="s">
        <v>177</v>
      </c>
      <c r="E693" s="93" t="s">
        <v>270</v>
      </c>
      <c r="F693" s="93" t="s">
        <v>230</v>
      </c>
      <c r="G693" s="109">
        <v>343.85</v>
      </c>
      <c r="H693" s="109">
        <v>16820.809999999998</v>
      </c>
      <c r="I693" s="95">
        <v>0</v>
      </c>
      <c r="J693" s="95">
        <v>107</v>
      </c>
      <c r="K693" s="95">
        <v>500</v>
      </c>
      <c r="L693" s="95">
        <v>0</v>
      </c>
      <c r="M693" s="96">
        <v>4</v>
      </c>
      <c r="N693" s="97">
        <v>0</v>
      </c>
      <c r="O693" s="98">
        <v>1</v>
      </c>
      <c r="P693" s="33"/>
      <c r="Q693" s="99" t="s">
        <v>1198</v>
      </c>
      <c r="R693" s="100"/>
      <c r="S693" s="101">
        <v>1.5516494152165944E-4</v>
      </c>
      <c r="T693" s="102">
        <v>14</v>
      </c>
      <c r="U693" s="103">
        <v>0</v>
      </c>
      <c r="V693" s="103">
        <v>0</v>
      </c>
      <c r="W693" s="104">
        <v>0</v>
      </c>
      <c r="X693" s="19"/>
      <c r="Y693" s="103">
        <v>500</v>
      </c>
      <c r="Z693" s="103">
        <v>0</v>
      </c>
      <c r="AA693" s="105">
        <v>0</v>
      </c>
      <c r="AB693" s="106">
        <v>500</v>
      </c>
      <c r="AC693" s="105">
        <v>500</v>
      </c>
      <c r="AD693" s="104">
        <v>0</v>
      </c>
      <c r="AE693" s="104">
        <v>0</v>
      </c>
      <c r="AF693" s="107">
        <v>46265</v>
      </c>
    </row>
    <row r="694" spans="1:32" x14ac:dyDescent="0.25">
      <c r="A694" s="90">
        <v>1053</v>
      </c>
      <c r="B694" s="91" t="s">
        <v>24</v>
      </c>
      <c r="C694" s="29">
        <v>10530071</v>
      </c>
      <c r="D694" s="92" t="s">
        <v>911</v>
      </c>
      <c r="E694" s="93" t="s">
        <v>270</v>
      </c>
      <c r="F694" s="93" t="s">
        <v>230</v>
      </c>
      <c r="G694" s="109">
        <v>471.7999999999999</v>
      </c>
      <c r="H694" s="109">
        <v>23261.739999999994</v>
      </c>
      <c r="I694" s="95">
        <v>0</v>
      </c>
      <c r="J694" s="95">
        <v>0</v>
      </c>
      <c r="K694" s="95">
        <v>0</v>
      </c>
      <c r="L694" s="95">
        <v>0</v>
      </c>
      <c r="M694" s="96">
        <v>7</v>
      </c>
      <c r="N694" s="97">
        <v>0</v>
      </c>
      <c r="O694" s="98">
        <v>-1</v>
      </c>
      <c r="P694" s="33"/>
      <c r="Q694" s="99" t="s">
        <v>1198</v>
      </c>
      <c r="R694" s="100"/>
      <c r="S694" s="101">
        <v>3.4305258334085082E-4</v>
      </c>
      <c r="T694" s="102">
        <v>11</v>
      </c>
      <c r="U694" s="103">
        <v>0</v>
      </c>
      <c r="V694" s="103">
        <v>0</v>
      </c>
      <c r="W694" s="104">
        <v>0</v>
      </c>
      <c r="X694" s="19"/>
      <c r="Y694" s="103">
        <v>0</v>
      </c>
      <c r="Z694" s="103">
        <v>0</v>
      </c>
      <c r="AA694" s="105">
        <v>0</v>
      </c>
      <c r="AB694" s="106">
        <v>0</v>
      </c>
      <c r="AC694" s="105">
        <v>0</v>
      </c>
      <c r="AD694" s="104">
        <v>0</v>
      </c>
      <c r="AE694" s="104">
        <v>0</v>
      </c>
      <c r="AF694" s="107">
        <v>46265</v>
      </c>
    </row>
    <row r="695" spans="1:32" x14ac:dyDescent="0.25">
      <c r="A695" s="90">
        <v>1053</v>
      </c>
      <c r="B695" s="91" t="s">
        <v>24</v>
      </c>
      <c r="C695" s="29">
        <v>10530072</v>
      </c>
      <c r="D695" s="92" t="s">
        <v>912</v>
      </c>
      <c r="E695" s="93" t="s">
        <v>275</v>
      </c>
      <c r="F695" s="93" t="s">
        <v>231</v>
      </c>
      <c r="G695" s="109">
        <v>547.85</v>
      </c>
      <c r="H695" s="109">
        <v>32727.269999999997</v>
      </c>
      <c r="I695" s="95">
        <v>0</v>
      </c>
      <c r="J695" s="95">
        <v>0</v>
      </c>
      <c r="K695" s="95">
        <v>0</v>
      </c>
      <c r="L695" s="95">
        <v>0</v>
      </c>
      <c r="M695" s="96">
        <v>0</v>
      </c>
      <c r="N695" s="97">
        <v>0</v>
      </c>
      <c r="O695" s="98">
        <v>0</v>
      </c>
      <c r="P695" s="33"/>
      <c r="Q695" s="99" t="s">
        <v>1198</v>
      </c>
      <c r="R695" s="100"/>
      <c r="S695" s="101">
        <v>0</v>
      </c>
      <c r="T695" s="102">
        <v>0</v>
      </c>
      <c r="U695" s="103">
        <v>0</v>
      </c>
      <c r="V695" s="103">
        <v>0</v>
      </c>
      <c r="W695" s="104">
        <v>0</v>
      </c>
      <c r="X695" s="19"/>
      <c r="Y695" s="103">
        <v>0</v>
      </c>
      <c r="Z695" s="103">
        <v>0</v>
      </c>
      <c r="AA695" s="105">
        <v>0</v>
      </c>
      <c r="AB695" s="106">
        <v>0</v>
      </c>
      <c r="AC695" s="105">
        <v>0</v>
      </c>
      <c r="AD695" s="104">
        <v>0</v>
      </c>
      <c r="AE695" s="104">
        <v>0</v>
      </c>
      <c r="AF695" s="107">
        <v>46265</v>
      </c>
    </row>
    <row r="696" spans="1:32" x14ac:dyDescent="0.25">
      <c r="A696" s="90">
        <v>1053</v>
      </c>
      <c r="B696" s="91" t="s">
        <v>24</v>
      </c>
      <c r="C696" s="29">
        <v>10530074</v>
      </c>
      <c r="D696" s="92" t="s">
        <v>913</v>
      </c>
      <c r="E696" s="93" t="s">
        <v>270</v>
      </c>
      <c r="F696" s="93" t="s">
        <v>230</v>
      </c>
      <c r="G696" s="109">
        <v>900.7</v>
      </c>
      <c r="H696" s="109">
        <v>37338.369999999995</v>
      </c>
      <c r="I696" s="95">
        <v>0</v>
      </c>
      <c r="J696" s="95">
        <v>0</v>
      </c>
      <c r="K696" s="95">
        <v>0</v>
      </c>
      <c r="L696" s="95">
        <v>0</v>
      </c>
      <c r="M696" s="96">
        <v>11</v>
      </c>
      <c r="N696" s="97">
        <v>0</v>
      </c>
      <c r="O696" s="98">
        <v>-2</v>
      </c>
      <c r="P696" s="33"/>
      <c r="Q696" s="99" t="s">
        <v>1198</v>
      </c>
      <c r="R696" s="100"/>
      <c r="S696" s="101">
        <v>3.5057770331134523E-4</v>
      </c>
      <c r="T696" s="102">
        <v>22</v>
      </c>
      <c r="U696" s="103">
        <v>0</v>
      </c>
      <c r="V696" s="103">
        <v>0</v>
      </c>
      <c r="W696" s="104">
        <v>0</v>
      </c>
      <c r="X696" s="19"/>
      <c r="Y696" s="103">
        <v>0</v>
      </c>
      <c r="Z696" s="103">
        <v>0</v>
      </c>
      <c r="AA696" s="105">
        <v>0</v>
      </c>
      <c r="AB696" s="106">
        <v>0</v>
      </c>
      <c r="AC696" s="105">
        <v>0</v>
      </c>
      <c r="AD696" s="104">
        <v>0</v>
      </c>
      <c r="AE696" s="104">
        <v>0</v>
      </c>
      <c r="AF696" s="107">
        <v>46265</v>
      </c>
    </row>
    <row r="697" spans="1:32" x14ac:dyDescent="0.25">
      <c r="A697" s="90">
        <v>1053</v>
      </c>
      <c r="B697" s="91" t="s">
        <v>24</v>
      </c>
      <c r="C697" s="29">
        <v>10530076</v>
      </c>
      <c r="D697" s="92" t="s">
        <v>148</v>
      </c>
      <c r="E697" s="93" t="s">
        <v>270</v>
      </c>
      <c r="F697" s="93" t="s">
        <v>230</v>
      </c>
      <c r="G697" s="109">
        <v>2469.1500000000005</v>
      </c>
      <c r="H697" s="109">
        <v>120873.25</v>
      </c>
      <c r="I697" s="95">
        <v>0</v>
      </c>
      <c r="J697" s="95">
        <v>5576</v>
      </c>
      <c r="K697" s="95">
        <v>0</v>
      </c>
      <c r="L697" s="95">
        <v>0</v>
      </c>
      <c r="M697" s="96">
        <v>4</v>
      </c>
      <c r="N697" s="97">
        <v>0</v>
      </c>
      <c r="O697" s="98">
        <v>-2</v>
      </c>
      <c r="P697" s="33"/>
      <c r="Q697" s="99" t="s">
        <v>1198</v>
      </c>
      <c r="R697" s="100"/>
      <c r="S697" s="101">
        <v>4.74877609401869E-5</v>
      </c>
      <c r="T697" s="102">
        <v>50</v>
      </c>
      <c r="U697" s="103">
        <v>0</v>
      </c>
      <c r="V697" s="103">
        <v>0</v>
      </c>
      <c r="W697" s="104">
        <v>0</v>
      </c>
      <c r="X697" s="19"/>
      <c r="Y697" s="103">
        <v>0</v>
      </c>
      <c r="Z697" s="103">
        <v>0</v>
      </c>
      <c r="AA697" s="105">
        <v>0</v>
      </c>
      <c r="AB697" s="106">
        <v>0</v>
      </c>
      <c r="AC697" s="105">
        <v>0</v>
      </c>
      <c r="AD697" s="104">
        <v>0</v>
      </c>
      <c r="AE697" s="104">
        <v>0</v>
      </c>
      <c r="AF697" s="107">
        <v>46265</v>
      </c>
    </row>
    <row r="698" spans="1:32" x14ac:dyDescent="0.25">
      <c r="A698" s="90">
        <v>1053</v>
      </c>
      <c r="B698" s="91" t="s">
        <v>24</v>
      </c>
      <c r="C698" s="29">
        <v>10530077</v>
      </c>
      <c r="D698" s="92" t="s">
        <v>914</v>
      </c>
      <c r="E698" s="93" t="s">
        <v>275</v>
      </c>
      <c r="F698" s="93" t="s">
        <v>231</v>
      </c>
      <c r="G698" s="109">
        <v>815.34999999999991</v>
      </c>
      <c r="H698" s="109">
        <v>33086.26</v>
      </c>
      <c r="I698" s="95">
        <v>0</v>
      </c>
      <c r="J698" s="95">
        <v>0</v>
      </c>
      <c r="K698" s="95">
        <v>0</v>
      </c>
      <c r="L698" s="95">
        <v>0</v>
      </c>
      <c r="M698" s="96">
        <v>0</v>
      </c>
      <c r="N698" s="97">
        <v>0</v>
      </c>
      <c r="O698" s="98">
        <v>0</v>
      </c>
      <c r="P698" s="33"/>
      <c r="Q698" s="99" t="s">
        <v>1198</v>
      </c>
      <c r="R698" s="100"/>
      <c r="S698" s="101">
        <v>0</v>
      </c>
      <c r="T698" s="102">
        <v>0</v>
      </c>
      <c r="U698" s="103">
        <v>0</v>
      </c>
      <c r="V698" s="103">
        <v>0</v>
      </c>
      <c r="W698" s="104">
        <v>0</v>
      </c>
      <c r="X698" s="19"/>
      <c r="Y698" s="103">
        <v>0</v>
      </c>
      <c r="Z698" s="103">
        <v>0</v>
      </c>
      <c r="AA698" s="105">
        <v>0</v>
      </c>
      <c r="AB698" s="106">
        <v>0</v>
      </c>
      <c r="AC698" s="105">
        <v>0</v>
      </c>
      <c r="AD698" s="104">
        <v>0</v>
      </c>
      <c r="AE698" s="104">
        <v>0</v>
      </c>
      <c r="AF698" s="107">
        <v>46265</v>
      </c>
    </row>
    <row r="699" spans="1:32" x14ac:dyDescent="0.25">
      <c r="A699" s="90">
        <v>1053</v>
      </c>
      <c r="B699" s="91" t="s">
        <v>24</v>
      </c>
      <c r="C699" s="29">
        <v>10530078</v>
      </c>
      <c r="D699" s="92" t="s">
        <v>120</v>
      </c>
      <c r="E699" s="93" t="s">
        <v>270</v>
      </c>
      <c r="F699" s="93" t="s">
        <v>230</v>
      </c>
      <c r="G699" s="109">
        <v>1018.5500000000001</v>
      </c>
      <c r="H699" s="109">
        <v>45032.539999999994</v>
      </c>
      <c r="I699" s="95">
        <v>0</v>
      </c>
      <c r="J699" s="95">
        <v>2097</v>
      </c>
      <c r="K699" s="95">
        <v>0</v>
      </c>
      <c r="L699" s="95">
        <v>0</v>
      </c>
      <c r="M699" s="96">
        <v>37</v>
      </c>
      <c r="N699" s="97">
        <v>0</v>
      </c>
      <c r="O699" s="98">
        <v>-5</v>
      </c>
      <c r="P699" s="33"/>
      <c r="Q699" s="99" t="s">
        <v>1198</v>
      </c>
      <c r="R699" s="100"/>
      <c r="S699" s="101">
        <v>9.1755872531300677E-4</v>
      </c>
      <c r="T699" s="102">
        <v>21</v>
      </c>
      <c r="U699" s="103">
        <v>0</v>
      </c>
      <c r="V699" s="103">
        <v>0</v>
      </c>
      <c r="W699" s="104">
        <v>0</v>
      </c>
      <c r="X699" s="19"/>
      <c r="Y699" s="103">
        <v>0</v>
      </c>
      <c r="Z699" s="103">
        <v>0</v>
      </c>
      <c r="AA699" s="105">
        <v>0</v>
      </c>
      <c r="AB699" s="106">
        <v>0</v>
      </c>
      <c r="AC699" s="105">
        <v>0</v>
      </c>
      <c r="AD699" s="104">
        <v>0</v>
      </c>
      <c r="AE699" s="104">
        <v>0</v>
      </c>
      <c r="AF699" s="107">
        <v>46265</v>
      </c>
    </row>
    <row r="700" spans="1:32" x14ac:dyDescent="0.25">
      <c r="A700" s="90">
        <v>1053</v>
      </c>
      <c r="B700" s="91" t="s">
        <v>24</v>
      </c>
      <c r="C700" s="29">
        <v>10530079</v>
      </c>
      <c r="D700" s="92" t="s">
        <v>915</v>
      </c>
      <c r="E700" s="93" t="s">
        <v>275</v>
      </c>
      <c r="F700" s="93" t="s">
        <v>231</v>
      </c>
      <c r="G700" s="109">
        <v>78.5</v>
      </c>
      <c r="H700" s="109">
        <v>4075.51</v>
      </c>
      <c r="I700" s="95">
        <v>0</v>
      </c>
      <c r="J700" s="95">
        <v>0</v>
      </c>
      <c r="K700" s="95">
        <v>0</v>
      </c>
      <c r="L700" s="95">
        <v>0</v>
      </c>
      <c r="M700" s="96">
        <v>0</v>
      </c>
      <c r="N700" s="97">
        <v>0</v>
      </c>
      <c r="O700" s="98">
        <v>0</v>
      </c>
      <c r="P700" s="33"/>
      <c r="Q700" s="99" t="s">
        <v>1198</v>
      </c>
      <c r="R700" s="100"/>
      <c r="S700" s="101">
        <v>0</v>
      </c>
      <c r="T700" s="102">
        <v>0</v>
      </c>
      <c r="U700" s="103">
        <v>0</v>
      </c>
      <c r="V700" s="103">
        <v>0</v>
      </c>
      <c r="W700" s="104">
        <v>0</v>
      </c>
      <c r="X700" s="19"/>
      <c r="Y700" s="103">
        <v>0</v>
      </c>
      <c r="Z700" s="103">
        <v>0</v>
      </c>
      <c r="AA700" s="105">
        <v>0</v>
      </c>
      <c r="AB700" s="106">
        <v>0</v>
      </c>
      <c r="AC700" s="105">
        <v>0</v>
      </c>
      <c r="AD700" s="104">
        <v>0</v>
      </c>
      <c r="AE700" s="104">
        <v>0</v>
      </c>
      <c r="AF700" s="107">
        <v>46265</v>
      </c>
    </row>
    <row r="701" spans="1:32" x14ac:dyDescent="0.25">
      <c r="A701" s="90">
        <v>1053</v>
      </c>
      <c r="B701" s="91" t="s">
        <v>24</v>
      </c>
      <c r="C701" s="29">
        <v>10530080</v>
      </c>
      <c r="D701" s="92" t="s">
        <v>916</v>
      </c>
      <c r="E701" s="93" t="s">
        <v>275</v>
      </c>
      <c r="F701" s="93" t="s">
        <v>231</v>
      </c>
      <c r="G701" s="109">
        <v>34.299999999999997</v>
      </c>
      <c r="H701" s="109">
        <v>1302.96</v>
      </c>
      <c r="I701" s="95">
        <v>0</v>
      </c>
      <c r="J701" s="95">
        <v>0</v>
      </c>
      <c r="K701" s="95">
        <v>0</v>
      </c>
      <c r="L701" s="95">
        <v>0</v>
      </c>
      <c r="M701" s="96">
        <v>0</v>
      </c>
      <c r="N701" s="97">
        <v>0</v>
      </c>
      <c r="O701" s="98">
        <v>0</v>
      </c>
      <c r="P701" s="33"/>
      <c r="Q701" s="99" t="s">
        <v>1198</v>
      </c>
      <c r="R701" s="100"/>
      <c r="S701" s="101">
        <v>0</v>
      </c>
      <c r="T701" s="102">
        <v>0</v>
      </c>
      <c r="U701" s="103">
        <v>0</v>
      </c>
      <c r="V701" s="103">
        <v>0</v>
      </c>
      <c r="W701" s="104">
        <v>0</v>
      </c>
      <c r="X701" s="19"/>
      <c r="Y701" s="103">
        <v>0</v>
      </c>
      <c r="Z701" s="103">
        <v>0</v>
      </c>
      <c r="AA701" s="105">
        <v>0</v>
      </c>
      <c r="AB701" s="106">
        <v>0</v>
      </c>
      <c r="AC701" s="105">
        <v>0</v>
      </c>
      <c r="AD701" s="104">
        <v>0</v>
      </c>
      <c r="AE701" s="104">
        <v>0</v>
      </c>
      <c r="AF701" s="107">
        <v>46265</v>
      </c>
    </row>
    <row r="702" spans="1:32" x14ac:dyDescent="0.25">
      <c r="A702" s="90">
        <v>1053</v>
      </c>
      <c r="B702" s="91" t="s">
        <v>24</v>
      </c>
      <c r="C702" s="29">
        <v>10530081</v>
      </c>
      <c r="D702" s="92" t="s">
        <v>80</v>
      </c>
      <c r="E702" s="93" t="s">
        <v>270</v>
      </c>
      <c r="F702" s="93" t="s">
        <v>230</v>
      </c>
      <c r="G702" s="109">
        <v>1491.9</v>
      </c>
      <c r="H702" s="109">
        <v>66496.349999999991</v>
      </c>
      <c r="I702" s="95">
        <v>0</v>
      </c>
      <c r="J702" s="95">
        <v>1400</v>
      </c>
      <c r="K702" s="95">
        <v>0</v>
      </c>
      <c r="L702" s="95">
        <v>0</v>
      </c>
      <c r="M702" s="96">
        <v>27</v>
      </c>
      <c r="N702" s="97">
        <v>0</v>
      </c>
      <c r="O702" s="98">
        <v>2</v>
      </c>
      <c r="P702" s="33"/>
      <c r="Q702" s="99" t="s">
        <v>1198</v>
      </c>
      <c r="R702" s="100"/>
      <c r="S702" s="101">
        <v>3.7355433794481217E-4</v>
      </c>
      <c r="T702" s="102">
        <v>40</v>
      </c>
      <c r="U702" s="103">
        <v>0</v>
      </c>
      <c r="V702" s="103">
        <v>0</v>
      </c>
      <c r="W702" s="104">
        <v>0</v>
      </c>
      <c r="X702" s="19"/>
      <c r="Y702" s="103">
        <v>0</v>
      </c>
      <c r="Z702" s="103">
        <v>0</v>
      </c>
      <c r="AA702" s="105">
        <v>0</v>
      </c>
      <c r="AB702" s="106">
        <v>0</v>
      </c>
      <c r="AC702" s="105">
        <v>0</v>
      </c>
      <c r="AD702" s="104">
        <v>0</v>
      </c>
      <c r="AE702" s="104">
        <v>0</v>
      </c>
      <c r="AF702" s="107">
        <v>46265</v>
      </c>
    </row>
    <row r="703" spans="1:32" x14ac:dyDescent="0.25">
      <c r="A703" s="90">
        <v>1053</v>
      </c>
      <c r="B703" s="91" t="s">
        <v>24</v>
      </c>
      <c r="C703" s="29">
        <v>10530082</v>
      </c>
      <c r="D703" s="92" t="s">
        <v>125</v>
      </c>
      <c r="E703" s="93" t="s">
        <v>270</v>
      </c>
      <c r="F703" s="93" t="s">
        <v>230</v>
      </c>
      <c r="G703" s="109">
        <v>1081.1499999999999</v>
      </c>
      <c r="H703" s="109">
        <v>45550.43</v>
      </c>
      <c r="I703" s="95">
        <v>0</v>
      </c>
      <c r="J703" s="95">
        <v>187</v>
      </c>
      <c r="K703" s="95">
        <v>0</v>
      </c>
      <c r="L703" s="95">
        <v>0</v>
      </c>
      <c r="M703" s="96">
        <v>32</v>
      </c>
      <c r="N703" s="97">
        <v>0</v>
      </c>
      <c r="O703" s="98">
        <v>1</v>
      </c>
      <c r="P703" s="33"/>
      <c r="Q703" s="99" t="s">
        <v>1198</v>
      </c>
      <c r="R703" s="100"/>
      <c r="S703" s="101">
        <v>6.9307797972472339E-4</v>
      </c>
      <c r="T703" s="102">
        <v>25</v>
      </c>
      <c r="U703" s="103">
        <v>0</v>
      </c>
      <c r="V703" s="103">
        <v>0</v>
      </c>
      <c r="W703" s="104">
        <v>0</v>
      </c>
      <c r="X703" s="19"/>
      <c r="Y703" s="103">
        <v>0</v>
      </c>
      <c r="Z703" s="103">
        <v>0</v>
      </c>
      <c r="AA703" s="105">
        <v>0</v>
      </c>
      <c r="AB703" s="106">
        <v>0</v>
      </c>
      <c r="AC703" s="105">
        <v>0</v>
      </c>
      <c r="AD703" s="104">
        <v>0</v>
      </c>
      <c r="AE703" s="104">
        <v>0</v>
      </c>
      <c r="AF703" s="107">
        <v>46265</v>
      </c>
    </row>
    <row r="704" spans="1:32" x14ac:dyDescent="0.25">
      <c r="A704" s="90">
        <v>1053</v>
      </c>
      <c r="B704" s="91" t="s">
        <v>24</v>
      </c>
      <c r="C704" s="29">
        <v>10530084</v>
      </c>
      <c r="D704" s="92" t="s">
        <v>61</v>
      </c>
      <c r="E704" s="93" t="s">
        <v>270</v>
      </c>
      <c r="F704" s="93" t="s">
        <v>230</v>
      </c>
      <c r="G704" s="109">
        <v>2330.15</v>
      </c>
      <c r="H704" s="109">
        <v>97140.450000000012</v>
      </c>
      <c r="I704" s="95">
        <v>0</v>
      </c>
      <c r="J704" s="95">
        <v>1550.4</v>
      </c>
      <c r="K704" s="95">
        <v>0</v>
      </c>
      <c r="L704" s="95">
        <v>0</v>
      </c>
      <c r="M704" s="96">
        <v>79</v>
      </c>
      <c r="N704" s="97">
        <v>0</v>
      </c>
      <c r="O704" s="98">
        <v>-2</v>
      </c>
      <c r="P704" s="33"/>
      <c r="Q704" s="99" t="s">
        <v>1198</v>
      </c>
      <c r="R704" s="100"/>
      <c r="S704" s="101">
        <v>8.3281475430656965E-4</v>
      </c>
      <c r="T704" s="102">
        <v>44</v>
      </c>
      <c r="U704" s="103">
        <v>0.4000000000005457</v>
      </c>
      <c r="V704" s="103">
        <v>0</v>
      </c>
      <c r="W704" s="104">
        <v>0.4000000000005457</v>
      </c>
      <c r="X704" s="19"/>
      <c r="Y704" s="103">
        <v>0</v>
      </c>
      <c r="Z704" s="103">
        <v>0</v>
      </c>
      <c r="AA704" s="105">
        <v>0</v>
      </c>
      <c r="AB704" s="106">
        <v>0</v>
      </c>
      <c r="AC704" s="105">
        <v>0</v>
      </c>
      <c r="AD704" s="104">
        <v>0</v>
      </c>
      <c r="AE704" s="104">
        <v>0</v>
      </c>
      <c r="AF704" s="107">
        <v>46265</v>
      </c>
    </row>
    <row r="705" spans="1:32" x14ac:dyDescent="0.25">
      <c r="A705" s="90">
        <v>1053</v>
      </c>
      <c r="B705" s="91" t="s">
        <v>24</v>
      </c>
      <c r="C705" s="29">
        <v>10530085</v>
      </c>
      <c r="D705" s="92" t="s">
        <v>917</v>
      </c>
      <c r="E705" s="93" t="s">
        <v>270</v>
      </c>
      <c r="F705" s="93" t="s">
        <v>230</v>
      </c>
      <c r="G705" s="109">
        <v>492.70000000000005</v>
      </c>
      <c r="H705" s="109">
        <v>22755.649999999998</v>
      </c>
      <c r="I705" s="95">
        <v>0</v>
      </c>
      <c r="J705" s="95">
        <v>0</v>
      </c>
      <c r="K705" s="95">
        <v>0</v>
      </c>
      <c r="L705" s="95">
        <v>0</v>
      </c>
      <c r="M705" s="96">
        <v>2</v>
      </c>
      <c r="N705" s="97">
        <v>0</v>
      </c>
      <c r="O705" s="98">
        <v>0</v>
      </c>
      <c r="P705" s="33"/>
      <c r="Q705" s="99" t="s">
        <v>1198</v>
      </c>
      <c r="R705" s="100"/>
      <c r="S705" s="101">
        <v>8.6132455016627832E-5</v>
      </c>
      <c r="T705" s="102">
        <v>14</v>
      </c>
      <c r="U705" s="103">
        <v>0</v>
      </c>
      <c r="V705" s="103">
        <v>0</v>
      </c>
      <c r="W705" s="104">
        <v>0</v>
      </c>
      <c r="X705" s="19"/>
      <c r="Y705" s="103">
        <v>0</v>
      </c>
      <c r="Z705" s="103">
        <v>0</v>
      </c>
      <c r="AA705" s="105">
        <v>0</v>
      </c>
      <c r="AB705" s="106">
        <v>0</v>
      </c>
      <c r="AC705" s="105">
        <v>0</v>
      </c>
      <c r="AD705" s="104">
        <v>0</v>
      </c>
      <c r="AE705" s="104">
        <v>0</v>
      </c>
      <c r="AF705" s="107">
        <v>46265</v>
      </c>
    </row>
    <row r="706" spans="1:32" x14ac:dyDescent="0.25">
      <c r="A706" s="90">
        <v>1066</v>
      </c>
      <c r="B706" s="91" t="s">
        <v>1195</v>
      </c>
      <c r="C706" s="29">
        <v>10530088</v>
      </c>
      <c r="D706" s="92" t="s">
        <v>918</v>
      </c>
      <c r="E706" s="93" t="s">
        <v>275</v>
      </c>
      <c r="F706" s="93" t="s">
        <v>231</v>
      </c>
      <c r="G706" s="109">
        <v>694</v>
      </c>
      <c r="H706" s="109">
        <v>33933.71</v>
      </c>
      <c r="I706" s="95">
        <v>0</v>
      </c>
      <c r="J706" s="95">
        <v>0</v>
      </c>
      <c r="K706" s="95">
        <v>0</v>
      </c>
      <c r="L706" s="95">
        <v>0</v>
      </c>
      <c r="M706" s="96">
        <v>0</v>
      </c>
      <c r="N706" s="97">
        <v>0</v>
      </c>
      <c r="O706" s="98">
        <v>0</v>
      </c>
      <c r="P706" s="33"/>
      <c r="Q706" s="99" t="s">
        <v>1198</v>
      </c>
      <c r="R706" s="100"/>
      <c r="S706" s="101">
        <v>0</v>
      </c>
      <c r="T706" s="102">
        <v>0</v>
      </c>
      <c r="U706" s="103">
        <v>0</v>
      </c>
      <c r="V706" s="103">
        <v>0</v>
      </c>
      <c r="W706" s="104">
        <v>0</v>
      </c>
      <c r="X706" s="19"/>
      <c r="Y706" s="103">
        <v>0</v>
      </c>
      <c r="Z706" s="103">
        <v>0</v>
      </c>
      <c r="AA706" s="105">
        <v>0</v>
      </c>
      <c r="AB706" s="106">
        <v>0</v>
      </c>
      <c r="AC706" s="105">
        <v>0</v>
      </c>
      <c r="AD706" s="104">
        <v>0</v>
      </c>
      <c r="AE706" s="104">
        <v>0</v>
      </c>
      <c r="AF706" s="107">
        <v>46265</v>
      </c>
    </row>
    <row r="707" spans="1:32" x14ac:dyDescent="0.25">
      <c r="A707" s="90">
        <v>1012</v>
      </c>
      <c r="B707" s="91" t="s">
        <v>32</v>
      </c>
      <c r="C707" s="29">
        <v>10530090</v>
      </c>
      <c r="D707" s="92" t="s">
        <v>919</v>
      </c>
      <c r="E707" s="93" t="s">
        <v>275</v>
      </c>
      <c r="F707" s="93" t="s">
        <v>231</v>
      </c>
      <c r="G707" s="109">
        <v>261.2</v>
      </c>
      <c r="H707" s="109">
        <v>9542.649999999996</v>
      </c>
      <c r="I707" s="95">
        <v>0</v>
      </c>
      <c r="J707" s="95">
        <v>0</v>
      </c>
      <c r="K707" s="95">
        <v>0</v>
      </c>
      <c r="L707" s="95">
        <v>0</v>
      </c>
      <c r="M707" s="96">
        <v>0</v>
      </c>
      <c r="N707" s="97">
        <v>0</v>
      </c>
      <c r="O707" s="98">
        <v>0</v>
      </c>
      <c r="P707" s="33"/>
      <c r="Q707" s="99" t="s">
        <v>1198</v>
      </c>
      <c r="R707" s="100"/>
      <c r="S707" s="101">
        <v>0</v>
      </c>
      <c r="T707" s="102">
        <v>0</v>
      </c>
      <c r="U707" s="103">
        <v>0</v>
      </c>
      <c r="V707" s="103">
        <v>0</v>
      </c>
      <c r="W707" s="104">
        <v>0</v>
      </c>
      <c r="X707" s="19"/>
      <c r="Y707" s="103">
        <v>0</v>
      </c>
      <c r="Z707" s="103">
        <v>0</v>
      </c>
      <c r="AA707" s="105">
        <v>0</v>
      </c>
      <c r="AB707" s="106">
        <v>0</v>
      </c>
      <c r="AC707" s="105">
        <v>0</v>
      </c>
      <c r="AD707" s="104">
        <v>0</v>
      </c>
      <c r="AE707" s="104">
        <v>0</v>
      </c>
      <c r="AF707" s="107">
        <v>46265</v>
      </c>
    </row>
    <row r="708" spans="1:32" x14ac:dyDescent="0.25">
      <c r="A708" s="90">
        <v>1053</v>
      </c>
      <c r="B708" s="91" t="s">
        <v>24</v>
      </c>
      <c r="C708" s="29">
        <v>10530091</v>
      </c>
      <c r="D708" s="92" t="s">
        <v>920</v>
      </c>
      <c r="E708" s="93" t="s">
        <v>270</v>
      </c>
      <c r="F708" s="93" t="s">
        <v>230</v>
      </c>
      <c r="G708" s="109">
        <v>58.250000000000007</v>
      </c>
      <c r="H708" s="109">
        <v>2558.3100000000004</v>
      </c>
      <c r="I708" s="95">
        <v>0</v>
      </c>
      <c r="J708" s="95">
        <v>0</v>
      </c>
      <c r="K708" s="95">
        <v>0</v>
      </c>
      <c r="L708" s="95">
        <v>0</v>
      </c>
      <c r="M708" s="96">
        <v>4</v>
      </c>
      <c r="N708" s="97">
        <v>0</v>
      </c>
      <c r="O708" s="98">
        <v>0</v>
      </c>
      <c r="P708" s="33"/>
      <c r="Q708" s="99" t="s">
        <v>1198</v>
      </c>
      <c r="R708" s="100"/>
      <c r="S708" s="101">
        <v>1.6886147495808416E-3</v>
      </c>
      <c r="T708" s="102">
        <v>7</v>
      </c>
      <c r="U708" s="103">
        <v>0</v>
      </c>
      <c r="V708" s="103">
        <v>0</v>
      </c>
      <c r="W708" s="104">
        <v>0</v>
      </c>
      <c r="X708" s="19"/>
      <c r="Y708" s="103">
        <v>0</v>
      </c>
      <c r="Z708" s="103">
        <v>0</v>
      </c>
      <c r="AA708" s="105">
        <v>0</v>
      </c>
      <c r="AB708" s="106">
        <v>0</v>
      </c>
      <c r="AC708" s="105">
        <v>0</v>
      </c>
      <c r="AD708" s="104">
        <v>0</v>
      </c>
      <c r="AE708" s="104">
        <v>0</v>
      </c>
      <c r="AF708" s="107">
        <v>46265</v>
      </c>
    </row>
    <row r="709" spans="1:32" x14ac:dyDescent="0.25">
      <c r="A709" s="90">
        <v>1053</v>
      </c>
      <c r="B709" s="91" t="s">
        <v>24</v>
      </c>
      <c r="C709" s="29">
        <v>10530092</v>
      </c>
      <c r="D709" s="92" t="s">
        <v>60</v>
      </c>
      <c r="E709" s="93" t="s">
        <v>270</v>
      </c>
      <c r="F709" s="93" t="s">
        <v>230</v>
      </c>
      <c r="G709" s="109">
        <v>1031.6500000000001</v>
      </c>
      <c r="H709" s="109">
        <v>44728.03</v>
      </c>
      <c r="I709" s="95">
        <v>0</v>
      </c>
      <c r="J709" s="95">
        <v>518</v>
      </c>
      <c r="K709" s="95">
        <v>0</v>
      </c>
      <c r="L709" s="95">
        <v>0</v>
      </c>
      <c r="M709" s="96">
        <v>4</v>
      </c>
      <c r="N709" s="97">
        <v>0</v>
      </c>
      <c r="O709" s="98">
        <v>1</v>
      </c>
      <c r="P709" s="33"/>
      <c r="Q709" s="99" t="s">
        <v>1198</v>
      </c>
      <c r="R709" s="100"/>
      <c r="S709" s="101">
        <v>7.5344252809436663E-5</v>
      </c>
      <c r="T709" s="102">
        <v>17</v>
      </c>
      <c r="U709" s="103">
        <v>0</v>
      </c>
      <c r="V709" s="103">
        <v>0</v>
      </c>
      <c r="W709" s="104">
        <v>0</v>
      </c>
      <c r="X709" s="19"/>
      <c r="Y709" s="103">
        <v>0</v>
      </c>
      <c r="Z709" s="103">
        <v>0</v>
      </c>
      <c r="AA709" s="105">
        <v>0</v>
      </c>
      <c r="AB709" s="106">
        <v>0</v>
      </c>
      <c r="AC709" s="105">
        <v>0</v>
      </c>
      <c r="AD709" s="104">
        <v>0</v>
      </c>
      <c r="AE709" s="104">
        <v>0</v>
      </c>
      <c r="AF709" s="107">
        <v>46265</v>
      </c>
    </row>
    <row r="710" spans="1:32" x14ac:dyDescent="0.25">
      <c r="A710" s="90">
        <v>1053</v>
      </c>
      <c r="B710" s="91" t="s">
        <v>24</v>
      </c>
      <c r="C710" s="29">
        <v>10530093</v>
      </c>
      <c r="D710" s="92" t="s">
        <v>69</v>
      </c>
      <c r="E710" s="93" t="s">
        <v>270</v>
      </c>
      <c r="F710" s="93" t="s">
        <v>230</v>
      </c>
      <c r="G710" s="109">
        <v>1189</v>
      </c>
      <c r="H710" s="109">
        <v>55539.250000000007</v>
      </c>
      <c r="I710" s="95">
        <v>0</v>
      </c>
      <c r="J710" s="95">
        <v>78</v>
      </c>
      <c r="K710" s="95">
        <v>0</v>
      </c>
      <c r="L710" s="95">
        <v>0</v>
      </c>
      <c r="M710" s="96">
        <v>9</v>
      </c>
      <c r="N710" s="97">
        <v>0</v>
      </c>
      <c r="O710" s="98">
        <v>-2</v>
      </c>
      <c r="P710" s="33"/>
      <c r="Q710" s="99" t="s">
        <v>1198</v>
      </c>
      <c r="R710" s="100"/>
      <c r="S710" s="101">
        <v>1.9733791867937859E-4</v>
      </c>
      <c r="T710" s="102">
        <v>35</v>
      </c>
      <c r="U710" s="103">
        <v>0</v>
      </c>
      <c r="V710" s="103">
        <v>0</v>
      </c>
      <c r="W710" s="104">
        <v>0</v>
      </c>
      <c r="X710" s="19"/>
      <c r="Y710" s="103">
        <v>0</v>
      </c>
      <c r="Z710" s="103">
        <v>0</v>
      </c>
      <c r="AA710" s="105">
        <v>0</v>
      </c>
      <c r="AB710" s="106">
        <v>0</v>
      </c>
      <c r="AC710" s="105">
        <v>0</v>
      </c>
      <c r="AD710" s="104">
        <v>0</v>
      </c>
      <c r="AE710" s="104">
        <v>0</v>
      </c>
      <c r="AF710" s="107">
        <v>46265</v>
      </c>
    </row>
    <row r="711" spans="1:32" x14ac:dyDescent="0.25">
      <c r="A711" s="90">
        <v>1066</v>
      </c>
      <c r="B711" s="91" t="s">
        <v>1195</v>
      </c>
      <c r="C711" s="29">
        <v>10530094</v>
      </c>
      <c r="D711" s="92" t="s">
        <v>921</v>
      </c>
      <c r="E711" s="93" t="s">
        <v>275</v>
      </c>
      <c r="F711" s="93" t="s">
        <v>231</v>
      </c>
      <c r="G711" s="109">
        <v>369.1</v>
      </c>
      <c r="H711" s="109">
        <v>14960.189999999999</v>
      </c>
      <c r="I711" s="95">
        <v>0</v>
      </c>
      <c r="J711" s="95">
        <v>0</v>
      </c>
      <c r="K711" s="95">
        <v>0</v>
      </c>
      <c r="L711" s="95">
        <v>0</v>
      </c>
      <c r="M711" s="96">
        <v>0</v>
      </c>
      <c r="N711" s="97">
        <v>0</v>
      </c>
      <c r="O711" s="98">
        <v>0</v>
      </c>
      <c r="P711" s="33"/>
      <c r="Q711" s="99" t="s">
        <v>1198</v>
      </c>
      <c r="R711" s="100"/>
      <c r="S711" s="101">
        <v>0</v>
      </c>
      <c r="T711" s="102">
        <v>0</v>
      </c>
      <c r="U711" s="103">
        <v>0</v>
      </c>
      <c r="V711" s="103">
        <v>0</v>
      </c>
      <c r="W711" s="104">
        <v>0</v>
      </c>
      <c r="X711" s="19"/>
      <c r="Y711" s="103">
        <v>0</v>
      </c>
      <c r="Z711" s="103">
        <v>0</v>
      </c>
      <c r="AA711" s="105">
        <v>0</v>
      </c>
      <c r="AB711" s="106">
        <v>0</v>
      </c>
      <c r="AC711" s="105">
        <v>0</v>
      </c>
      <c r="AD711" s="104">
        <v>0</v>
      </c>
      <c r="AE711" s="104">
        <v>0</v>
      </c>
      <c r="AF711" s="107">
        <v>46265</v>
      </c>
    </row>
    <row r="712" spans="1:32" x14ac:dyDescent="0.25">
      <c r="A712" s="90">
        <v>1053</v>
      </c>
      <c r="B712" s="91" t="s">
        <v>24</v>
      </c>
      <c r="C712" s="29">
        <v>10530096</v>
      </c>
      <c r="D712" s="92" t="s">
        <v>51</v>
      </c>
      <c r="E712" s="93" t="s">
        <v>270</v>
      </c>
      <c r="F712" s="93" t="s">
        <v>230</v>
      </c>
      <c r="G712" s="109">
        <v>2464.8000000000006</v>
      </c>
      <c r="H712" s="109">
        <v>124288.84999999999</v>
      </c>
      <c r="I712" s="95">
        <v>0</v>
      </c>
      <c r="J712" s="95">
        <v>12600</v>
      </c>
      <c r="K712" s="95">
        <v>0</v>
      </c>
      <c r="L712" s="95">
        <v>0</v>
      </c>
      <c r="M712" s="96">
        <v>6</v>
      </c>
      <c r="N712" s="97">
        <v>0</v>
      </c>
      <c r="O712" s="98">
        <v>2</v>
      </c>
      <c r="P712" s="33"/>
      <c r="Q712" s="99" t="s">
        <v>1198</v>
      </c>
      <c r="R712" s="100"/>
      <c r="S712" s="101">
        <v>3.5803694377798054E-5</v>
      </c>
      <c r="T712" s="102">
        <v>6</v>
      </c>
      <c r="U712" s="103">
        <v>0</v>
      </c>
      <c r="V712" s="103">
        <v>0</v>
      </c>
      <c r="W712" s="104">
        <v>0</v>
      </c>
      <c r="X712" s="19"/>
      <c r="Y712" s="103">
        <v>0</v>
      </c>
      <c r="Z712" s="103">
        <v>0</v>
      </c>
      <c r="AA712" s="105">
        <v>0</v>
      </c>
      <c r="AB712" s="106">
        <v>0</v>
      </c>
      <c r="AC712" s="105">
        <v>0</v>
      </c>
      <c r="AD712" s="104">
        <v>0</v>
      </c>
      <c r="AE712" s="104">
        <v>0</v>
      </c>
      <c r="AF712" s="107">
        <v>46265</v>
      </c>
    </row>
    <row r="713" spans="1:32" x14ac:dyDescent="0.25">
      <c r="A713" s="90">
        <v>1053</v>
      </c>
      <c r="B713" s="91" t="s">
        <v>24</v>
      </c>
      <c r="C713" s="29">
        <v>10530097</v>
      </c>
      <c r="D713" s="92" t="s">
        <v>922</v>
      </c>
      <c r="E713" s="93" t="s">
        <v>270</v>
      </c>
      <c r="F713" s="93" t="s">
        <v>230</v>
      </c>
      <c r="G713" s="109">
        <v>825.2</v>
      </c>
      <c r="H713" s="109">
        <v>33809.53</v>
      </c>
      <c r="I713" s="95">
        <v>0</v>
      </c>
      <c r="J713" s="95">
        <v>0</v>
      </c>
      <c r="K713" s="95">
        <v>0</v>
      </c>
      <c r="L713" s="95">
        <v>0</v>
      </c>
      <c r="M713" s="96">
        <v>11</v>
      </c>
      <c r="N713" s="97">
        <v>0</v>
      </c>
      <c r="O713" s="98">
        <v>1</v>
      </c>
      <c r="P713" s="33"/>
      <c r="Q713" s="99" t="s">
        <v>1198</v>
      </c>
      <c r="R713" s="100"/>
      <c r="S713" s="101">
        <v>2.8039431485725848E-4</v>
      </c>
      <c r="T713" s="102">
        <v>20</v>
      </c>
      <c r="U713" s="103">
        <v>0</v>
      </c>
      <c r="V713" s="103">
        <v>0</v>
      </c>
      <c r="W713" s="104">
        <v>0</v>
      </c>
      <c r="X713" s="19"/>
      <c r="Y713" s="103">
        <v>0</v>
      </c>
      <c r="Z713" s="103">
        <v>0</v>
      </c>
      <c r="AA713" s="105">
        <v>0</v>
      </c>
      <c r="AB713" s="106">
        <v>0</v>
      </c>
      <c r="AC713" s="105">
        <v>0</v>
      </c>
      <c r="AD713" s="104">
        <v>0</v>
      </c>
      <c r="AE713" s="104">
        <v>0</v>
      </c>
      <c r="AF713" s="107">
        <v>46265</v>
      </c>
    </row>
    <row r="714" spans="1:32" x14ac:dyDescent="0.25">
      <c r="A714" s="90">
        <v>1053</v>
      </c>
      <c r="B714" s="91" t="s">
        <v>24</v>
      </c>
      <c r="C714" s="29">
        <v>10530100</v>
      </c>
      <c r="D714" s="92" t="s">
        <v>923</v>
      </c>
      <c r="E714" s="93" t="s">
        <v>270</v>
      </c>
      <c r="F714" s="93" t="s">
        <v>230</v>
      </c>
      <c r="G714" s="109">
        <v>130.70000000000002</v>
      </c>
      <c r="H714" s="109">
        <v>5923.1699999999992</v>
      </c>
      <c r="I714" s="95">
        <v>0</v>
      </c>
      <c r="J714" s="95">
        <v>0</v>
      </c>
      <c r="K714" s="95">
        <v>0</v>
      </c>
      <c r="L714" s="95">
        <v>0</v>
      </c>
      <c r="M714" s="96">
        <v>56</v>
      </c>
      <c r="N714" s="97">
        <v>0</v>
      </c>
      <c r="O714" s="98">
        <v>1</v>
      </c>
      <c r="P714" s="33"/>
      <c r="Q714" s="99" t="s">
        <v>1198</v>
      </c>
      <c r="R714" s="100"/>
      <c r="S714" s="101">
        <v>9.3007629360628251E-3</v>
      </c>
      <c r="T714" s="102">
        <v>5</v>
      </c>
      <c r="U714" s="103">
        <v>0</v>
      </c>
      <c r="V714" s="103">
        <v>0</v>
      </c>
      <c r="W714" s="104">
        <v>0</v>
      </c>
      <c r="X714" s="19"/>
      <c r="Y714" s="103">
        <v>0</v>
      </c>
      <c r="Z714" s="103">
        <v>0</v>
      </c>
      <c r="AA714" s="105">
        <v>0</v>
      </c>
      <c r="AB714" s="106">
        <v>0</v>
      </c>
      <c r="AC714" s="105">
        <v>0</v>
      </c>
      <c r="AD714" s="104">
        <v>0</v>
      </c>
      <c r="AE714" s="104">
        <v>0</v>
      </c>
      <c r="AF714" s="107">
        <v>46265</v>
      </c>
    </row>
    <row r="715" spans="1:32" x14ac:dyDescent="0.25">
      <c r="A715" s="90">
        <v>1053</v>
      </c>
      <c r="B715" s="91" t="s">
        <v>24</v>
      </c>
      <c r="C715" s="29">
        <v>10530101</v>
      </c>
      <c r="D715" s="92" t="s">
        <v>924</v>
      </c>
      <c r="E715" s="93" t="s">
        <v>270</v>
      </c>
      <c r="F715" s="93" t="s">
        <v>230</v>
      </c>
      <c r="G715" s="109">
        <v>404.75</v>
      </c>
      <c r="H715" s="109">
        <v>18420.520000000004</v>
      </c>
      <c r="I715" s="95">
        <v>0</v>
      </c>
      <c r="J715" s="95">
        <v>0</v>
      </c>
      <c r="K715" s="95">
        <v>0</v>
      </c>
      <c r="L715" s="95">
        <v>0</v>
      </c>
      <c r="M715" s="96">
        <v>41</v>
      </c>
      <c r="N715" s="97">
        <v>0</v>
      </c>
      <c r="O715" s="98">
        <v>0</v>
      </c>
      <c r="P715" s="33"/>
      <c r="Q715" s="99" t="s">
        <v>1198</v>
      </c>
      <c r="R715" s="100"/>
      <c r="S715" s="101">
        <v>2.2094924573248052E-3</v>
      </c>
      <c r="T715" s="102">
        <v>14</v>
      </c>
      <c r="U715" s="103">
        <v>0</v>
      </c>
      <c r="V715" s="103">
        <v>0</v>
      </c>
      <c r="W715" s="104">
        <v>0</v>
      </c>
      <c r="X715" s="19"/>
      <c r="Y715" s="103">
        <v>0</v>
      </c>
      <c r="Z715" s="103">
        <v>0</v>
      </c>
      <c r="AA715" s="105">
        <v>0</v>
      </c>
      <c r="AB715" s="106">
        <v>0</v>
      </c>
      <c r="AC715" s="105">
        <v>0</v>
      </c>
      <c r="AD715" s="104">
        <v>0</v>
      </c>
      <c r="AE715" s="104">
        <v>0</v>
      </c>
      <c r="AF715" s="107">
        <v>46265</v>
      </c>
    </row>
    <row r="716" spans="1:32" x14ac:dyDescent="0.25">
      <c r="A716" s="90">
        <v>1053</v>
      </c>
      <c r="B716" s="91" t="s">
        <v>24</v>
      </c>
      <c r="C716" s="29">
        <v>10530102</v>
      </c>
      <c r="D716" s="92" t="s">
        <v>925</v>
      </c>
      <c r="E716" s="93" t="s">
        <v>270</v>
      </c>
      <c r="F716" s="93" t="s">
        <v>230</v>
      </c>
      <c r="G716" s="109">
        <v>78.399999999999991</v>
      </c>
      <c r="H716" s="109">
        <v>3431.16</v>
      </c>
      <c r="I716" s="95">
        <v>0</v>
      </c>
      <c r="J716" s="95">
        <v>0</v>
      </c>
      <c r="K716" s="95">
        <v>500</v>
      </c>
      <c r="L716" s="95">
        <v>0</v>
      </c>
      <c r="M716" s="96">
        <v>263</v>
      </c>
      <c r="N716" s="97" t="s">
        <v>331</v>
      </c>
      <c r="O716" s="98">
        <v>0</v>
      </c>
      <c r="P716" s="33" t="s">
        <v>286</v>
      </c>
      <c r="Q716" s="99" t="s">
        <v>1198</v>
      </c>
      <c r="R716" s="100"/>
      <c r="S716" s="101">
        <v>7.6583429510719406E-2</v>
      </c>
      <c r="T716" s="102">
        <v>5</v>
      </c>
      <c r="U716" s="103">
        <v>0</v>
      </c>
      <c r="V716" s="103">
        <v>0</v>
      </c>
      <c r="W716" s="104">
        <v>0</v>
      </c>
      <c r="X716" s="19"/>
      <c r="Y716" s="103">
        <v>500</v>
      </c>
      <c r="Z716" s="103">
        <v>0</v>
      </c>
      <c r="AA716" s="105">
        <v>0</v>
      </c>
      <c r="AB716" s="106">
        <v>500</v>
      </c>
      <c r="AC716" s="105">
        <v>500</v>
      </c>
      <c r="AD716" s="104">
        <v>0</v>
      </c>
      <c r="AE716" s="104">
        <v>0</v>
      </c>
      <c r="AF716" s="107">
        <v>46265</v>
      </c>
    </row>
    <row r="717" spans="1:32" x14ac:dyDescent="0.25">
      <c r="A717" s="90">
        <v>1053</v>
      </c>
      <c r="B717" s="91" t="s">
        <v>24</v>
      </c>
      <c r="C717" s="29">
        <v>10530103</v>
      </c>
      <c r="D717" s="92" t="s">
        <v>75</v>
      </c>
      <c r="E717" s="93" t="s">
        <v>270</v>
      </c>
      <c r="F717" s="93" t="s">
        <v>230</v>
      </c>
      <c r="G717" s="109">
        <v>2597.0000000000005</v>
      </c>
      <c r="H717" s="109">
        <v>116231.73000000001</v>
      </c>
      <c r="I717" s="95">
        <v>0</v>
      </c>
      <c r="J717" s="95">
        <v>16601</v>
      </c>
      <c r="K717" s="95">
        <v>0</v>
      </c>
      <c r="L717" s="95">
        <v>0</v>
      </c>
      <c r="M717" s="96">
        <v>2</v>
      </c>
      <c r="N717" s="97">
        <v>0</v>
      </c>
      <c r="O717" s="98">
        <v>2</v>
      </c>
      <c r="P717" s="33"/>
      <c r="Q717" s="99" t="s">
        <v>1198</v>
      </c>
      <c r="R717" s="100"/>
      <c r="S717" s="101">
        <v>4.9039965245577014E-6</v>
      </c>
      <c r="T717" s="102">
        <v>29</v>
      </c>
      <c r="U717" s="103">
        <v>0</v>
      </c>
      <c r="V717" s="103">
        <v>0</v>
      </c>
      <c r="W717" s="104">
        <v>0</v>
      </c>
      <c r="X717" s="19"/>
      <c r="Y717" s="103">
        <v>0</v>
      </c>
      <c r="Z717" s="103">
        <v>0</v>
      </c>
      <c r="AA717" s="105">
        <v>0</v>
      </c>
      <c r="AB717" s="106">
        <v>0</v>
      </c>
      <c r="AC717" s="105">
        <v>0</v>
      </c>
      <c r="AD717" s="104">
        <v>0</v>
      </c>
      <c r="AE717" s="104">
        <v>0</v>
      </c>
      <c r="AF717" s="107">
        <v>46265</v>
      </c>
    </row>
    <row r="718" spans="1:32" x14ac:dyDescent="0.25">
      <c r="A718" s="90">
        <v>1053</v>
      </c>
      <c r="B718" s="91" t="s">
        <v>24</v>
      </c>
      <c r="C718" s="29">
        <v>10530104</v>
      </c>
      <c r="D718" s="92" t="s">
        <v>926</v>
      </c>
      <c r="E718" s="93" t="s">
        <v>275</v>
      </c>
      <c r="F718" s="93" t="s">
        <v>231</v>
      </c>
      <c r="G718" s="109">
        <v>61.5</v>
      </c>
      <c r="H718" s="109">
        <v>2719.99</v>
      </c>
      <c r="I718" s="95">
        <v>0</v>
      </c>
      <c r="J718" s="95">
        <v>0</v>
      </c>
      <c r="K718" s="95">
        <v>0</v>
      </c>
      <c r="L718" s="95">
        <v>0</v>
      </c>
      <c r="M718" s="96">
        <v>0</v>
      </c>
      <c r="N718" s="97">
        <v>0</v>
      </c>
      <c r="O718" s="98">
        <v>0</v>
      </c>
      <c r="P718" s="33"/>
      <c r="Q718" s="99" t="s">
        <v>1198</v>
      </c>
      <c r="R718" s="100"/>
      <c r="S718" s="101">
        <v>0</v>
      </c>
      <c r="T718" s="102">
        <v>0</v>
      </c>
      <c r="U718" s="103">
        <v>0</v>
      </c>
      <c r="V718" s="103">
        <v>0</v>
      </c>
      <c r="W718" s="104">
        <v>0</v>
      </c>
      <c r="X718" s="19"/>
      <c r="Y718" s="103">
        <v>0</v>
      </c>
      <c r="Z718" s="103">
        <v>0</v>
      </c>
      <c r="AA718" s="105">
        <v>0</v>
      </c>
      <c r="AB718" s="106">
        <v>0</v>
      </c>
      <c r="AC718" s="105">
        <v>0</v>
      </c>
      <c r="AD718" s="104">
        <v>0</v>
      </c>
      <c r="AE718" s="104">
        <v>0</v>
      </c>
      <c r="AF718" s="107">
        <v>46265</v>
      </c>
    </row>
    <row r="719" spans="1:32" x14ac:dyDescent="0.25">
      <c r="A719" s="90">
        <v>1053</v>
      </c>
      <c r="B719" s="91" t="s">
        <v>24</v>
      </c>
      <c r="C719" s="29">
        <v>10530106</v>
      </c>
      <c r="D719" s="92" t="s">
        <v>927</v>
      </c>
      <c r="E719" s="93" t="s">
        <v>270</v>
      </c>
      <c r="F719" s="93" t="s">
        <v>230</v>
      </c>
      <c r="G719" s="109">
        <v>726.59999999999991</v>
      </c>
      <c r="H719" s="109">
        <v>33067.9</v>
      </c>
      <c r="I719" s="95">
        <v>0</v>
      </c>
      <c r="J719" s="95">
        <v>0</v>
      </c>
      <c r="K719" s="95">
        <v>0</v>
      </c>
      <c r="L719" s="95">
        <v>0</v>
      </c>
      <c r="M719" s="96">
        <v>37</v>
      </c>
      <c r="N719" s="97">
        <v>0</v>
      </c>
      <c r="O719" s="98">
        <v>-1</v>
      </c>
      <c r="P719" s="33"/>
      <c r="Q719" s="99" t="s">
        <v>1198</v>
      </c>
      <c r="R719" s="100"/>
      <c r="S719" s="101">
        <v>1.1573157049587083E-3</v>
      </c>
      <c r="T719" s="102">
        <v>11</v>
      </c>
      <c r="U719" s="103">
        <v>0</v>
      </c>
      <c r="V719" s="103">
        <v>0</v>
      </c>
      <c r="W719" s="104">
        <v>0</v>
      </c>
      <c r="X719" s="19"/>
      <c r="Y719" s="103">
        <v>0</v>
      </c>
      <c r="Z719" s="103">
        <v>0</v>
      </c>
      <c r="AA719" s="105">
        <v>0</v>
      </c>
      <c r="AB719" s="106">
        <v>0</v>
      </c>
      <c r="AC719" s="105">
        <v>0</v>
      </c>
      <c r="AD719" s="104">
        <v>0</v>
      </c>
      <c r="AE719" s="104">
        <v>0</v>
      </c>
      <c r="AF719" s="107">
        <v>46265</v>
      </c>
    </row>
    <row r="720" spans="1:32" x14ac:dyDescent="0.25">
      <c r="A720" s="90">
        <v>1053</v>
      </c>
      <c r="B720" s="91" t="s">
        <v>24</v>
      </c>
      <c r="C720" s="29">
        <v>10530107</v>
      </c>
      <c r="D720" s="92" t="s">
        <v>928</v>
      </c>
      <c r="E720" s="93" t="s">
        <v>275</v>
      </c>
      <c r="F720" s="93" t="s">
        <v>231</v>
      </c>
      <c r="G720" s="109">
        <v>482.79999999999995</v>
      </c>
      <c r="H720" s="109">
        <v>29008.68</v>
      </c>
      <c r="I720" s="95">
        <v>0</v>
      </c>
      <c r="J720" s="95">
        <v>0</v>
      </c>
      <c r="K720" s="95">
        <v>0</v>
      </c>
      <c r="L720" s="95">
        <v>0</v>
      </c>
      <c r="M720" s="96">
        <v>0</v>
      </c>
      <c r="N720" s="97">
        <v>0</v>
      </c>
      <c r="O720" s="98">
        <v>0</v>
      </c>
      <c r="P720" s="33"/>
      <c r="Q720" s="99" t="s">
        <v>1198</v>
      </c>
      <c r="R720" s="100"/>
      <c r="S720" s="101">
        <v>0</v>
      </c>
      <c r="T720" s="102">
        <v>0</v>
      </c>
      <c r="U720" s="103">
        <v>0</v>
      </c>
      <c r="V720" s="103">
        <v>0</v>
      </c>
      <c r="W720" s="104">
        <v>0</v>
      </c>
      <c r="X720" s="19"/>
      <c r="Y720" s="103">
        <v>0</v>
      </c>
      <c r="Z720" s="103">
        <v>0</v>
      </c>
      <c r="AA720" s="105">
        <v>0</v>
      </c>
      <c r="AB720" s="106">
        <v>0</v>
      </c>
      <c r="AC720" s="105">
        <v>0</v>
      </c>
      <c r="AD720" s="104">
        <v>0</v>
      </c>
      <c r="AE720" s="104">
        <v>0</v>
      </c>
      <c r="AF720" s="107">
        <v>46265</v>
      </c>
    </row>
    <row r="721" spans="1:32" x14ac:dyDescent="0.25">
      <c r="A721" s="90">
        <v>1053</v>
      </c>
      <c r="B721" s="91" t="s">
        <v>24</v>
      </c>
      <c r="C721" s="29">
        <v>10530108</v>
      </c>
      <c r="D721" s="92" t="s">
        <v>929</v>
      </c>
      <c r="E721" s="93" t="s">
        <v>270</v>
      </c>
      <c r="F721" s="93" t="s">
        <v>230</v>
      </c>
      <c r="G721" s="109">
        <v>555.04999999999995</v>
      </c>
      <c r="H721" s="109">
        <v>23585.879999999994</v>
      </c>
      <c r="I721" s="95">
        <v>0</v>
      </c>
      <c r="J721" s="95">
        <v>0</v>
      </c>
      <c r="K721" s="95">
        <v>0</v>
      </c>
      <c r="L721" s="95">
        <v>0</v>
      </c>
      <c r="M721" s="96">
        <v>333</v>
      </c>
      <c r="N721" s="97">
        <v>0</v>
      </c>
      <c r="O721" s="98">
        <v>-1</v>
      </c>
      <c r="P721" s="33"/>
      <c r="Q721" s="99" t="s">
        <v>1198</v>
      </c>
      <c r="R721" s="100"/>
      <c r="S721" s="101">
        <v>1.4152535330460247E-2</v>
      </c>
      <c r="T721" s="102">
        <v>9</v>
      </c>
      <c r="U721" s="103">
        <v>0</v>
      </c>
      <c r="V721" s="103">
        <v>0</v>
      </c>
      <c r="W721" s="104">
        <v>0</v>
      </c>
      <c r="X721" s="19"/>
      <c r="Y721" s="103">
        <v>0</v>
      </c>
      <c r="Z721" s="103">
        <v>0</v>
      </c>
      <c r="AA721" s="105">
        <v>0</v>
      </c>
      <c r="AB721" s="106">
        <v>0</v>
      </c>
      <c r="AC721" s="105">
        <v>0</v>
      </c>
      <c r="AD721" s="104">
        <v>0</v>
      </c>
      <c r="AE721" s="104">
        <v>0</v>
      </c>
      <c r="AF721" s="107">
        <v>46265</v>
      </c>
    </row>
    <row r="722" spans="1:32" x14ac:dyDescent="0.25">
      <c r="A722" s="90">
        <v>1053</v>
      </c>
      <c r="B722" s="91" t="s">
        <v>24</v>
      </c>
      <c r="C722" s="29">
        <v>10530109</v>
      </c>
      <c r="D722" s="92" t="s">
        <v>59</v>
      </c>
      <c r="E722" s="93" t="s">
        <v>270</v>
      </c>
      <c r="F722" s="93" t="s">
        <v>230</v>
      </c>
      <c r="G722" s="109">
        <v>1761.35</v>
      </c>
      <c r="H722" s="109">
        <v>78693.91</v>
      </c>
      <c r="I722" s="95">
        <v>0</v>
      </c>
      <c r="J722" s="95">
        <v>10904</v>
      </c>
      <c r="K722" s="95">
        <v>0</v>
      </c>
      <c r="L722" s="95">
        <v>0</v>
      </c>
      <c r="M722" s="96">
        <v>3</v>
      </c>
      <c r="N722" s="97">
        <v>0</v>
      </c>
      <c r="O722" s="98">
        <v>0</v>
      </c>
      <c r="P722" s="33"/>
      <c r="Q722" s="99" t="s">
        <v>1198</v>
      </c>
      <c r="R722" s="100"/>
      <c r="S722" s="101">
        <v>3.5580898191708382E-5</v>
      </c>
      <c r="T722" s="102">
        <v>25</v>
      </c>
      <c r="U722" s="103">
        <v>0</v>
      </c>
      <c r="V722" s="103">
        <v>0</v>
      </c>
      <c r="W722" s="104">
        <v>0</v>
      </c>
      <c r="X722" s="19"/>
      <c r="Y722" s="103">
        <v>0</v>
      </c>
      <c r="Z722" s="103">
        <v>0</v>
      </c>
      <c r="AA722" s="105">
        <v>0</v>
      </c>
      <c r="AB722" s="106">
        <v>0</v>
      </c>
      <c r="AC722" s="105">
        <v>0</v>
      </c>
      <c r="AD722" s="104">
        <v>0</v>
      </c>
      <c r="AE722" s="104">
        <v>0</v>
      </c>
      <c r="AF722" s="107">
        <v>46265</v>
      </c>
    </row>
    <row r="723" spans="1:32" x14ac:dyDescent="0.25">
      <c r="A723" s="90">
        <v>1053</v>
      </c>
      <c r="B723" s="91" t="s">
        <v>24</v>
      </c>
      <c r="C723" s="29">
        <v>10530110</v>
      </c>
      <c r="D723" s="92" t="s">
        <v>930</v>
      </c>
      <c r="E723" s="93" t="s">
        <v>270</v>
      </c>
      <c r="F723" s="93" t="s">
        <v>230</v>
      </c>
      <c r="G723" s="109">
        <v>742.3</v>
      </c>
      <c r="H723" s="109">
        <v>31502.750000000004</v>
      </c>
      <c r="I723" s="95">
        <v>0</v>
      </c>
      <c r="J723" s="95">
        <v>0</v>
      </c>
      <c r="K723" s="95">
        <v>0</v>
      </c>
      <c r="L723" s="95">
        <v>0</v>
      </c>
      <c r="M723" s="96">
        <v>6</v>
      </c>
      <c r="N723" s="97">
        <v>0</v>
      </c>
      <c r="O723" s="98">
        <v>0</v>
      </c>
      <c r="P723" s="33"/>
      <c r="Q723" s="99" t="s">
        <v>1198</v>
      </c>
      <c r="R723" s="100"/>
      <c r="S723" s="101">
        <v>1.9299902389479477E-4</v>
      </c>
      <c r="T723" s="102">
        <v>14</v>
      </c>
      <c r="U723" s="103">
        <v>0</v>
      </c>
      <c r="V723" s="103">
        <v>0</v>
      </c>
      <c r="W723" s="104">
        <v>0</v>
      </c>
      <c r="X723" s="19"/>
      <c r="Y723" s="103">
        <v>0</v>
      </c>
      <c r="Z723" s="103">
        <v>0</v>
      </c>
      <c r="AA723" s="105">
        <v>0</v>
      </c>
      <c r="AB723" s="106">
        <v>0</v>
      </c>
      <c r="AC723" s="105">
        <v>0</v>
      </c>
      <c r="AD723" s="104">
        <v>0</v>
      </c>
      <c r="AE723" s="104">
        <v>0</v>
      </c>
      <c r="AF723" s="107">
        <v>46265</v>
      </c>
    </row>
    <row r="724" spans="1:32" x14ac:dyDescent="0.25">
      <c r="A724" s="90">
        <v>1053</v>
      </c>
      <c r="B724" s="91" t="s">
        <v>24</v>
      </c>
      <c r="C724" s="29">
        <v>10530111</v>
      </c>
      <c r="D724" s="92" t="s">
        <v>931</v>
      </c>
      <c r="E724" s="93" t="s">
        <v>270</v>
      </c>
      <c r="F724" s="93" t="s">
        <v>230</v>
      </c>
      <c r="G724" s="109">
        <v>450.75</v>
      </c>
      <c r="H724" s="109">
        <v>18840.899999999998</v>
      </c>
      <c r="I724" s="95">
        <v>0</v>
      </c>
      <c r="J724" s="95">
        <v>0</v>
      </c>
      <c r="K724" s="95">
        <v>0</v>
      </c>
      <c r="L724" s="95">
        <v>0</v>
      </c>
      <c r="M724" s="96">
        <v>84</v>
      </c>
      <c r="N724" s="97">
        <v>0</v>
      </c>
      <c r="O724" s="98">
        <v>-2</v>
      </c>
      <c r="P724" s="33"/>
      <c r="Q724" s="99" t="s">
        <v>1198</v>
      </c>
      <c r="R724" s="100"/>
      <c r="S724" s="101">
        <v>4.5724991905905675E-3</v>
      </c>
      <c r="T724" s="102">
        <v>18</v>
      </c>
      <c r="U724" s="103">
        <v>0</v>
      </c>
      <c r="V724" s="103">
        <v>0</v>
      </c>
      <c r="W724" s="104">
        <v>0</v>
      </c>
      <c r="X724" s="19"/>
      <c r="Y724" s="103">
        <v>0</v>
      </c>
      <c r="Z724" s="103">
        <v>0</v>
      </c>
      <c r="AA724" s="105">
        <v>0</v>
      </c>
      <c r="AB724" s="106">
        <v>0</v>
      </c>
      <c r="AC724" s="105">
        <v>0</v>
      </c>
      <c r="AD724" s="104">
        <v>0</v>
      </c>
      <c r="AE724" s="104">
        <v>0</v>
      </c>
      <c r="AF724" s="107">
        <v>46265</v>
      </c>
    </row>
    <row r="725" spans="1:32" x14ac:dyDescent="0.25">
      <c r="A725" s="90">
        <v>1053</v>
      </c>
      <c r="B725" s="91" t="s">
        <v>24</v>
      </c>
      <c r="C725" s="29">
        <v>10530112</v>
      </c>
      <c r="D725" s="92" t="s">
        <v>932</v>
      </c>
      <c r="E725" s="93" t="s">
        <v>270</v>
      </c>
      <c r="F725" s="93" t="s">
        <v>230</v>
      </c>
      <c r="G725" s="109">
        <v>682.94999999999993</v>
      </c>
      <c r="H725" s="109">
        <v>27683.399999999998</v>
      </c>
      <c r="I725" s="95">
        <v>0</v>
      </c>
      <c r="J725" s="95">
        <v>0</v>
      </c>
      <c r="K725" s="95">
        <v>0</v>
      </c>
      <c r="L725" s="95">
        <v>0</v>
      </c>
      <c r="M725" s="96">
        <v>14</v>
      </c>
      <c r="N725" s="97">
        <v>0</v>
      </c>
      <c r="O725" s="98">
        <v>0</v>
      </c>
      <c r="P725" s="33"/>
      <c r="Q725" s="99" t="s">
        <v>1198</v>
      </c>
      <c r="R725" s="100"/>
      <c r="S725" s="101">
        <v>5.1258154706425839E-4</v>
      </c>
      <c r="T725" s="102">
        <v>4</v>
      </c>
      <c r="U725" s="103">
        <v>0</v>
      </c>
      <c r="V725" s="103">
        <v>0</v>
      </c>
      <c r="W725" s="104">
        <v>0</v>
      </c>
      <c r="X725" s="19"/>
      <c r="Y725" s="103">
        <v>0</v>
      </c>
      <c r="Z725" s="103">
        <v>0</v>
      </c>
      <c r="AA725" s="105">
        <v>0</v>
      </c>
      <c r="AB725" s="106">
        <v>0</v>
      </c>
      <c r="AC725" s="105">
        <v>0</v>
      </c>
      <c r="AD725" s="104">
        <v>0</v>
      </c>
      <c r="AE725" s="104">
        <v>0</v>
      </c>
      <c r="AF725" s="107">
        <v>46265</v>
      </c>
    </row>
    <row r="726" spans="1:32" x14ac:dyDescent="0.25">
      <c r="A726" s="90">
        <v>1053</v>
      </c>
      <c r="B726" s="91" t="s">
        <v>24</v>
      </c>
      <c r="C726" s="29">
        <v>10530113</v>
      </c>
      <c r="D726" s="92" t="s">
        <v>933</v>
      </c>
      <c r="E726" s="93" t="s">
        <v>270</v>
      </c>
      <c r="F726" s="93" t="s">
        <v>230</v>
      </c>
      <c r="G726" s="109">
        <v>474.00000000000006</v>
      </c>
      <c r="H726" s="109">
        <v>19155.629999999997</v>
      </c>
      <c r="I726" s="95">
        <v>0</v>
      </c>
      <c r="J726" s="95">
        <v>4650</v>
      </c>
      <c r="K726" s="95">
        <v>0</v>
      </c>
      <c r="L726" s="95">
        <v>0</v>
      </c>
      <c r="M726" s="96">
        <v>4</v>
      </c>
      <c r="N726" s="97">
        <v>0</v>
      </c>
      <c r="O726" s="98">
        <v>0</v>
      </c>
      <c r="P726" s="33"/>
      <c r="Q726" s="99" t="s">
        <v>1198</v>
      </c>
      <c r="R726" s="100"/>
      <c r="S726" s="101">
        <v>2.3491788053936951E-4</v>
      </c>
      <c r="T726" s="102">
        <v>10</v>
      </c>
      <c r="U726" s="103">
        <v>0</v>
      </c>
      <c r="V726" s="103">
        <v>0</v>
      </c>
      <c r="W726" s="104">
        <v>0</v>
      </c>
      <c r="X726" s="19"/>
      <c r="Y726" s="103">
        <v>0</v>
      </c>
      <c r="Z726" s="103">
        <v>0</v>
      </c>
      <c r="AA726" s="105">
        <v>0</v>
      </c>
      <c r="AB726" s="106">
        <v>0</v>
      </c>
      <c r="AC726" s="105">
        <v>0</v>
      </c>
      <c r="AD726" s="104">
        <v>0</v>
      </c>
      <c r="AE726" s="104">
        <v>0</v>
      </c>
      <c r="AF726" s="107">
        <v>46265</v>
      </c>
    </row>
    <row r="727" spans="1:32" x14ac:dyDescent="0.25">
      <c r="A727" s="90">
        <v>1053</v>
      </c>
      <c r="B727" s="91" t="s">
        <v>24</v>
      </c>
      <c r="C727" s="29">
        <v>10530114</v>
      </c>
      <c r="D727" s="92" t="s">
        <v>934</v>
      </c>
      <c r="E727" s="93" t="s">
        <v>270</v>
      </c>
      <c r="F727" s="93" t="s">
        <v>230</v>
      </c>
      <c r="G727" s="109">
        <v>519.75</v>
      </c>
      <c r="H727" s="109">
        <v>23142.67</v>
      </c>
      <c r="I727" s="95">
        <v>0</v>
      </c>
      <c r="J727" s="95">
        <v>0</v>
      </c>
      <c r="K727" s="95">
        <v>0</v>
      </c>
      <c r="L727" s="95">
        <v>0</v>
      </c>
      <c r="M727" s="96">
        <v>28</v>
      </c>
      <c r="N727" s="97">
        <v>0</v>
      </c>
      <c r="O727" s="98">
        <v>1</v>
      </c>
      <c r="P727" s="33"/>
      <c r="Q727" s="99" t="s">
        <v>1198</v>
      </c>
      <c r="R727" s="100"/>
      <c r="S727" s="101">
        <v>1.1701329189761488E-3</v>
      </c>
      <c r="T727" s="102">
        <v>20</v>
      </c>
      <c r="U727" s="103">
        <v>0</v>
      </c>
      <c r="V727" s="103">
        <v>0</v>
      </c>
      <c r="W727" s="104">
        <v>0</v>
      </c>
      <c r="X727" s="19"/>
      <c r="Y727" s="103">
        <v>0</v>
      </c>
      <c r="Z727" s="103">
        <v>0</v>
      </c>
      <c r="AA727" s="105">
        <v>0</v>
      </c>
      <c r="AB727" s="106">
        <v>0</v>
      </c>
      <c r="AC727" s="105">
        <v>0</v>
      </c>
      <c r="AD727" s="104">
        <v>0</v>
      </c>
      <c r="AE727" s="104">
        <v>0</v>
      </c>
      <c r="AF727" s="107">
        <v>46265</v>
      </c>
    </row>
    <row r="728" spans="1:32" x14ac:dyDescent="0.25">
      <c r="A728" s="90">
        <v>1053</v>
      </c>
      <c r="B728" s="91" t="s">
        <v>24</v>
      </c>
      <c r="C728" s="29">
        <v>10530116</v>
      </c>
      <c r="D728" s="92" t="s">
        <v>935</v>
      </c>
      <c r="E728" s="93" t="s">
        <v>275</v>
      </c>
      <c r="F728" s="93" t="s">
        <v>231</v>
      </c>
      <c r="G728" s="109">
        <v>403.55</v>
      </c>
      <c r="H728" s="109">
        <v>17107.870000000003</v>
      </c>
      <c r="I728" s="95">
        <v>0</v>
      </c>
      <c r="J728" s="95">
        <v>0</v>
      </c>
      <c r="K728" s="95">
        <v>0</v>
      </c>
      <c r="L728" s="95">
        <v>0</v>
      </c>
      <c r="M728" s="96">
        <v>0</v>
      </c>
      <c r="N728" s="97">
        <v>0</v>
      </c>
      <c r="O728" s="98">
        <v>0</v>
      </c>
      <c r="P728" s="33"/>
      <c r="Q728" s="99" t="s">
        <v>1198</v>
      </c>
      <c r="R728" s="100"/>
      <c r="S728" s="101">
        <v>0</v>
      </c>
      <c r="T728" s="102">
        <v>0</v>
      </c>
      <c r="U728" s="103">
        <v>0</v>
      </c>
      <c r="V728" s="103">
        <v>0</v>
      </c>
      <c r="W728" s="104">
        <v>0</v>
      </c>
      <c r="X728" s="19"/>
      <c r="Y728" s="103">
        <v>0</v>
      </c>
      <c r="Z728" s="103">
        <v>0</v>
      </c>
      <c r="AA728" s="105">
        <v>0</v>
      </c>
      <c r="AB728" s="106">
        <v>0</v>
      </c>
      <c r="AC728" s="105">
        <v>0</v>
      </c>
      <c r="AD728" s="104">
        <v>0</v>
      </c>
      <c r="AE728" s="104">
        <v>0</v>
      </c>
      <c r="AF728" s="107">
        <v>46265</v>
      </c>
    </row>
    <row r="729" spans="1:32" x14ac:dyDescent="0.25">
      <c r="A729" s="90">
        <v>1053</v>
      </c>
      <c r="B729" s="91" t="s">
        <v>24</v>
      </c>
      <c r="C729" s="29">
        <v>10530117</v>
      </c>
      <c r="D729" s="92" t="s">
        <v>936</v>
      </c>
      <c r="E729" s="93" t="s">
        <v>275</v>
      </c>
      <c r="F729" s="93" t="s">
        <v>231</v>
      </c>
      <c r="G729" s="109">
        <v>1245.8999999999999</v>
      </c>
      <c r="H729" s="109">
        <v>50853.12000000001</v>
      </c>
      <c r="I729" s="95">
        <v>0</v>
      </c>
      <c r="J729" s="95">
        <v>24375</v>
      </c>
      <c r="K729" s="95">
        <v>0</v>
      </c>
      <c r="L729" s="95">
        <v>0</v>
      </c>
      <c r="M729" s="96">
        <v>0</v>
      </c>
      <c r="N729" s="97">
        <v>0</v>
      </c>
      <c r="O729" s="98">
        <v>0</v>
      </c>
      <c r="P729" s="33"/>
      <c r="Q729" s="99" t="s">
        <v>1198</v>
      </c>
      <c r="R729" s="100"/>
      <c r="S729" s="101">
        <v>0</v>
      </c>
      <c r="T729" s="102">
        <v>0</v>
      </c>
      <c r="U729" s="103">
        <v>0</v>
      </c>
      <c r="V729" s="103">
        <v>0</v>
      </c>
      <c r="W729" s="104">
        <v>0</v>
      </c>
      <c r="X729" s="19"/>
      <c r="Y729" s="103">
        <v>0</v>
      </c>
      <c r="Z729" s="103">
        <v>0</v>
      </c>
      <c r="AA729" s="105">
        <v>0</v>
      </c>
      <c r="AB729" s="106">
        <v>0</v>
      </c>
      <c r="AC729" s="105">
        <v>0</v>
      </c>
      <c r="AD729" s="104">
        <v>0</v>
      </c>
      <c r="AE729" s="104">
        <v>0</v>
      </c>
      <c r="AF729" s="107">
        <v>46265</v>
      </c>
    </row>
    <row r="730" spans="1:32" x14ac:dyDescent="0.25">
      <c r="A730" s="90">
        <v>1054</v>
      </c>
      <c r="B730" s="91" t="s">
        <v>1192</v>
      </c>
      <c r="C730" s="29">
        <v>10540003</v>
      </c>
      <c r="D730" s="92" t="s">
        <v>937</v>
      </c>
      <c r="E730" s="93" t="s">
        <v>270</v>
      </c>
      <c r="F730" s="93" t="s">
        <v>230</v>
      </c>
      <c r="G730" s="109">
        <v>3057.8</v>
      </c>
      <c r="H730" s="109">
        <v>124705.86</v>
      </c>
      <c r="I730" s="95">
        <v>0</v>
      </c>
      <c r="J730" s="95">
        <v>0</v>
      </c>
      <c r="K730" s="95">
        <v>0</v>
      </c>
      <c r="L730" s="95">
        <v>0</v>
      </c>
      <c r="M730" s="96">
        <v>94</v>
      </c>
      <c r="N730" s="97">
        <v>0</v>
      </c>
      <c r="O730" s="98">
        <v>0</v>
      </c>
      <c r="P730" s="33"/>
      <c r="Q730" s="99" t="s">
        <v>1198</v>
      </c>
      <c r="R730" s="100"/>
      <c r="S730" s="101">
        <v>7.4904258709256716E-4</v>
      </c>
      <c r="T730" s="102">
        <v>14</v>
      </c>
      <c r="U730" s="103">
        <v>0</v>
      </c>
      <c r="V730" s="103">
        <v>0</v>
      </c>
      <c r="W730" s="104">
        <v>0</v>
      </c>
      <c r="X730" s="19"/>
      <c r="Y730" s="103">
        <v>0</v>
      </c>
      <c r="Z730" s="103">
        <v>0</v>
      </c>
      <c r="AA730" s="105">
        <v>0</v>
      </c>
      <c r="AB730" s="106">
        <v>0</v>
      </c>
      <c r="AC730" s="105">
        <v>0</v>
      </c>
      <c r="AD730" s="104">
        <v>0</v>
      </c>
      <c r="AE730" s="104">
        <v>0</v>
      </c>
      <c r="AF730" s="107">
        <v>46265</v>
      </c>
    </row>
    <row r="731" spans="1:32" x14ac:dyDescent="0.25">
      <c r="A731" s="90">
        <v>1054</v>
      </c>
      <c r="B731" s="91" t="s">
        <v>1192</v>
      </c>
      <c r="C731" s="29">
        <v>10540005</v>
      </c>
      <c r="D731" s="92" t="s">
        <v>938</v>
      </c>
      <c r="E731" s="93" t="s">
        <v>270</v>
      </c>
      <c r="F731" s="93" t="s">
        <v>230</v>
      </c>
      <c r="G731" s="109">
        <v>406.00000000000006</v>
      </c>
      <c r="H731" s="109">
        <v>17772.53</v>
      </c>
      <c r="I731" s="95">
        <v>0</v>
      </c>
      <c r="J731" s="95">
        <v>0</v>
      </c>
      <c r="K731" s="95">
        <v>0</v>
      </c>
      <c r="L731" s="95">
        <v>0</v>
      </c>
      <c r="M731" s="96">
        <v>0</v>
      </c>
      <c r="N731" s="97">
        <v>0</v>
      </c>
      <c r="O731" s="98">
        <v>0</v>
      </c>
      <c r="P731" s="33"/>
      <c r="Q731" s="99" t="s">
        <v>1198</v>
      </c>
      <c r="R731" s="100"/>
      <c r="S731" s="101">
        <v>-0.28660297661616008</v>
      </c>
      <c r="T731" s="102">
        <v>18</v>
      </c>
      <c r="U731" s="103">
        <v>0</v>
      </c>
      <c r="V731" s="103">
        <v>0</v>
      </c>
      <c r="W731" s="104">
        <v>0</v>
      </c>
      <c r="X731" s="19"/>
      <c r="Y731" s="103">
        <v>0</v>
      </c>
      <c r="Z731" s="103">
        <v>0</v>
      </c>
      <c r="AA731" s="105">
        <v>0</v>
      </c>
      <c r="AB731" s="106">
        <v>0</v>
      </c>
      <c r="AC731" s="105">
        <v>0</v>
      </c>
      <c r="AD731" s="104">
        <v>0</v>
      </c>
      <c r="AE731" s="104">
        <v>0</v>
      </c>
      <c r="AF731" s="107">
        <v>46265</v>
      </c>
    </row>
    <row r="732" spans="1:32" x14ac:dyDescent="0.25">
      <c r="A732" s="90">
        <v>1054</v>
      </c>
      <c r="B732" s="91" t="s">
        <v>1192</v>
      </c>
      <c r="C732" s="29">
        <v>10540007</v>
      </c>
      <c r="D732" s="92" t="s">
        <v>939</v>
      </c>
      <c r="E732" s="93" t="s">
        <v>270</v>
      </c>
      <c r="F732" s="93" t="s">
        <v>230</v>
      </c>
      <c r="G732" s="109">
        <v>447.50000000000006</v>
      </c>
      <c r="H732" s="109">
        <v>19517.590000000004</v>
      </c>
      <c r="I732" s="95">
        <v>0</v>
      </c>
      <c r="J732" s="95">
        <v>0</v>
      </c>
      <c r="K732" s="95">
        <v>0</v>
      </c>
      <c r="L732" s="95">
        <v>0</v>
      </c>
      <c r="M732" s="96">
        <v>0</v>
      </c>
      <c r="N732" s="97">
        <v>0</v>
      </c>
      <c r="O732" s="98">
        <v>0</v>
      </c>
      <c r="P732" s="33"/>
      <c r="Q732" s="99" t="s">
        <v>1198</v>
      </c>
      <c r="R732" s="100"/>
      <c r="S732" s="101">
        <v>-2.7289742227395577E-2</v>
      </c>
      <c r="T732" s="102">
        <v>3</v>
      </c>
      <c r="U732" s="103">
        <v>0</v>
      </c>
      <c r="V732" s="103">
        <v>0</v>
      </c>
      <c r="W732" s="104">
        <v>0</v>
      </c>
      <c r="X732" s="19"/>
      <c r="Y732" s="103">
        <v>0</v>
      </c>
      <c r="Z732" s="103">
        <v>0</v>
      </c>
      <c r="AA732" s="105">
        <v>0</v>
      </c>
      <c r="AB732" s="106">
        <v>0</v>
      </c>
      <c r="AC732" s="105">
        <v>0</v>
      </c>
      <c r="AD732" s="104">
        <v>0</v>
      </c>
      <c r="AE732" s="104">
        <v>0</v>
      </c>
      <c r="AF732" s="107">
        <v>46265</v>
      </c>
    </row>
    <row r="733" spans="1:32" x14ac:dyDescent="0.25">
      <c r="A733" s="90">
        <v>1054</v>
      </c>
      <c r="B733" s="91" t="s">
        <v>1192</v>
      </c>
      <c r="C733" s="29">
        <v>10540008</v>
      </c>
      <c r="D733" s="92" t="s">
        <v>115</v>
      </c>
      <c r="E733" s="93" t="s">
        <v>270</v>
      </c>
      <c r="F733" s="93" t="s">
        <v>230</v>
      </c>
      <c r="G733" s="109">
        <v>124.50000000000001</v>
      </c>
      <c r="H733" s="109">
        <v>5817.18</v>
      </c>
      <c r="I733" s="95">
        <v>0</v>
      </c>
      <c r="J733" s="95">
        <v>1289</v>
      </c>
      <c r="K733" s="95">
        <v>500</v>
      </c>
      <c r="L733" s="95">
        <v>0</v>
      </c>
      <c r="M733" s="96">
        <v>3</v>
      </c>
      <c r="N733" s="97" t="s">
        <v>331</v>
      </c>
      <c r="O733" s="98">
        <v>0</v>
      </c>
      <c r="P733" s="33" t="s">
        <v>940</v>
      </c>
      <c r="Q733" s="99" t="s">
        <v>1198</v>
      </c>
      <c r="R733" s="100"/>
      <c r="S733" s="101">
        <v>5.39780443445162E-4</v>
      </c>
      <c r="T733" s="102">
        <v>8</v>
      </c>
      <c r="U733" s="103">
        <v>1289</v>
      </c>
      <c r="V733" s="103">
        <v>271</v>
      </c>
      <c r="W733" s="104">
        <v>1018</v>
      </c>
      <c r="X733" s="19"/>
      <c r="Y733" s="103">
        <v>500</v>
      </c>
      <c r="Z733" s="103">
        <v>0</v>
      </c>
      <c r="AA733" s="105">
        <v>0</v>
      </c>
      <c r="AB733" s="106">
        <v>500</v>
      </c>
      <c r="AC733" s="105">
        <v>500</v>
      </c>
      <c r="AD733" s="104">
        <v>0</v>
      </c>
      <c r="AE733" s="104">
        <v>0</v>
      </c>
      <c r="AF733" s="107">
        <v>46265</v>
      </c>
    </row>
    <row r="734" spans="1:32" x14ac:dyDescent="0.25">
      <c r="A734" s="90">
        <v>1054</v>
      </c>
      <c r="B734" s="91" t="s">
        <v>1192</v>
      </c>
      <c r="C734" s="29">
        <v>10540009</v>
      </c>
      <c r="D734" s="92" t="s">
        <v>941</v>
      </c>
      <c r="E734" s="93" t="s">
        <v>270</v>
      </c>
      <c r="F734" s="93" t="s">
        <v>230</v>
      </c>
      <c r="G734" s="109">
        <v>1106.8</v>
      </c>
      <c r="H734" s="109">
        <v>48922.290000000008</v>
      </c>
      <c r="I734" s="95">
        <v>0</v>
      </c>
      <c r="J734" s="95">
        <v>0</v>
      </c>
      <c r="K734" s="95">
        <v>0</v>
      </c>
      <c r="L734" s="95">
        <v>0</v>
      </c>
      <c r="M734" s="96">
        <v>0</v>
      </c>
      <c r="N734" s="97">
        <v>0</v>
      </c>
      <c r="O734" s="98">
        <v>0</v>
      </c>
      <c r="P734" s="33"/>
      <c r="Q734" s="99" t="s">
        <v>1198</v>
      </c>
      <c r="R734" s="100"/>
      <c r="S734" s="101">
        <v>-4.1177957941053119E-2</v>
      </c>
      <c r="T734" s="102">
        <v>31</v>
      </c>
      <c r="U734" s="103">
        <v>0</v>
      </c>
      <c r="V734" s="103">
        <v>0</v>
      </c>
      <c r="W734" s="104">
        <v>0</v>
      </c>
      <c r="X734" s="19"/>
      <c r="Y734" s="103">
        <v>0</v>
      </c>
      <c r="Z734" s="103">
        <v>0</v>
      </c>
      <c r="AA734" s="105">
        <v>0</v>
      </c>
      <c r="AB734" s="106">
        <v>0</v>
      </c>
      <c r="AC734" s="105">
        <v>0</v>
      </c>
      <c r="AD734" s="104">
        <v>0</v>
      </c>
      <c r="AE734" s="104">
        <v>0</v>
      </c>
      <c r="AF734" s="107">
        <v>46265</v>
      </c>
    </row>
    <row r="735" spans="1:32" x14ac:dyDescent="0.25">
      <c r="A735" s="90">
        <v>1054</v>
      </c>
      <c r="B735" s="91" t="s">
        <v>1192</v>
      </c>
      <c r="C735" s="29">
        <v>10540010</v>
      </c>
      <c r="D735" s="92" t="s">
        <v>317</v>
      </c>
      <c r="E735" s="93" t="s">
        <v>275</v>
      </c>
      <c r="F735" s="93" t="s">
        <v>231</v>
      </c>
      <c r="G735" s="109">
        <v>1593.5</v>
      </c>
      <c r="H735" s="109">
        <v>66396.179999999993</v>
      </c>
      <c r="I735" s="95">
        <v>0</v>
      </c>
      <c r="J735" s="95">
        <v>0</v>
      </c>
      <c r="K735" s="95">
        <v>0</v>
      </c>
      <c r="L735" s="95">
        <v>0</v>
      </c>
      <c r="M735" s="96">
        <v>0</v>
      </c>
      <c r="N735" s="97">
        <v>0</v>
      </c>
      <c r="O735" s="98">
        <v>0</v>
      </c>
      <c r="P735" s="33"/>
      <c r="Q735" s="99" t="s">
        <v>1198</v>
      </c>
      <c r="R735" s="100"/>
      <c r="S735" s="101">
        <v>0</v>
      </c>
      <c r="T735" s="102">
        <v>0</v>
      </c>
      <c r="U735" s="103">
        <v>0</v>
      </c>
      <c r="V735" s="103">
        <v>0</v>
      </c>
      <c r="W735" s="104">
        <v>0</v>
      </c>
      <c r="X735" s="19"/>
      <c r="Y735" s="103">
        <v>0</v>
      </c>
      <c r="Z735" s="103">
        <v>0</v>
      </c>
      <c r="AA735" s="105">
        <v>0</v>
      </c>
      <c r="AB735" s="106">
        <v>0</v>
      </c>
      <c r="AC735" s="105">
        <v>0</v>
      </c>
      <c r="AD735" s="104">
        <v>0</v>
      </c>
      <c r="AE735" s="104">
        <v>0</v>
      </c>
      <c r="AF735" s="107">
        <v>46265</v>
      </c>
    </row>
    <row r="736" spans="1:32" x14ac:dyDescent="0.25">
      <c r="A736" s="90">
        <v>1054</v>
      </c>
      <c r="B736" s="91" t="s">
        <v>1192</v>
      </c>
      <c r="C736" s="29">
        <v>10540012</v>
      </c>
      <c r="D736" s="92" t="s">
        <v>942</v>
      </c>
      <c r="E736" s="93" t="s">
        <v>275</v>
      </c>
      <c r="F736" s="93" t="s">
        <v>231</v>
      </c>
      <c r="G736" s="109">
        <v>310.80000000000007</v>
      </c>
      <c r="H736" s="109">
        <v>11251.66</v>
      </c>
      <c r="I736" s="95">
        <v>0</v>
      </c>
      <c r="J736" s="95">
        <v>0</v>
      </c>
      <c r="K736" s="95">
        <v>0</v>
      </c>
      <c r="L736" s="95">
        <v>0</v>
      </c>
      <c r="M736" s="96">
        <v>0</v>
      </c>
      <c r="N736" s="97">
        <v>0</v>
      </c>
      <c r="O736" s="98">
        <v>0</v>
      </c>
      <c r="P736" s="33"/>
      <c r="Q736" s="99" t="s">
        <v>1198</v>
      </c>
      <c r="R736" s="100"/>
      <c r="S736" s="101">
        <v>0</v>
      </c>
      <c r="T736" s="102">
        <v>0</v>
      </c>
      <c r="U736" s="103">
        <v>0</v>
      </c>
      <c r="V736" s="103">
        <v>0</v>
      </c>
      <c r="W736" s="104">
        <v>0</v>
      </c>
      <c r="X736" s="19"/>
      <c r="Y736" s="103">
        <v>0</v>
      </c>
      <c r="Z736" s="103">
        <v>0</v>
      </c>
      <c r="AA736" s="105">
        <v>0</v>
      </c>
      <c r="AB736" s="106">
        <v>0</v>
      </c>
      <c r="AC736" s="105">
        <v>0</v>
      </c>
      <c r="AD736" s="104">
        <v>0</v>
      </c>
      <c r="AE736" s="104">
        <v>0</v>
      </c>
      <c r="AF736" s="107">
        <v>46265</v>
      </c>
    </row>
    <row r="737" spans="1:32" x14ac:dyDescent="0.25">
      <c r="A737" s="90">
        <v>1054</v>
      </c>
      <c r="B737" s="91" t="s">
        <v>1192</v>
      </c>
      <c r="C737" s="29">
        <v>10540014</v>
      </c>
      <c r="D737" s="92" t="s">
        <v>943</v>
      </c>
      <c r="E737" s="93" t="s">
        <v>275</v>
      </c>
      <c r="F737" s="93" t="s">
        <v>231</v>
      </c>
      <c r="G737" s="109">
        <v>13.100000000000001</v>
      </c>
      <c r="H737" s="109">
        <v>674.55</v>
      </c>
      <c r="I737" s="95">
        <v>0</v>
      </c>
      <c r="J737" s="95">
        <v>0</v>
      </c>
      <c r="K737" s="95">
        <v>0</v>
      </c>
      <c r="L737" s="95">
        <v>0</v>
      </c>
      <c r="M737" s="96">
        <v>0</v>
      </c>
      <c r="N737" s="97">
        <v>0</v>
      </c>
      <c r="O737" s="98">
        <v>0</v>
      </c>
      <c r="P737" s="33"/>
      <c r="Q737" s="99" t="s">
        <v>1198</v>
      </c>
      <c r="R737" s="100"/>
      <c r="S737" s="101">
        <v>0</v>
      </c>
      <c r="T737" s="102">
        <v>0</v>
      </c>
      <c r="U737" s="103">
        <v>0</v>
      </c>
      <c r="V737" s="103">
        <v>0</v>
      </c>
      <c r="W737" s="104">
        <v>0</v>
      </c>
      <c r="X737" s="19"/>
      <c r="Y737" s="103">
        <v>0</v>
      </c>
      <c r="Z737" s="103">
        <v>0</v>
      </c>
      <c r="AA737" s="105">
        <v>0</v>
      </c>
      <c r="AB737" s="106">
        <v>0</v>
      </c>
      <c r="AC737" s="105">
        <v>0</v>
      </c>
      <c r="AD737" s="104">
        <v>0</v>
      </c>
      <c r="AE737" s="104">
        <v>0</v>
      </c>
      <c r="AF737" s="107">
        <v>46265</v>
      </c>
    </row>
    <row r="738" spans="1:32" x14ac:dyDescent="0.25">
      <c r="A738" s="90">
        <v>1054</v>
      </c>
      <c r="B738" s="91" t="s">
        <v>1192</v>
      </c>
      <c r="C738" s="29">
        <v>10540016</v>
      </c>
      <c r="D738" s="92" t="s">
        <v>944</v>
      </c>
      <c r="E738" s="93" t="s">
        <v>270</v>
      </c>
      <c r="F738" s="93" t="s">
        <v>230</v>
      </c>
      <c r="G738" s="109">
        <v>533.20000000000005</v>
      </c>
      <c r="H738" s="109">
        <v>28181.599999999995</v>
      </c>
      <c r="I738" s="95">
        <v>0</v>
      </c>
      <c r="J738" s="95">
        <v>0</v>
      </c>
      <c r="K738" s="95">
        <v>0</v>
      </c>
      <c r="L738" s="95">
        <v>0</v>
      </c>
      <c r="M738" s="96">
        <v>0</v>
      </c>
      <c r="N738" s="97">
        <v>0</v>
      </c>
      <c r="O738" s="98">
        <v>0</v>
      </c>
      <c r="P738" s="33"/>
      <c r="Q738" s="99" t="s">
        <v>1198</v>
      </c>
      <c r="R738" s="100"/>
      <c r="S738" s="101">
        <v>-8.275222130752008E-2</v>
      </c>
      <c r="T738" s="102">
        <v>16</v>
      </c>
      <c r="U738" s="103">
        <v>0</v>
      </c>
      <c r="V738" s="103">
        <v>0</v>
      </c>
      <c r="W738" s="104">
        <v>0</v>
      </c>
      <c r="X738" s="19"/>
      <c r="Y738" s="103">
        <v>0</v>
      </c>
      <c r="Z738" s="103">
        <v>0</v>
      </c>
      <c r="AA738" s="105">
        <v>0</v>
      </c>
      <c r="AB738" s="106">
        <v>0</v>
      </c>
      <c r="AC738" s="105">
        <v>0</v>
      </c>
      <c r="AD738" s="104">
        <v>0</v>
      </c>
      <c r="AE738" s="104">
        <v>0</v>
      </c>
      <c r="AF738" s="107">
        <v>46265</v>
      </c>
    </row>
    <row r="739" spans="1:32" x14ac:dyDescent="0.25">
      <c r="A739" s="90">
        <v>1054</v>
      </c>
      <c r="B739" s="91" t="s">
        <v>1192</v>
      </c>
      <c r="C739" s="29">
        <v>10540017</v>
      </c>
      <c r="D739" s="92" t="s">
        <v>945</v>
      </c>
      <c r="E739" s="93" t="s">
        <v>270</v>
      </c>
      <c r="F739" s="93" t="s">
        <v>230</v>
      </c>
      <c r="G739" s="109">
        <v>881.09999999999991</v>
      </c>
      <c r="H739" s="109">
        <v>32709.030000000002</v>
      </c>
      <c r="I739" s="95">
        <v>0</v>
      </c>
      <c r="J739" s="95">
        <v>0</v>
      </c>
      <c r="K739" s="95">
        <v>0</v>
      </c>
      <c r="L739" s="95">
        <v>0</v>
      </c>
      <c r="M739" s="96">
        <v>10</v>
      </c>
      <c r="N739" s="97">
        <v>0</v>
      </c>
      <c r="O739" s="98">
        <v>0</v>
      </c>
      <c r="P739" s="33"/>
      <c r="Q739" s="99" t="s">
        <v>1198</v>
      </c>
      <c r="R739" s="100"/>
      <c r="S739" s="101">
        <v>2.9227402952644295E-4</v>
      </c>
      <c r="T739" s="102">
        <v>1</v>
      </c>
      <c r="U739" s="103">
        <v>0</v>
      </c>
      <c r="V739" s="103">
        <v>0</v>
      </c>
      <c r="W739" s="104">
        <v>0</v>
      </c>
      <c r="X739" s="19"/>
      <c r="Y739" s="103">
        <v>0</v>
      </c>
      <c r="Z739" s="103">
        <v>0</v>
      </c>
      <c r="AA739" s="105">
        <v>0</v>
      </c>
      <c r="AB739" s="106">
        <v>0</v>
      </c>
      <c r="AC739" s="105">
        <v>0</v>
      </c>
      <c r="AD739" s="104">
        <v>0</v>
      </c>
      <c r="AE739" s="104">
        <v>0</v>
      </c>
      <c r="AF739" s="107">
        <v>46265</v>
      </c>
    </row>
    <row r="740" spans="1:32" x14ac:dyDescent="0.25">
      <c r="A740" s="90">
        <v>1054</v>
      </c>
      <c r="B740" s="91" t="s">
        <v>1192</v>
      </c>
      <c r="C740" s="29">
        <v>10540018</v>
      </c>
      <c r="D740" s="92" t="s">
        <v>946</v>
      </c>
      <c r="E740" s="93" t="s">
        <v>270</v>
      </c>
      <c r="F740" s="93" t="s">
        <v>230</v>
      </c>
      <c r="G740" s="109">
        <v>303.60000000000008</v>
      </c>
      <c r="H740" s="109">
        <v>14108.06</v>
      </c>
      <c r="I740" s="95">
        <v>0</v>
      </c>
      <c r="J740" s="95">
        <v>0</v>
      </c>
      <c r="K740" s="95">
        <v>500</v>
      </c>
      <c r="L740" s="95">
        <v>0</v>
      </c>
      <c r="M740" s="96">
        <v>0</v>
      </c>
      <c r="N740" s="97">
        <v>0</v>
      </c>
      <c r="O740" s="98">
        <v>0</v>
      </c>
      <c r="P740" s="33"/>
      <c r="Q740" s="99" t="s">
        <v>1198</v>
      </c>
      <c r="R740" s="100"/>
      <c r="S740" s="101">
        <v>-5.7038317103839473E-3</v>
      </c>
      <c r="T740" s="102">
        <v>8</v>
      </c>
      <c r="U740" s="103">
        <v>0</v>
      </c>
      <c r="V740" s="103">
        <v>0</v>
      </c>
      <c r="W740" s="104">
        <v>0</v>
      </c>
      <c r="X740" s="19"/>
      <c r="Y740" s="103">
        <v>500</v>
      </c>
      <c r="Z740" s="103">
        <v>0</v>
      </c>
      <c r="AA740" s="105">
        <v>0</v>
      </c>
      <c r="AB740" s="106">
        <v>500</v>
      </c>
      <c r="AC740" s="105">
        <v>500</v>
      </c>
      <c r="AD740" s="104">
        <v>0</v>
      </c>
      <c r="AE740" s="104">
        <v>0</v>
      </c>
      <c r="AF740" s="107">
        <v>46265</v>
      </c>
    </row>
    <row r="741" spans="1:32" x14ac:dyDescent="0.25">
      <c r="A741" s="90">
        <v>1054</v>
      </c>
      <c r="B741" s="91" t="s">
        <v>1192</v>
      </c>
      <c r="C741" s="29">
        <v>10540019</v>
      </c>
      <c r="D741" s="92" t="s">
        <v>947</v>
      </c>
      <c r="E741" s="93" t="s">
        <v>270</v>
      </c>
      <c r="F741" s="93" t="s">
        <v>230</v>
      </c>
      <c r="G741" s="109">
        <v>144.1</v>
      </c>
      <c r="H741" s="109">
        <v>4845.43</v>
      </c>
      <c r="I741" s="95">
        <v>0</v>
      </c>
      <c r="J741" s="95">
        <v>0</v>
      </c>
      <c r="K741" s="95">
        <v>500</v>
      </c>
      <c r="L741" s="95">
        <v>0</v>
      </c>
      <c r="M741" s="96">
        <v>4</v>
      </c>
      <c r="N741" s="97">
        <v>0</v>
      </c>
      <c r="O741" s="98">
        <v>0</v>
      </c>
      <c r="P741" s="33"/>
      <c r="Q741" s="99" t="s">
        <v>1198</v>
      </c>
      <c r="R741" s="100"/>
      <c r="S741" s="101">
        <v>8.6679613574042495E-4</v>
      </c>
      <c r="T741" s="102">
        <v>1</v>
      </c>
      <c r="U741" s="103">
        <v>0</v>
      </c>
      <c r="V741" s="103">
        <v>0</v>
      </c>
      <c r="W741" s="104">
        <v>0</v>
      </c>
      <c r="X741" s="19"/>
      <c r="Y741" s="103">
        <v>500</v>
      </c>
      <c r="Z741" s="103">
        <v>0</v>
      </c>
      <c r="AA741" s="105">
        <v>0</v>
      </c>
      <c r="AB741" s="106">
        <v>500</v>
      </c>
      <c r="AC741" s="105">
        <v>500</v>
      </c>
      <c r="AD741" s="104">
        <v>0</v>
      </c>
      <c r="AE741" s="104">
        <v>0</v>
      </c>
      <c r="AF741" s="107">
        <v>46265</v>
      </c>
    </row>
    <row r="742" spans="1:32" x14ac:dyDescent="0.25">
      <c r="A742" s="90">
        <v>1054</v>
      </c>
      <c r="B742" s="91" t="s">
        <v>1192</v>
      </c>
      <c r="C742" s="29">
        <v>10540020</v>
      </c>
      <c r="D742" s="92" t="s">
        <v>948</v>
      </c>
      <c r="E742" s="93" t="s">
        <v>270</v>
      </c>
      <c r="F742" s="93" t="s">
        <v>230</v>
      </c>
      <c r="G742" s="109">
        <v>154.30000000000001</v>
      </c>
      <c r="H742" s="109">
        <v>6044.4</v>
      </c>
      <c r="I742" s="95">
        <v>0</v>
      </c>
      <c r="J742" s="95">
        <v>0</v>
      </c>
      <c r="K742" s="95">
        <v>500</v>
      </c>
      <c r="L742" s="95">
        <v>0</v>
      </c>
      <c r="M742" s="96">
        <v>0</v>
      </c>
      <c r="N742" s="97" t="s">
        <v>331</v>
      </c>
      <c r="O742" s="98">
        <v>0</v>
      </c>
      <c r="P742" s="33" t="s">
        <v>286</v>
      </c>
      <c r="Q742" s="99" t="s">
        <v>1198</v>
      </c>
      <c r="R742" s="100"/>
      <c r="S742" s="101">
        <v>-3.5217722189133875E-2</v>
      </c>
      <c r="T742" s="102">
        <v>7</v>
      </c>
      <c r="U742" s="103">
        <v>0</v>
      </c>
      <c r="V742" s="103">
        <v>0</v>
      </c>
      <c r="W742" s="104">
        <v>0</v>
      </c>
      <c r="X742" s="19"/>
      <c r="Y742" s="103">
        <v>500</v>
      </c>
      <c r="Z742" s="103">
        <v>0</v>
      </c>
      <c r="AA742" s="105">
        <v>0</v>
      </c>
      <c r="AB742" s="106">
        <v>500</v>
      </c>
      <c r="AC742" s="105">
        <v>500</v>
      </c>
      <c r="AD742" s="104">
        <v>0</v>
      </c>
      <c r="AE742" s="104">
        <v>0</v>
      </c>
      <c r="AF742" s="107">
        <v>46265</v>
      </c>
    </row>
    <row r="743" spans="1:32" x14ac:dyDescent="0.25">
      <c r="A743" s="90">
        <v>1054</v>
      </c>
      <c r="B743" s="91" t="s">
        <v>1192</v>
      </c>
      <c r="C743" s="29">
        <v>10540021</v>
      </c>
      <c r="D743" s="92" t="s">
        <v>949</v>
      </c>
      <c r="E743" s="93" t="s">
        <v>275</v>
      </c>
      <c r="F743" s="93" t="s">
        <v>231</v>
      </c>
      <c r="G743" s="109">
        <v>398.3</v>
      </c>
      <c r="H743" s="109">
        <v>13561.720000000001</v>
      </c>
      <c r="I743" s="95">
        <v>0</v>
      </c>
      <c r="J743" s="95">
        <v>0</v>
      </c>
      <c r="K743" s="95">
        <v>0</v>
      </c>
      <c r="L743" s="95">
        <v>0</v>
      </c>
      <c r="M743" s="96">
        <v>0</v>
      </c>
      <c r="N743" s="97">
        <v>0</v>
      </c>
      <c r="O743" s="98">
        <v>0</v>
      </c>
      <c r="P743" s="33"/>
      <c r="Q743" s="99" t="s">
        <v>1198</v>
      </c>
      <c r="R743" s="100"/>
      <c r="S743" s="101">
        <v>0</v>
      </c>
      <c r="T743" s="102">
        <v>0</v>
      </c>
      <c r="U743" s="103">
        <v>0</v>
      </c>
      <c r="V743" s="103">
        <v>0</v>
      </c>
      <c r="W743" s="104">
        <v>0</v>
      </c>
      <c r="X743" s="19"/>
      <c r="Y743" s="103">
        <v>0</v>
      </c>
      <c r="Z743" s="103">
        <v>0</v>
      </c>
      <c r="AA743" s="105">
        <v>0</v>
      </c>
      <c r="AB743" s="106">
        <v>0</v>
      </c>
      <c r="AC743" s="105">
        <v>0</v>
      </c>
      <c r="AD743" s="104">
        <v>0</v>
      </c>
      <c r="AE743" s="104">
        <v>0</v>
      </c>
      <c r="AF743" s="107">
        <v>46265</v>
      </c>
    </row>
    <row r="744" spans="1:32" x14ac:dyDescent="0.25">
      <c r="A744" s="90">
        <v>1054</v>
      </c>
      <c r="B744" s="91" t="s">
        <v>1192</v>
      </c>
      <c r="C744" s="29">
        <v>10540026</v>
      </c>
      <c r="D744" s="92" t="s">
        <v>950</v>
      </c>
      <c r="E744" s="93" t="s">
        <v>270</v>
      </c>
      <c r="F744" s="93" t="s">
        <v>230</v>
      </c>
      <c r="G744" s="109">
        <v>394.7</v>
      </c>
      <c r="H744" s="109">
        <v>15192.16</v>
      </c>
      <c r="I744" s="95">
        <v>0</v>
      </c>
      <c r="J744" s="95">
        <v>0</v>
      </c>
      <c r="K744" s="95">
        <v>0</v>
      </c>
      <c r="L744" s="95">
        <v>0</v>
      </c>
      <c r="M744" s="96">
        <v>0</v>
      </c>
      <c r="N744" s="97">
        <v>0</v>
      </c>
      <c r="O744" s="98">
        <v>0</v>
      </c>
      <c r="P744" s="33"/>
      <c r="Q744" s="99" t="s">
        <v>1198</v>
      </c>
      <c r="R744" s="100"/>
      <c r="S744" s="101">
        <v>-3.6084401428105074E-2</v>
      </c>
      <c r="T744" s="102">
        <v>14</v>
      </c>
      <c r="U744" s="103">
        <v>0</v>
      </c>
      <c r="V744" s="103">
        <v>0</v>
      </c>
      <c r="W744" s="104">
        <v>0</v>
      </c>
      <c r="X744" s="19"/>
      <c r="Y744" s="103">
        <v>0</v>
      </c>
      <c r="Z744" s="103">
        <v>0</v>
      </c>
      <c r="AA744" s="105">
        <v>0</v>
      </c>
      <c r="AB744" s="106">
        <v>0</v>
      </c>
      <c r="AC744" s="105">
        <v>0</v>
      </c>
      <c r="AD744" s="104">
        <v>0</v>
      </c>
      <c r="AE744" s="104">
        <v>0</v>
      </c>
      <c r="AF744" s="107">
        <v>46265</v>
      </c>
    </row>
    <row r="745" spans="1:32" x14ac:dyDescent="0.25">
      <c r="A745" s="90">
        <v>1054</v>
      </c>
      <c r="B745" s="91" t="s">
        <v>1192</v>
      </c>
      <c r="C745" s="29">
        <v>10540027</v>
      </c>
      <c r="D745" s="92" t="s">
        <v>951</v>
      </c>
      <c r="E745" s="93" t="s">
        <v>275</v>
      </c>
      <c r="F745" s="93" t="s">
        <v>231</v>
      </c>
      <c r="G745" s="109">
        <v>374.2</v>
      </c>
      <c r="H745" s="109">
        <v>14480.059999999998</v>
      </c>
      <c r="I745" s="95">
        <v>0</v>
      </c>
      <c r="J745" s="95">
        <v>0</v>
      </c>
      <c r="K745" s="95">
        <v>0</v>
      </c>
      <c r="L745" s="95">
        <v>0</v>
      </c>
      <c r="M745" s="96">
        <v>0</v>
      </c>
      <c r="N745" s="97">
        <v>0</v>
      </c>
      <c r="O745" s="98">
        <v>0</v>
      </c>
      <c r="P745" s="33"/>
      <c r="Q745" s="99" t="s">
        <v>1198</v>
      </c>
      <c r="R745" s="100"/>
      <c r="S745" s="101">
        <v>0</v>
      </c>
      <c r="T745" s="102">
        <v>0</v>
      </c>
      <c r="U745" s="103">
        <v>0</v>
      </c>
      <c r="V745" s="103">
        <v>0</v>
      </c>
      <c r="W745" s="104">
        <v>0</v>
      </c>
      <c r="X745" s="19"/>
      <c r="Y745" s="103">
        <v>0</v>
      </c>
      <c r="Z745" s="103">
        <v>0</v>
      </c>
      <c r="AA745" s="105">
        <v>0</v>
      </c>
      <c r="AB745" s="106">
        <v>0</v>
      </c>
      <c r="AC745" s="105">
        <v>0</v>
      </c>
      <c r="AD745" s="104">
        <v>0</v>
      </c>
      <c r="AE745" s="104">
        <v>0</v>
      </c>
      <c r="AF745" s="107">
        <v>46265</v>
      </c>
    </row>
    <row r="746" spans="1:32" x14ac:dyDescent="0.25">
      <c r="A746" s="90">
        <v>1054</v>
      </c>
      <c r="B746" s="91" t="s">
        <v>1192</v>
      </c>
      <c r="C746" s="29">
        <v>10540032</v>
      </c>
      <c r="D746" s="92" t="s">
        <v>952</v>
      </c>
      <c r="E746" s="93" t="s">
        <v>270</v>
      </c>
      <c r="F746" s="93" t="s">
        <v>230</v>
      </c>
      <c r="G746" s="109">
        <v>171.79999999999998</v>
      </c>
      <c r="H746" s="109">
        <v>6427.6999999999989</v>
      </c>
      <c r="I746" s="95">
        <v>0</v>
      </c>
      <c r="J746" s="95">
        <v>0</v>
      </c>
      <c r="K746" s="95">
        <v>500</v>
      </c>
      <c r="L746" s="95">
        <v>0</v>
      </c>
      <c r="M746" s="96">
        <v>7</v>
      </c>
      <c r="N746" s="97">
        <v>0</v>
      </c>
      <c r="O746" s="98">
        <v>0</v>
      </c>
      <c r="P746" s="33"/>
      <c r="Q746" s="99" t="s">
        <v>1198</v>
      </c>
      <c r="R746" s="100"/>
      <c r="S746" s="101">
        <v>9.832443953511833E-4</v>
      </c>
      <c r="T746" s="102">
        <v>1</v>
      </c>
      <c r="U746" s="103">
        <v>0</v>
      </c>
      <c r="V746" s="103">
        <v>0</v>
      </c>
      <c r="W746" s="104">
        <v>0</v>
      </c>
      <c r="X746" s="19"/>
      <c r="Y746" s="103">
        <v>500</v>
      </c>
      <c r="Z746" s="103">
        <v>0</v>
      </c>
      <c r="AA746" s="105">
        <v>0</v>
      </c>
      <c r="AB746" s="106">
        <v>500</v>
      </c>
      <c r="AC746" s="105">
        <v>500</v>
      </c>
      <c r="AD746" s="104">
        <v>0</v>
      </c>
      <c r="AE746" s="104">
        <v>0</v>
      </c>
      <c r="AF746" s="107">
        <v>46265</v>
      </c>
    </row>
    <row r="747" spans="1:32" x14ac:dyDescent="0.25">
      <c r="A747" s="90">
        <v>1054</v>
      </c>
      <c r="B747" s="91" t="s">
        <v>1192</v>
      </c>
      <c r="C747" s="29">
        <v>10540039</v>
      </c>
      <c r="D747" s="92" t="s">
        <v>953</v>
      </c>
      <c r="E747" s="93" t="s">
        <v>275</v>
      </c>
      <c r="F747" s="93" t="s">
        <v>231</v>
      </c>
      <c r="G747" s="109">
        <v>519.59999999999991</v>
      </c>
      <c r="H747" s="109">
        <v>17370.270000000004</v>
      </c>
      <c r="I747" s="95">
        <v>0</v>
      </c>
      <c r="J747" s="95">
        <v>0</v>
      </c>
      <c r="K747" s="95">
        <v>0</v>
      </c>
      <c r="L747" s="95">
        <v>0</v>
      </c>
      <c r="M747" s="96">
        <v>0</v>
      </c>
      <c r="N747" s="97">
        <v>0</v>
      </c>
      <c r="O747" s="98">
        <v>0</v>
      </c>
      <c r="P747" s="33"/>
      <c r="Q747" s="99" t="s">
        <v>1198</v>
      </c>
      <c r="R747" s="100"/>
      <c r="S747" s="101">
        <v>0</v>
      </c>
      <c r="T747" s="102">
        <v>0</v>
      </c>
      <c r="U747" s="103">
        <v>0</v>
      </c>
      <c r="V747" s="103">
        <v>0</v>
      </c>
      <c r="W747" s="104">
        <v>0</v>
      </c>
      <c r="X747" s="19"/>
      <c r="Y747" s="103">
        <v>0</v>
      </c>
      <c r="Z747" s="103">
        <v>0</v>
      </c>
      <c r="AA747" s="105">
        <v>0</v>
      </c>
      <c r="AB747" s="106">
        <v>0</v>
      </c>
      <c r="AC747" s="105">
        <v>0</v>
      </c>
      <c r="AD747" s="104">
        <v>0</v>
      </c>
      <c r="AE747" s="104">
        <v>0</v>
      </c>
      <c r="AF747" s="107">
        <v>46265</v>
      </c>
    </row>
    <row r="748" spans="1:32" x14ac:dyDescent="0.25">
      <c r="A748" s="90">
        <v>1054</v>
      </c>
      <c r="B748" s="91" t="s">
        <v>1192</v>
      </c>
      <c r="C748" s="29">
        <v>10540041</v>
      </c>
      <c r="D748" s="92" t="s">
        <v>954</v>
      </c>
      <c r="E748" s="93" t="s">
        <v>275</v>
      </c>
      <c r="F748" s="93" t="s">
        <v>231</v>
      </c>
      <c r="G748" s="109">
        <v>98.5</v>
      </c>
      <c r="H748" s="109">
        <v>3678.2200000000003</v>
      </c>
      <c r="I748" s="95">
        <v>0</v>
      </c>
      <c r="J748" s="95">
        <v>0</v>
      </c>
      <c r="K748" s="95">
        <v>0</v>
      </c>
      <c r="L748" s="95">
        <v>0</v>
      </c>
      <c r="M748" s="96">
        <v>0</v>
      </c>
      <c r="N748" s="97">
        <v>0</v>
      </c>
      <c r="O748" s="98">
        <v>0</v>
      </c>
      <c r="P748" s="33"/>
      <c r="Q748" s="99" t="s">
        <v>1198</v>
      </c>
      <c r="R748" s="100"/>
      <c r="S748" s="101">
        <v>0</v>
      </c>
      <c r="T748" s="102">
        <v>0</v>
      </c>
      <c r="U748" s="103">
        <v>0</v>
      </c>
      <c r="V748" s="103">
        <v>0</v>
      </c>
      <c r="W748" s="104">
        <v>0</v>
      </c>
      <c r="X748" s="19"/>
      <c r="Y748" s="103">
        <v>0</v>
      </c>
      <c r="Z748" s="103">
        <v>0</v>
      </c>
      <c r="AA748" s="105">
        <v>0</v>
      </c>
      <c r="AB748" s="106">
        <v>0</v>
      </c>
      <c r="AC748" s="105">
        <v>0</v>
      </c>
      <c r="AD748" s="104">
        <v>0</v>
      </c>
      <c r="AE748" s="104">
        <v>0</v>
      </c>
      <c r="AF748" s="107">
        <v>46265</v>
      </c>
    </row>
    <row r="749" spans="1:32" x14ac:dyDescent="0.25">
      <c r="A749" s="90">
        <v>1054</v>
      </c>
      <c r="B749" s="91" t="s">
        <v>1192</v>
      </c>
      <c r="C749" s="29">
        <v>10540042</v>
      </c>
      <c r="D749" s="92" t="s">
        <v>955</v>
      </c>
      <c r="E749" s="93" t="s">
        <v>270</v>
      </c>
      <c r="F749" s="93" t="s">
        <v>230</v>
      </c>
      <c r="G749" s="109">
        <v>2223.3000000000002</v>
      </c>
      <c r="H749" s="109">
        <v>117382.66000000002</v>
      </c>
      <c r="I749" s="95">
        <v>0</v>
      </c>
      <c r="J749" s="95">
        <v>0</v>
      </c>
      <c r="K749" s="95">
        <v>0</v>
      </c>
      <c r="L749" s="95">
        <v>0</v>
      </c>
      <c r="M749" s="96">
        <v>0</v>
      </c>
      <c r="N749" s="97">
        <v>0</v>
      </c>
      <c r="O749" s="98">
        <v>0</v>
      </c>
      <c r="P749" s="33"/>
      <c r="Q749" s="99" t="s">
        <v>1198</v>
      </c>
      <c r="R749" s="100"/>
      <c r="S749" s="101">
        <v>-8.1349323656490623E-3</v>
      </c>
      <c r="T749" s="102">
        <v>10</v>
      </c>
      <c r="U749" s="103">
        <v>0</v>
      </c>
      <c r="V749" s="103">
        <v>0</v>
      </c>
      <c r="W749" s="104">
        <v>0</v>
      </c>
      <c r="X749" s="19"/>
      <c r="Y749" s="103">
        <v>0</v>
      </c>
      <c r="Z749" s="103">
        <v>0</v>
      </c>
      <c r="AA749" s="105">
        <v>0</v>
      </c>
      <c r="AB749" s="106">
        <v>0</v>
      </c>
      <c r="AC749" s="105">
        <v>0</v>
      </c>
      <c r="AD749" s="104">
        <v>0</v>
      </c>
      <c r="AE749" s="104">
        <v>0</v>
      </c>
      <c r="AF749" s="107">
        <v>46265</v>
      </c>
    </row>
    <row r="750" spans="1:32" x14ac:dyDescent="0.25">
      <c r="A750" s="90">
        <v>1054</v>
      </c>
      <c r="B750" s="91" t="s">
        <v>1192</v>
      </c>
      <c r="C750" s="29">
        <v>10540043</v>
      </c>
      <c r="D750" s="92" t="s">
        <v>956</v>
      </c>
      <c r="E750" s="93" t="s">
        <v>275</v>
      </c>
      <c r="F750" s="93" t="s">
        <v>230</v>
      </c>
      <c r="G750" s="109">
        <v>412.30000000000007</v>
      </c>
      <c r="H750" s="109">
        <v>18938.530000000002</v>
      </c>
      <c r="I750" s="95">
        <v>0</v>
      </c>
      <c r="J750" s="95">
        <v>6111</v>
      </c>
      <c r="K750" s="95">
        <v>0</v>
      </c>
      <c r="L750" s="95">
        <v>0</v>
      </c>
      <c r="M750" s="96">
        <v>0</v>
      </c>
      <c r="N750" s="97">
        <v>0</v>
      </c>
      <c r="O750" s="98">
        <v>0</v>
      </c>
      <c r="P750" s="33"/>
      <c r="Q750" s="99" t="s">
        <v>1198</v>
      </c>
      <c r="R750" s="100"/>
      <c r="S750" s="101">
        <v>-3.684182457666986E-2</v>
      </c>
      <c r="T750" s="102">
        <v>6</v>
      </c>
      <c r="U750" s="103">
        <v>0</v>
      </c>
      <c r="V750" s="103">
        <v>0</v>
      </c>
      <c r="W750" s="104">
        <v>0</v>
      </c>
      <c r="X750" s="19"/>
      <c r="Y750" s="103">
        <v>0</v>
      </c>
      <c r="Z750" s="103">
        <v>0</v>
      </c>
      <c r="AA750" s="105">
        <v>0</v>
      </c>
      <c r="AB750" s="106">
        <v>0</v>
      </c>
      <c r="AC750" s="105">
        <v>0</v>
      </c>
      <c r="AD750" s="104">
        <v>0</v>
      </c>
      <c r="AE750" s="104">
        <v>0</v>
      </c>
      <c r="AF750" s="107">
        <v>46265</v>
      </c>
    </row>
    <row r="751" spans="1:32" x14ac:dyDescent="0.25">
      <c r="A751" s="90">
        <v>1054</v>
      </c>
      <c r="B751" s="91" t="s">
        <v>1192</v>
      </c>
      <c r="C751" s="29">
        <v>10540044</v>
      </c>
      <c r="D751" s="92" t="s">
        <v>957</v>
      </c>
      <c r="E751" s="93" t="s">
        <v>270</v>
      </c>
      <c r="F751" s="93" t="s">
        <v>230</v>
      </c>
      <c r="G751" s="109">
        <v>187.7</v>
      </c>
      <c r="H751" s="109">
        <v>7683.3400000000011</v>
      </c>
      <c r="I751" s="95">
        <v>0</v>
      </c>
      <c r="J751" s="95">
        <v>0</v>
      </c>
      <c r="K751" s="95">
        <v>0</v>
      </c>
      <c r="L751" s="95">
        <v>0</v>
      </c>
      <c r="M751" s="96">
        <v>0</v>
      </c>
      <c r="N751" s="97">
        <v>0</v>
      </c>
      <c r="O751" s="98">
        <v>0</v>
      </c>
      <c r="P751" s="33"/>
      <c r="Q751" s="99" t="s">
        <v>1198</v>
      </c>
      <c r="R751" s="100"/>
      <c r="S751" s="101">
        <v>-0.35035023830781914</v>
      </c>
      <c r="T751" s="102">
        <v>1</v>
      </c>
      <c r="U751" s="103">
        <v>0</v>
      </c>
      <c r="V751" s="103">
        <v>0</v>
      </c>
      <c r="W751" s="104">
        <v>0</v>
      </c>
      <c r="X751" s="19"/>
      <c r="Y751" s="103">
        <v>0</v>
      </c>
      <c r="Z751" s="103">
        <v>0</v>
      </c>
      <c r="AA751" s="105">
        <v>0</v>
      </c>
      <c r="AB751" s="106">
        <v>0</v>
      </c>
      <c r="AC751" s="105">
        <v>0</v>
      </c>
      <c r="AD751" s="104">
        <v>0</v>
      </c>
      <c r="AE751" s="104">
        <v>0</v>
      </c>
      <c r="AF751" s="107">
        <v>46265</v>
      </c>
    </row>
    <row r="752" spans="1:32" x14ac:dyDescent="0.25">
      <c r="A752" s="90">
        <v>1054</v>
      </c>
      <c r="B752" s="91" t="s">
        <v>1192</v>
      </c>
      <c r="C752" s="29">
        <v>10540045</v>
      </c>
      <c r="D752" s="92" t="s">
        <v>958</v>
      </c>
      <c r="E752" s="93" t="s">
        <v>275</v>
      </c>
      <c r="F752" s="93" t="s">
        <v>231</v>
      </c>
      <c r="G752" s="109">
        <v>828.2</v>
      </c>
      <c r="H752" s="109">
        <v>35557.909999999996</v>
      </c>
      <c r="I752" s="95">
        <v>0</v>
      </c>
      <c r="J752" s="95">
        <v>0</v>
      </c>
      <c r="K752" s="95">
        <v>0</v>
      </c>
      <c r="L752" s="95">
        <v>0</v>
      </c>
      <c r="M752" s="96">
        <v>0</v>
      </c>
      <c r="N752" s="97">
        <v>0</v>
      </c>
      <c r="O752" s="98">
        <v>0</v>
      </c>
      <c r="P752" s="33"/>
      <c r="Q752" s="99" t="s">
        <v>1198</v>
      </c>
      <c r="R752" s="100"/>
      <c r="S752" s="101">
        <v>0</v>
      </c>
      <c r="T752" s="102">
        <v>0</v>
      </c>
      <c r="U752" s="103">
        <v>0</v>
      </c>
      <c r="V752" s="103">
        <v>0</v>
      </c>
      <c r="W752" s="104">
        <v>0</v>
      </c>
      <c r="X752" s="19"/>
      <c r="Y752" s="103">
        <v>0</v>
      </c>
      <c r="Z752" s="103">
        <v>0</v>
      </c>
      <c r="AA752" s="105">
        <v>0</v>
      </c>
      <c r="AB752" s="106">
        <v>0</v>
      </c>
      <c r="AC752" s="105">
        <v>0</v>
      </c>
      <c r="AD752" s="104">
        <v>0</v>
      </c>
      <c r="AE752" s="104">
        <v>0</v>
      </c>
      <c r="AF752" s="107">
        <v>46265</v>
      </c>
    </row>
    <row r="753" spans="1:32" x14ac:dyDescent="0.25">
      <c r="A753" s="90">
        <v>1054</v>
      </c>
      <c r="B753" s="91" t="s">
        <v>1192</v>
      </c>
      <c r="C753" s="29">
        <v>10540046</v>
      </c>
      <c r="D753" s="92" t="s">
        <v>959</v>
      </c>
      <c r="E753" s="93" t="s">
        <v>270</v>
      </c>
      <c r="F753" s="93" t="s">
        <v>230</v>
      </c>
      <c r="G753" s="109">
        <v>646.5</v>
      </c>
      <c r="H753" s="109">
        <v>26787.640000000003</v>
      </c>
      <c r="I753" s="95">
        <v>0</v>
      </c>
      <c r="J753" s="95">
        <v>0</v>
      </c>
      <c r="K753" s="95">
        <v>0</v>
      </c>
      <c r="L753" s="95">
        <v>0</v>
      </c>
      <c r="M753" s="96">
        <v>0</v>
      </c>
      <c r="N753" s="97">
        <v>0</v>
      </c>
      <c r="O753" s="98">
        <v>0</v>
      </c>
      <c r="P753" s="33"/>
      <c r="Q753" s="99" t="s">
        <v>1198</v>
      </c>
      <c r="R753" s="100"/>
      <c r="S753" s="101">
        <v>-0.2239992026173262</v>
      </c>
      <c r="T753" s="102">
        <v>2</v>
      </c>
      <c r="U753" s="103">
        <v>0</v>
      </c>
      <c r="V753" s="103">
        <v>0</v>
      </c>
      <c r="W753" s="104">
        <v>0</v>
      </c>
      <c r="X753" s="19"/>
      <c r="Y753" s="103">
        <v>0</v>
      </c>
      <c r="Z753" s="103">
        <v>0</v>
      </c>
      <c r="AA753" s="105">
        <v>0</v>
      </c>
      <c r="AB753" s="106">
        <v>0</v>
      </c>
      <c r="AC753" s="105">
        <v>0</v>
      </c>
      <c r="AD753" s="104">
        <v>0</v>
      </c>
      <c r="AE753" s="104">
        <v>0</v>
      </c>
      <c r="AF753" s="107">
        <v>46265</v>
      </c>
    </row>
    <row r="754" spans="1:32" x14ac:dyDescent="0.25">
      <c r="A754" s="90">
        <v>1054</v>
      </c>
      <c r="B754" s="91" t="s">
        <v>1192</v>
      </c>
      <c r="C754" s="29">
        <v>10540047</v>
      </c>
      <c r="D754" s="92" t="s">
        <v>960</v>
      </c>
      <c r="E754" s="93" t="s">
        <v>270</v>
      </c>
      <c r="F754" s="93" t="s">
        <v>230</v>
      </c>
      <c r="G754" s="109">
        <v>98.299999999999983</v>
      </c>
      <c r="H754" s="109">
        <v>3382.2</v>
      </c>
      <c r="I754" s="95">
        <v>0</v>
      </c>
      <c r="J754" s="95">
        <v>0</v>
      </c>
      <c r="K754" s="95">
        <v>0</v>
      </c>
      <c r="L754" s="95">
        <v>0</v>
      </c>
      <c r="M754" s="96">
        <v>0</v>
      </c>
      <c r="N754" s="97">
        <v>0</v>
      </c>
      <c r="O754" s="98">
        <v>0</v>
      </c>
      <c r="P754" s="33"/>
      <c r="Q754" s="99" t="s">
        <v>1198</v>
      </c>
      <c r="R754" s="100"/>
      <c r="S754" s="101">
        <v>-0.56812725444976664</v>
      </c>
      <c r="T754" s="102">
        <v>1</v>
      </c>
      <c r="U754" s="103">
        <v>0</v>
      </c>
      <c r="V754" s="103">
        <v>0</v>
      </c>
      <c r="W754" s="104">
        <v>0</v>
      </c>
      <c r="X754" s="19"/>
      <c r="Y754" s="103">
        <v>0</v>
      </c>
      <c r="Z754" s="103">
        <v>0</v>
      </c>
      <c r="AA754" s="105">
        <v>0</v>
      </c>
      <c r="AB754" s="106">
        <v>0</v>
      </c>
      <c r="AC754" s="105">
        <v>0</v>
      </c>
      <c r="AD754" s="104">
        <v>0</v>
      </c>
      <c r="AE754" s="104">
        <v>0</v>
      </c>
      <c r="AF754" s="107">
        <v>46265</v>
      </c>
    </row>
    <row r="755" spans="1:32" x14ac:dyDescent="0.25">
      <c r="A755" s="90">
        <v>1054</v>
      </c>
      <c r="B755" s="91" t="s">
        <v>1192</v>
      </c>
      <c r="C755" s="29">
        <v>10540048</v>
      </c>
      <c r="D755" s="92" t="s">
        <v>961</v>
      </c>
      <c r="E755" s="93" t="s">
        <v>275</v>
      </c>
      <c r="F755" s="93" t="s">
        <v>231</v>
      </c>
      <c r="G755" s="109">
        <v>1592.8999999999999</v>
      </c>
      <c r="H755" s="109">
        <v>67931.48</v>
      </c>
      <c r="I755" s="95">
        <v>0</v>
      </c>
      <c r="J755" s="95">
        <v>0</v>
      </c>
      <c r="K755" s="95">
        <v>0</v>
      </c>
      <c r="L755" s="95">
        <v>0</v>
      </c>
      <c r="M755" s="96">
        <v>0</v>
      </c>
      <c r="N755" s="97">
        <v>0</v>
      </c>
      <c r="O755" s="98">
        <v>0</v>
      </c>
      <c r="P755" s="33"/>
      <c r="Q755" s="99" t="s">
        <v>1198</v>
      </c>
      <c r="R755" s="100"/>
      <c r="S755" s="101">
        <v>0</v>
      </c>
      <c r="T755" s="102">
        <v>0</v>
      </c>
      <c r="U755" s="103">
        <v>0</v>
      </c>
      <c r="V755" s="103">
        <v>0</v>
      </c>
      <c r="W755" s="104">
        <v>0</v>
      </c>
      <c r="X755" s="19"/>
      <c r="Y755" s="103">
        <v>0</v>
      </c>
      <c r="Z755" s="103">
        <v>0</v>
      </c>
      <c r="AA755" s="105">
        <v>0</v>
      </c>
      <c r="AB755" s="106">
        <v>0</v>
      </c>
      <c r="AC755" s="105">
        <v>0</v>
      </c>
      <c r="AD755" s="104">
        <v>0</v>
      </c>
      <c r="AE755" s="104">
        <v>0</v>
      </c>
      <c r="AF755" s="107">
        <v>46265</v>
      </c>
    </row>
    <row r="756" spans="1:32" x14ac:dyDescent="0.25">
      <c r="A756" s="90">
        <v>1054</v>
      </c>
      <c r="B756" s="91" t="s">
        <v>1192</v>
      </c>
      <c r="C756" s="29">
        <v>10540049</v>
      </c>
      <c r="D756" s="92" t="s">
        <v>962</v>
      </c>
      <c r="E756" s="93" t="s">
        <v>275</v>
      </c>
      <c r="F756" s="93" t="s">
        <v>231</v>
      </c>
      <c r="G756" s="109">
        <v>578.4</v>
      </c>
      <c r="H756" s="109">
        <v>22896.170000000006</v>
      </c>
      <c r="I756" s="95">
        <v>0</v>
      </c>
      <c r="J756" s="95">
        <v>0</v>
      </c>
      <c r="K756" s="95">
        <v>0</v>
      </c>
      <c r="L756" s="95">
        <v>0</v>
      </c>
      <c r="M756" s="96">
        <v>0</v>
      </c>
      <c r="N756" s="97">
        <v>0</v>
      </c>
      <c r="O756" s="98">
        <v>0</v>
      </c>
      <c r="P756" s="33"/>
      <c r="Q756" s="99" t="s">
        <v>1198</v>
      </c>
      <c r="R756" s="100"/>
      <c r="S756" s="101">
        <v>0</v>
      </c>
      <c r="T756" s="102">
        <v>0</v>
      </c>
      <c r="U756" s="103">
        <v>0</v>
      </c>
      <c r="V756" s="103">
        <v>0</v>
      </c>
      <c r="W756" s="104">
        <v>0</v>
      </c>
      <c r="X756" s="19"/>
      <c r="Y756" s="103">
        <v>0</v>
      </c>
      <c r="Z756" s="103">
        <v>0</v>
      </c>
      <c r="AA756" s="105">
        <v>0</v>
      </c>
      <c r="AB756" s="106">
        <v>0</v>
      </c>
      <c r="AC756" s="105">
        <v>0</v>
      </c>
      <c r="AD756" s="104">
        <v>0</v>
      </c>
      <c r="AE756" s="104">
        <v>0</v>
      </c>
      <c r="AF756" s="107">
        <v>46265</v>
      </c>
    </row>
    <row r="757" spans="1:32" x14ac:dyDescent="0.25">
      <c r="A757" s="90">
        <v>1054</v>
      </c>
      <c r="B757" s="91" t="s">
        <v>1192</v>
      </c>
      <c r="C757" s="29">
        <v>10540050</v>
      </c>
      <c r="D757" s="92" t="s">
        <v>963</v>
      </c>
      <c r="E757" s="93" t="s">
        <v>270</v>
      </c>
      <c r="F757" s="93" t="s">
        <v>230</v>
      </c>
      <c r="G757" s="109">
        <v>377.70000000000005</v>
      </c>
      <c r="H757" s="109">
        <v>13494.630000000001</v>
      </c>
      <c r="I757" s="95">
        <v>0</v>
      </c>
      <c r="J757" s="95">
        <v>3064</v>
      </c>
      <c r="K757" s="95">
        <v>0</v>
      </c>
      <c r="L757" s="95">
        <v>0</v>
      </c>
      <c r="M757" s="96">
        <v>0</v>
      </c>
      <c r="N757" s="97">
        <v>0</v>
      </c>
      <c r="O757" s="98">
        <v>0</v>
      </c>
      <c r="P757" s="33"/>
      <c r="Q757" s="99" t="s">
        <v>1198</v>
      </c>
      <c r="R757" s="100"/>
      <c r="S757" s="101">
        <v>-4.5321731681417003E-2</v>
      </c>
      <c r="T757" s="102">
        <v>3</v>
      </c>
      <c r="U757" s="103">
        <v>0</v>
      </c>
      <c r="V757" s="103">
        <v>0</v>
      </c>
      <c r="W757" s="104">
        <v>0</v>
      </c>
      <c r="X757" s="19"/>
      <c r="Y757" s="103">
        <v>0</v>
      </c>
      <c r="Z757" s="103">
        <v>0</v>
      </c>
      <c r="AA757" s="105">
        <v>0</v>
      </c>
      <c r="AB757" s="106">
        <v>0</v>
      </c>
      <c r="AC757" s="105">
        <v>0</v>
      </c>
      <c r="AD757" s="104">
        <v>0</v>
      </c>
      <c r="AE757" s="104">
        <v>0</v>
      </c>
      <c r="AF757" s="107">
        <v>46265</v>
      </c>
    </row>
    <row r="758" spans="1:32" x14ac:dyDescent="0.25">
      <c r="A758" s="90">
        <v>1054</v>
      </c>
      <c r="B758" s="91" t="s">
        <v>1192</v>
      </c>
      <c r="C758" s="29">
        <v>10540051</v>
      </c>
      <c r="D758" s="92" t="s">
        <v>964</v>
      </c>
      <c r="E758" s="93" t="s">
        <v>275</v>
      </c>
      <c r="F758" s="93" t="s">
        <v>231</v>
      </c>
      <c r="G758" s="109">
        <v>238.5</v>
      </c>
      <c r="H758" s="109">
        <v>9573.77</v>
      </c>
      <c r="I758" s="95">
        <v>0</v>
      </c>
      <c r="J758" s="95">
        <v>0</v>
      </c>
      <c r="K758" s="95">
        <v>0</v>
      </c>
      <c r="L758" s="95">
        <v>0</v>
      </c>
      <c r="M758" s="96">
        <v>0</v>
      </c>
      <c r="N758" s="97">
        <v>0</v>
      </c>
      <c r="O758" s="98">
        <v>0</v>
      </c>
      <c r="P758" s="33"/>
      <c r="Q758" s="99" t="s">
        <v>1198</v>
      </c>
      <c r="R758" s="100"/>
      <c r="S758" s="101">
        <v>0</v>
      </c>
      <c r="T758" s="102">
        <v>0</v>
      </c>
      <c r="U758" s="103">
        <v>0</v>
      </c>
      <c r="V758" s="103">
        <v>0</v>
      </c>
      <c r="W758" s="104">
        <v>0</v>
      </c>
      <c r="X758" s="19"/>
      <c r="Y758" s="103">
        <v>0</v>
      </c>
      <c r="Z758" s="103">
        <v>0</v>
      </c>
      <c r="AA758" s="105">
        <v>0</v>
      </c>
      <c r="AB758" s="106">
        <v>0</v>
      </c>
      <c r="AC758" s="105">
        <v>0</v>
      </c>
      <c r="AD758" s="104">
        <v>0</v>
      </c>
      <c r="AE758" s="104">
        <v>0</v>
      </c>
      <c r="AF758" s="107">
        <v>46265</v>
      </c>
    </row>
    <row r="759" spans="1:32" x14ac:dyDescent="0.25">
      <c r="A759" s="90">
        <v>1054</v>
      </c>
      <c r="B759" s="91" t="s">
        <v>1192</v>
      </c>
      <c r="C759" s="29">
        <v>10540053</v>
      </c>
      <c r="D759" s="92" t="s">
        <v>965</v>
      </c>
      <c r="E759" s="93" t="s">
        <v>270</v>
      </c>
      <c r="F759" s="93" t="s">
        <v>230</v>
      </c>
      <c r="G759" s="109">
        <v>13.7</v>
      </c>
      <c r="H759" s="109">
        <v>508.13</v>
      </c>
      <c r="I759" s="95">
        <v>0</v>
      </c>
      <c r="J759" s="95">
        <v>0</v>
      </c>
      <c r="K759" s="95">
        <v>0</v>
      </c>
      <c r="L759" s="95">
        <v>0</v>
      </c>
      <c r="M759" s="96">
        <v>0</v>
      </c>
      <c r="N759" s="97">
        <v>0</v>
      </c>
      <c r="O759" s="98">
        <v>0</v>
      </c>
      <c r="P759" s="33"/>
      <c r="Q759" s="99" t="s">
        <v>1198</v>
      </c>
      <c r="R759" s="100"/>
      <c r="S759" s="101">
        <v>-0.30065140810422525</v>
      </c>
      <c r="T759" s="102">
        <v>1</v>
      </c>
      <c r="U759" s="103">
        <v>0</v>
      </c>
      <c r="V759" s="103">
        <v>0</v>
      </c>
      <c r="W759" s="104">
        <v>0</v>
      </c>
      <c r="X759" s="19"/>
      <c r="Y759" s="103">
        <v>0</v>
      </c>
      <c r="Z759" s="103">
        <v>0</v>
      </c>
      <c r="AA759" s="105">
        <v>0</v>
      </c>
      <c r="AB759" s="106">
        <v>0</v>
      </c>
      <c r="AC759" s="105">
        <v>0</v>
      </c>
      <c r="AD759" s="104">
        <v>0</v>
      </c>
      <c r="AE759" s="104">
        <v>0</v>
      </c>
      <c r="AF759" s="107">
        <v>46265</v>
      </c>
    </row>
    <row r="760" spans="1:32" x14ac:dyDescent="0.25">
      <c r="A760" s="90">
        <v>1054</v>
      </c>
      <c r="B760" s="91" t="s">
        <v>1192</v>
      </c>
      <c r="C760" s="29">
        <v>10540054</v>
      </c>
      <c r="D760" s="92" t="s">
        <v>966</v>
      </c>
      <c r="E760" s="93" t="s">
        <v>270</v>
      </c>
      <c r="F760" s="93" t="s">
        <v>230</v>
      </c>
      <c r="G760" s="109">
        <v>135.1</v>
      </c>
      <c r="H760" s="109">
        <v>6441.4099999999989</v>
      </c>
      <c r="I760" s="95">
        <v>0</v>
      </c>
      <c r="J760" s="95">
        <v>0</v>
      </c>
      <c r="K760" s="95">
        <v>0</v>
      </c>
      <c r="L760" s="95">
        <v>0</v>
      </c>
      <c r="M760" s="96">
        <v>0</v>
      </c>
      <c r="N760" s="97">
        <v>0</v>
      </c>
      <c r="O760" s="98">
        <v>0</v>
      </c>
      <c r="P760" s="33"/>
      <c r="Q760" s="99" t="s">
        <v>1198</v>
      </c>
      <c r="R760" s="100"/>
      <c r="S760" s="101">
        <v>-4.585176226944121E-2</v>
      </c>
      <c r="T760" s="102">
        <v>5</v>
      </c>
      <c r="U760" s="103">
        <v>0</v>
      </c>
      <c r="V760" s="103">
        <v>0</v>
      </c>
      <c r="W760" s="104">
        <v>0</v>
      </c>
      <c r="X760" s="19"/>
      <c r="Y760" s="103">
        <v>0</v>
      </c>
      <c r="Z760" s="103">
        <v>0</v>
      </c>
      <c r="AA760" s="105">
        <v>0</v>
      </c>
      <c r="AB760" s="106">
        <v>0</v>
      </c>
      <c r="AC760" s="105">
        <v>0</v>
      </c>
      <c r="AD760" s="104">
        <v>0</v>
      </c>
      <c r="AE760" s="104">
        <v>0</v>
      </c>
      <c r="AF760" s="107">
        <v>46265</v>
      </c>
    </row>
    <row r="761" spans="1:32" x14ac:dyDescent="0.25">
      <c r="A761" s="90">
        <v>1054</v>
      </c>
      <c r="B761" s="91" t="s">
        <v>1192</v>
      </c>
      <c r="C761" s="29">
        <v>10540055</v>
      </c>
      <c r="D761" s="92" t="s">
        <v>967</v>
      </c>
      <c r="E761" s="93" t="s">
        <v>270</v>
      </c>
      <c r="F761" s="93" t="s">
        <v>230</v>
      </c>
      <c r="G761" s="109">
        <v>324.8</v>
      </c>
      <c r="H761" s="109">
        <v>13559.92</v>
      </c>
      <c r="I761" s="95">
        <v>0</v>
      </c>
      <c r="J761" s="95">
        <v>0</v>
      </c>
      <c r="K761" s="95">
        <v>0</v>
      </c>
      <c r="L761" s="95">
        <v>0</v>
      </c>
      <c r="M761" s="96">
        <v>0</v>
      </c>
      <c r="N761" s="97">
        <v>0</v>
      </c>
      <c r="O761" s="98">
        <v>0</v>
      </c>
      <c r="P761" s="33"/>
      <c r="Q761" s="99" t="s">
        <v>1198</v>
      </c>
      <c r="R761" s="100"/>
      <c r="S761" s="101">
        <v>-0.91836235022035528</v>
      </c>
      <c r="T761" s="102">
        <v>7</v>
      </c>
      <c r="U761" s="103">
        <v>0</v>
      </c>
      <c r="V761" s="103">
        <v>0</v>
      </c>
      <c r="W761" s="104">
        <v>0</v>
      </c>
      <c r="X761" s="19"/>
      <c r="Y761" s="103">
        <v>0</v>
      </c>
      <c r="Z761" s="103">
        <v>0</v>
      </c>
      <c r="AA761" s="105">
        <v>0</v>
      </c>
      <c r="AB761" s="106">
        <v>0</v>
      </c>
      <c r="AC761" s="105">
        <v>0</v>
      </c>
      <c r="AD761" s="104">
        <v>0</v>
      </c>
      <c r="AE761" s="104">
        <v>0</v>
      </c>
      <c r="AF761" s="107">
        <v>46265</v>
      </c>
    </row>
    <row r="762" spans="1:32" x14ac:dyDescent="0.25">
      <c r="A762" s="90">
        <v>1054</v>
      </c>
      <c r="B762" s="91" t="s">
        <v>1192</v>
      </c>
      <c r="C762" s="29">
        <v>10540057</v>
      </c>
      <c r="D762" s="92" t="s">
        <v>968</v>
      </c>
      <c r="E762" s="93" t="s">
        <v>270</v>
      </c>
      <c r="F762" s="93" t="s">
        <v>230</v>
      </c>
      <c r="G762" s="109">
        <v>90.600000000000009</v>
      </c>
      <c r="H762" s="109">
        <v>4022.9599999999996</v>
      </c>
      <c r="I762" s="95">
        <v>0</v>
      </c>
      <c r="J762" s="95">
        <v>0</v>
      </c>
      <c r="K762" s="95">
        <v>0</v>
      </c>
      <c r="L762" s="95">
        <v>0</v>
      </c>
      <c r="M762" s="96">
        <v>0</v>
      </c>
      <c r="N762" s="97">
        <v>0</v>
      </c>
      <c r="O762" s="98">
        <v>0</v>
      </c>
      <c r="P762" s="33"/>
      <c r="Q762" s="99" t="s">
        <v>1198</v>
      </c>
      <c r="R762" s="100"/>
      <c r="S762" s="101">
        <v>-4.184481078608801E-2</v>
      </c>
      <c r="T762" s="102">
        <v>1</v>
      </c>
      <c r="U762" s="103">
        <v>0</v>
      </c>
      <c r="V762" s="103">
        <v>0</v>
      </c>
      <c r="W762" s="104">
        <v>0</v>
      </c>
      <c r="X762" s="19"/>
      <c r="Y762" s="103">
        <v>0</v>
      </c>
      <c r="Z762" s="103">
        <v>0</v>
      </c>
      <c r="AA762" s="105">
        <v>0</v>
      </c>
      <c r="AB762" s="106">
        <v>0</v>
      </c>
      <c r="AC762" s="105">
        <v>0</v>
      </c>
      <c r="AD762" s="104">
        <v>0</v>
      </c>
      <c r="AE762" s="104">
        <v>0</v>
      </c>
      <c r="AF762" s="107">
        <v>46265</v>
      </c>
    </row>
    <row r="763" spans="1:32" x14ac:dyDescent="0.25">
      <c r="A763" s="90">
        <v>1054</v>
      </c>
      <c r="B763" s="91" t="s">
        <v>1192</v>
      </c>
      <c r="C763" s="29">
        <v>10540060</v>
      </c>
      <c r="D763" s="92" t="s">
        <v>969</v>
      </c>
      <c r="E763" s="93" t="s">
        <v>275</v>
      </c>
      <c r="F763" s="93" t="s">
        <v>231</v>
      </c>
      <c r="G763" s="109">
        <v>162.89999999999998</v>
      </c>
      <c r="H763" s="109">
        <v>5462.1100000000006</v>
      </c>
      <c r="I763" s="95">
        <v>0</v>
      </c>
      <c r="J763" s="95">
        <v>0</v>
      </c>
      <c r="K763" s="95">
        <v>0</v>
      </c>
      <c r="L763" s="95">
        <v>0</v>
      </c>
      <c r="M763" s="96">
        <v>0</v>
      </c>
      <c r="N763" s="97" t="s">
        <v>331</v>
      </c>
      <c r="O763" s="98">
        <v>0</v>
      </c>
      <c r="P763" s="33" t="s">
        <v>660</v>
      </c>
      <c r="Q763" s="99" t="s">
        <v>1198</v>
      </c>
      <c r="R763" s="100"/>
      <c r="S763" s="101">
        <v>0</v>
      </c>
      <c r="T763" s="102">
        <v>0</v>
      </c>
      <c r="U763" s="103">
        <v>0</v>
      </c>
      <c r="V763" s="103">
        <v>0</v>
      </c>
      <c r="W763" s="104">
        <v>0</v>
      </c>
      <c r="X763" s="19"/>
      <c r="Y763" s="103">
        <v>0</v>
      </c>
      <c r="Z763" s="103">
        <v>0</v>
      </c>
      <c r="AA763" s="105">
        <v>0</v>
      </c>
      <c r="AB763" s="106">
        <v>0</v>
      </c>
      <c r="AC763" s="105">
        <v>0</v>
      </c>
      <c r="AD763" s="104">
        <v>0</v>
      </c>
      <c r="AE763" s="104">
        <v>0</v>
      </c>
      <c r="AF763" s="107">
        <v>46265</v>
      </c>
    </row>
    <row r="764" spans="1:32" x14ac:dyDescent="0.25">
      <c r="A764" s="90">
        <v>1054</v>
      </c>
      <c r="B764" s="91" t="s">
        <v>1192</v>
      </c>
      <c r="C764" s="29">
        <v>10540061</v>
      </c>
      <c r="D764" s="92" t="s">
        <v>970</v>
      </c>
      <c r="E764" s="93" t="s">
        <v>275</v>
      </c>
      <c r="F764" s="93" t="s">
        <v>231</v>
      </c>
      <c r="G764" s="109">
        <v>252</v>
      </c>
      <c r="H764" s="109">
        <v>9660.6400000000031</v>
      </c>
      <c r="I764" s="95">
        <v>0</v>
      </c>
      <c r="J764" s="95">
        <v>0</v>
      </c>
      <c r="K764" s="95">
        <v>0</v>
      </c>
      <c r="L764" s="95">
        <v>0</v>
      </c>
      <c r="M764" s="96">
        <v>0</v>
      </c>
      <c r="N764" s="97" t="s">
        <v>331</v>
      </c>
      <c r="O764" s="98">
        <v>0</v>
      </c>
      <c r="P764" s="33" t="s">
        <v>660</v>
      </c>
      <c r="Q764" s="99" t="s">
        <v>1198</v>
      </c>
      <c r="R764" s="100"/>
      <c r="S764" s="101">
        <v>0</v>
      </c>
      <c r="T764" s="102">
        <v>0</v>
      </c>
      <c r="U764" s="103">
        <v>0</v>
      </c>
      <c r="V764" s="103">
        <v>0</v>
      </c>
      <c r="W764" s="104">
        <v>0</v>
      </c>
      <c r="X764" s="19"/>
      <c r="Y764" s="103">
        <v>0</v>
      </c>
      <c r="Z764" s="103">
        <v>0</v>
      </c>
      <c r="AA764" s="105">
        <v>0</v>
      </c>
      <c r="AB764" s="106">
        <v>0</v>
      </c>
      <c r="AC764" s="105">
        <v>0</v>
      </c>
      <c r="AD764" s="104">
        <v>0</v>
      </c>
      <c r="AE764" s="104">
        <v>0</v>
      </c>
      <c r="AF764" s="107">
        <v>46265</v>
      </c>
    </row>
    <row r="765" spans="1:32" x14ac:dyDescent="0.25">
      <c r="A765" s="90">
        <v>1054</v>
      </c>
      <c r="B765" s="91" t="s">
        <v>1192</v>
      </c>
      <c r="C765" s="29">
        <v>10540062</v>
      </c>
      <c r="D765" s="92" t="s">
        <v>971</v>
      </c>
      <c r="E765" s="93" t="s">
        <v>275</v>
      </c>
      <c r="F765" s="93" t="s">
        <v>231</v>
      </c>
      <c r="G765" s="109">
        <v>130.6</v>
      </c>
      <c r="H765" s="109">
        <v>4885.4399999999996</v>
      </c>
      <c r="I765" s="95">
        <v>0</v>
      </c>
      <c r="J765" s="95">
        <v>0</v>
      </c>
      <c r="K765" s="95">
        <v>0</v>
      </c>
      <c r="L765" s="95">
        <v>0</v>
      </c>
      <c r="M765" s="96">
        <v>0</v>
      </c>
      <c r="N765" s="97" t="s">
        <v>331</v>
      </c>
      <c r="O765" s="98">
        <v>0</v>
      </c>
      <c r="P765" s="33" t="s">
        <v>660</v>
      </c>
      <c r="Q765" s="99" t="s">
        <v>1198</v>
      </c>
      <c r="R765" s="100"/>
      <c r="S765" s="101">
        <v>0</v>
      </c>
      <c r="T765" s="102">
        <v>0</v>
      </c>
      <c r="U765" s="103">
        <v>0</v>
      </c>
      <c r="V765" s="103">
        <v>0</v>
      </c>
      <c r="W765" s="104">
        <v>0</v>
      </c>
      <c r="X765" s="19"/>
      <c r="Y765" s="103">
        <v>0</v>
      </c>
      <c r="Z765" s="103">
        <v>0</v>
      </c>
      <c r="AA765" s="105">
        <v>0</v>
      </c>
      <c r="AB765" s="106">
        <v>0</v>
      </c>
      <c r="AC765" s="105">
        <v>0</v>
      </c>
      <c r="AD765" s="104">
        <v>0</v>
      </c>
      <c r="AE765" s="104">
        <v>0</v>
      </c>
      <c r="AF765" s="107">
        <v>46265</v>
      </c>
    </row>
    <row r="766" spans="1:32" x14ac:dyDescent="0.25">
      <c r="A766" s="90">
        <v>1054</v>
      </c>
      <c r="B766" s="91" t="s">
        <v>1192</v>
      </c>
      <c r="C766" s="29">
        <v>10540063</v>
      </c>
      <c r="D766" s="92" t="s">
        <v>972</v>
      </c>
      <c r="E766" s="93" t="s">
        <v>270</v>
      </c>
      <c r="F766" s="93" t="s">
        <v>230</v>
      </c>
      <c r="G766" s="109">
        <v>178.4</v>
      </c>
      <c r="H766" s="109">
        <v>7528.43</v>
      </c>
      <c r="I766" s="95">
        <v>0</v>
      </c>
      <c r="J766" s="95">
        <v>0</v>
      </c>
      <c r="K766" s="95">
        <v>0</v>
      </c>
      <c r="L766" s="95">
        <v>0</v>
      </c>
      <c r="M766" s="96">
        <v>0</v>
      </c>
      <c r="N766" s="97">
        <v>0</v>
      </c>
      <c r="O766" s="98">
        <v>0</v>
      </c>
      <c r="P766" s="33"/>
      <c r="Q766" s="99" t="s">
        <v>1198</v>
      </c>
      <c r="R766" s="100"/>
      <c r="S766" s="101">
        <v>-0.80985278471075639</v>
      </c>
      <c r="T766" s="102">
        <v>1</v>
      </c>
      <c r="U766" s="103">
        <v>0</v>
      </c>
      <c r="V766" s="103">
        <v>0</v>
      </c>
      <c r="W766" s="104">
        <v>0</v>
      </c>
      <c r="X766" s="19"/>
      <c r="Y766" s="103">
        <v>0</v>
      </c>
      <c r="Z766" s="103">
        <v>0</v>
      </c>
      <c r="AA766" s="105">
        <v>0</v>
      </c>
      <c r="AB766" s="106">
        <v>0</v>
      </c>
      <c r="AC766" s="105">
        <v>0</v>
      </c>
      <c r="AD766" s="104">
        <v>0</v>
      </c>
      <c r="AE766" s="104">
        <v>0</v>
      </c>
      <c r="AF766" s="107">
        <v>46265</v>
      </c>
    </row>
    <row r="767" spans="1:32" x14ac:dyDescent="0.25">
      <c r="A767" s="90">
        <v>1054</v>
      </c>
      <c r="B767" s="91" t="s">
        <v>1192</v>
      </c>
      <c r="C767" s="29">
        <v>10540064</v>
      </c>
      <c r="D767" s="92" t="s">
        <v>973</v>
      </c>
      <c r="E767" s="93" t="s">
        <v>275</v>
      </c>
      <c r="F767" s="93" t="s">
        <v>231</v>
      </c>
      <c r="G767" s="109">
        <v>112.3</v>
      </c>
      <c r="H767" s="109">
        <v>4398.7800000000007</v>
      </c>
      <c r="I767" s="95">
        <v>0</v>
      </c>
      <c r="J767" s="95">
        <v>0</v>
      </c>
      <c r="K767" s="95">
        <v>0</v>
      </c>
      <c r="L767" s="95">
        <v>0</v>
      </c>
      <c r="M767" s="96">
        <v>0</v>
      </c>
      <c r="N767" s="97">
        <v>0</v>
      </c>
      <c r="O767" s="98">
        <v>0</v>
      </c>
      <c r="P767" s="33"/>
      <c r="Q767" s="99" t="s">
        <v>1198</v>
      </c>
      <c r="R767" s="100"/>
      <c r="S767" s="101">
        <v>0</v>
      </c>
      <c r="T767" s="102">
        <v>0</v>
      </c>
      <c r="U767" s="103">
        <v>0</v>
      </c>
      <c r="V767" s="103">
        <v>0</v>
      </c>
      <c r="W767" s="104">
        <v>0</v>
      </c>
      <c r="X767" s="19"/>
      <c r="Y767" s="103">
        <v>0</v>
      </c>
      <c r="Z767" s="103">
        <v>0</v>
      </c>
      <c r="AA767" s="105">
        <v>0</v>
      </c>
      <c r="AB767" s="106">
        <v>0</v>
      </c>
      <c r="AC767" s="105">
        <v>0</v>
      </c>
      <c r="AD767" s="104">
        <v>0</v>
      </c>
      <c r="AE767" s="104">
        <v>0</v>
      </c>
      <c r="AF767" s="107">
        <v>46265</v>
      </c>
    </row>
    <row r="768" spans="1:32" x14ac:dyDescent="0.25">
      <c r="A768" s="90">
        <v>1055</v>
      </c>
      <c r="B768" s="91" t="s">
        <v>106</v>
      </c>
      <c r="C768" s="29">
        <v>10550001</v>
      </c>
      <c r="D768" s="92" t="s">
        <v>974</v>
      </c>
      <c r="E768" s="93" t="s">
        <v>275</v>
      </c>
      <c r="F768" s="93" t="s">
        <v>231</v>
      </c>
      <c r="G768" s="109">
        <v>18617.599999999999</v>
      </c>
      <c r="H768" s="109">
        <v>742090.71999999986</v>
      </c>
      <c r="I768" s="95">
        <v>0</v>
      </c>
      <c r="J768" s="95">
        <v>0</v>
      </c>
      <c r="K768" s="95">
        <v>0</v>
      </c>
      <c r="L768" s="95">
        <v>0</v>
      </c>
      <c r="M768" s="96">
        <v>0</v>
      </c>
      <c r="N768" s="97">
        <v>0</v>
      </c>
      <c r="O768" s="98">
        <v>0</v>
      </c>
      <c r="P768" s="33"/>
      <c r="Q768" s="99" t="s">
        <v>1198</v>
      </c>
      <c r="R768" s="100"/>
      <c r="S768" s="101">
        <v>0</v>
      </c>
      <c r="T768" s="102">
        <v>0</v>
      </c>
      <c r="U768" s="103">
        <v>0</v>
      </c>
      <c r="V768" s="103">
        <v>0</v>
      </c>
      <c r="W768" s="104">
        <v>0</v>
      </c>
      <c r="X768" s="19"/>
      <c r="Y768" s="103">
        <v>0</v>
      </c>
      <c r="Z768" s="103">
        <v>0</v>
      </c>
      <c r="AA768" s="105">
        <v>0</v>
      </c>
      <c r="AB768" s="106">
        <v>0</v>
      </c>
      <c r="AC768" s="105">
        <v>0</v>
      </c>
      <c r="AD768" s="104">
        <v>0</v>
      </c>
      <c r="AE768" s="104">
        <v>0</v>
      </c>
      <c r="AF768" s="107">
        <v>46265</v>
      </c>
    </row>
    <row r="769" spans="1:32" x14ac:dyDescent="0.25">
      <c r="A769" s="90">
        <v>1055</v>
      </c>
      <c r="B769" s="91" t="s">
        <v>106</v>
      </c>
      <c r="C769" s="29">
        <v>10550002</v>
      </c>
      <c r="D769" s="92" t="s">
        <v>975</v>
      </c>
      <c r="E769" s="93" t="s">
        <v>275</v>
      </c>
      <c r="F769" s="93" t="s">
        <v>231</v>
      </c>
      <c r="G769" s="109">
        <v>103.4</v>
      </c>
      <c r="H769" s="109">
        <v>4013.4599999999996</v>
      </c>
      <c r="I769" s="95">
        <v>0</v>
      </c>
      <c r="J769" s="95">
        <v>0</v>
      </c>
      <c r="K769" s="95">
        <v>0</v>
      </c>
      <c r="L769" s="95">
        <v>0</v>
      </c>
      <c r="M769" s="96">
        <v>0</v>
      </c>
      <c r="N769" s="97">
        <v>0</v>
      </c>
      <c r="O769" s="98">
        <v>0</v>
      </c>
      <c r="P769" s="33"/>
      <c r="Q769" s="99" t="s">
        <v>1198</v>
      </c>
      <c r="R769" s="100"/>
      <c r="S769" s="101">
        <v>0</v>
      </c>
      <c r="T769" s="102">
        <v>0</v>
      </c>
      <c r="U769" s="103">
        <v>0</v>
      </c>
      <c r="V769" s="103">
        <v>0</v>
      </c>
      <c r="W769" s="104">
        <v>0</v>
      </c>
      <c r="X769" s="19"/>
      <c r="Y769" s="103">
        <v>0</v>
      </c>
      <c r="Z769" s="103">
        <v>0</v>
      </c>
      <c r="AA769" s="105">
        <v>0</v>
      </c>
      <c r="AB769" s="106">
        <v>0</v>
      </c>
      <c r="AC769" s="105">
        <v>0</v>
      </c>
      <c r="AD769" s="104">
        <v>0</v>
      </c>
      <c r="AE769" s="104">
        <v>0</v>
      </c>
      <c r="AF769" s="107">
        <v>46265</v>
      </c>
    </row>
    <row r="770" spans="1:32" x14ac:dyDescent="0.25">
      <c r="A770" s="90">
        <v>1055</v>
      </c>
      <c r="B770" s="91" t="s">
        <v>106</v>
      </c>
      <c r="C770" s="29">
        <v>10550005</v>
      </c>
      <c r="D770" s="92" t="s">
        <v>976</v>
      </c>
      <c r="E770" s="93" t="s">
        <v>270</v>
      </c>
      <c r="F770" s="93" t="s">
        <v>230</v>
      </c>
      <c r="G770" s="109">
        <v>111.09999999999998</v>
      </c>
      <c r="H770" s="109">
        <v>4666.1000000000004</v>
      </c>
      <c r="I770" s="95">
        <v>0</v>
      </c>
      <c r="J770" s="95">
        <v>0</v>
      </c>
      <c r="K770" s="95">
        <v>0</v>
      </c>
      <c r="L770" s="95">
        <v>0</v>
      </c>
      <c r="M770" s="96">
        <v>0</v>
      </c>
      <c r="N770" s="97">
        <v>0</v>
      </c>
      <c r="O770" s="98">
        <v>0</v>
      </c>
      <c r="P770" s="33"/>
      <c r="Q770" s="99" t="s">
        <v>1198</v>
      </c>
      <c r="R770" s="100"/>
      <c r="S770" s="101">
        <v>-9.215404727716937E-3</v>
      </c>
      <c r="T770" s="102">
        <v>4</v>
      </c>
      <c r="U770" s="103">
        <v>0</v>
      </c>
      <c r="V770" s="103">
        <v>0</v>
      </c>
      <c r="W770" s="104">
        <v>0</v>
      </c>
      <c r="X770" s="19"/>
      <c r="Y770" s="103">
        <v>0</v>
      </c>
      <c r="Z770" s="103">
        <v>0</v>
      </c>
      <c r="AA770" s="105">
        <v>0</v>
      </c>
      <c r="AB770" s="106">
        <v>0</v>
      </c>
      <c r="AC770" s="105">
        <v>0</v>
      </c>
      <c r="AD770" s="104">
        <v>0</v>
      </c>
      <c r="AE770" s="104">
        <v>0</v>
      </c>
      <c r="AF770" s="107">
        <v>46265</v>
      </c>
    </row>
    <row r="771" spans="1:32" x14ac:dyDescent="0.25">
      <c r="A771" s="90">
        <v>1055</v>
      </c>
      <c r="B771" s="91" t="s">
        <v>106</v>
      </c>
      <c r="C771" s="29">
        <v>10550007</v>
      </c>
      <c r="D771" s="92" t="s">
        <v>977</v>
      </c>
      <c r="E771" s="93" t="s">
        <v>275</v>
      </c>
      <c r="F771" s="93" t="s">
        <v>231</v>
      </c>
      <c r="G771" s="109">
        <v>2150.7999999999997</v>
      </c>
      <c r="H771" s="109">
        <v>75368.5</v>
      </c>
      <c r="I771" s="95">
        <v>0</v>
      </c>
      <c r="J771" s="95">
        <v>0</v>
      </c>
      <c r="K771" s="95">
        <v>0</v>
      </c>
      <c r="L771" s="95">
        <v>0</v>
      </c>
      <c r="M771" s="96">
        <v>0</v>
      </c>
      <c r="N771" s="97">
        <v>0</v>
      </c>
      <c r="O771" s="98">
        <v>0</v>
      </c>
      <c r="P771" s="33"/>
      <c r="Q771" s="99" t="s">
        <v>1198</v>
      </c>
      <c r="R771" s="100"/>
      <c r="S771" s="101">
        <v>0</v>
      </c>
      <c r="T771" s="102">
        <v>0</v>
      </c>
      <c r="U771" s="103">
        <v>0</v>
      </c>
      <c r="V771" s="103">
        <v>0</v>
      </c>
      <c r="W771" s="104">
        <v>0</v>
      </c>
      <c r="X771" s="19"/>
      <c r="Y771" s="103">
        <v>0</v>
      </c>
      <c r="Z771" s="103">
        <v>0</v>
      </c>
      <c r="AA771" s="105">
        <v>0</v>
      </c>
      <c r="AB771" s="106">
        <v>0</v>
      </c>
      <c r="AC771" s="105">
        <v>0</v>
      </c>
      <c r="AD771" s="104">
        <v>0</v>
      </c>
      <c r="AE771" s="104">
        <v>0</v>
      </c>
      <c r="AF771" s="107">
        <v>46265</v>
      </c>
    </row>
    <row r="772" spans="1:32" x14ac:dyDescent="0.25">
      <c r="A772" s="90">
        <v>1055</v>
      </c>
      <c r="B772" s="91" t="s">
        <v>106</v>
      </c>
      <c r="C772" s="29">
        <v>10550008</v>
      </c>
      <c r="D772" s="92" t="s">
        <v>978</v>
      </c>
      <c r="E772" s="93" t="s">
        <v>275</v>
      </c>
      <c r="F772" s="93" t="s">
        <v>231</v>
      </c>
      <c r="G772" s="109">
        <v>255.79999999999998</v>
      </c>
      <c r="H772" s="109">
        <v>9038.4700000000012</v>
      </c>
      <c r="I772" s="95">
        <v>0</v>
      </c>
      <c r="J772" s="95">
        <v>0</v>
      </c>
      <c r="K772" s="95">
        <v>0</v>
      </c>
      <c r="L772" s="95">
        <v>0</v>
      </c>
      <c r="M772" s="96">
        <v>0</v>
      </c>
      <c r="N772" s="97">
        <v>0</v>
      </c>
      <c r="O772" s="98">
        <v>0</v>
      </c>
      <c r="P772" s="33"/>
      <c r="Q772" s="99" t="s">
        <v>1198</v>
      </c>
      <c r="R772" s="100"/>
      <c r="S772" s="101">
        <v>0</v>
      </c>
      <c r="T772" s="102">
        <v>0</v>
      </c>
      <c r="U772" s="103">
        <v>0</v>
      </c>
      <c r="V772" s="103">
        <v>0</v>
      </c>
      <c r="W772" s="104">
        <v>0</v>
      </c>
      <c r="X772" s="19"/>
      <c r="Y772" s="103">
        <v>0</v>
      </c>
      <c r="Z772" s="103">
        <v>0</v>
      </c>
      <c r="AA772" s="105">
        <v>0</v>
      </c>
      <c r="AB772" s="106">
        <v>0</v>
      </c>
      <c r="AC772" s="105">
        <v>0</v>
      </c>
      <c r="AD772" s="104">
        <v>0</v>
      </c>
      <c r="AE772" s="104">
        <v>0</v>
      </c>
      <c r="AF772" s="107">
        <v>46265</v>
      </c>
    </row>
    <row r="773" spans="1:32" x14ac:dyDescent="0.25">
      <c r="A773" s="90">
        <v>1055</v>
      </c>
      <c r="B773" s="91" t="s">
        <v>106</v>
      </c>
      <c r="C773" s="29">
        <v>10550009</v>
      </c>
      <c r="D773" s="92" t="s">
        <v>979</v>
      </c>
      <c r="E773" s="93" t="s">
        <v>275</v>
      </c>
      <c r="F773" s="93" t="s">
        <v>231</v>
      </c>
      <c r="G773" s="109">
        <v>441</v>
      </c>
      <c r="H773" s="109">
        <v>17225.46</v>
      </c>
      <c r="I773" s="95">
        <v>0</v>
      </c>
      <c r="J773" s="95">
        <v>0</v>
      </c>
      <c r="K773" s="95">
        <v>0</v>
      </c>
      <c r="L773" s="95">
        <v>0</v>
      </c>
      <c r="M773" s="96">
        <v>0</v>
      </c>
      <c r="N773" s="97">
        <v>0</v>
      </c>
      <c r="O773" s="98">
        <v>0</v>
      </c>
      <c r="P773" s="33"/>
      <c r="Q773" s="99" t="s">
        <v>1198</v>
      </c>
      <c r="R773" s="100"/>
      <c r="S773" s="101">
        <v>0</v>
      </c>
      <c r="T773" s="102">
        <v>0</v>
      </c>
      <c r="U773" s="103">
        <v>0</v>
      </c>
      <c r="V773" s="103">
        <v>0</v>
      </c>
      <c r="W773" s="104">
        <v>0</v>
      </c>
      <c r="X773" s="19"/>
      <c r="Y773" s="103">
        <v>0</v>
      </c>
      <c r="Z773" s="103">
        <v>0</v>
      </c>
      <c r="AA773" s="105">
        <v>0</v>
      </c>
      <c r="AB773" s="106">
        <v>0</v>
      </c>
      <c r="AC773" s="105">
        <v>0</v>
      </c>
      <c r="AD773" s="104">
        <v>0</v>
      </c>
      <c r="AE773" s="104">
        <v>0</v>
      </c>
      <c r="AF773" s="107">
        <v>46265</v>
      </c>
    </row>
    <row r="774" spans="1:32" x14ac:dyDescent="0.25">
      <c r="A774" s="90">
        <v>1055</v>
      </c>
      <c r="B774" s="91" t="s">
        <v>106</v>
      </c>
      <c r="C774" s="29">
        <v>10550010</v>
      </c>
      <c r="D774" s="92" t="s">
        <v>980</v>
      </c>
      <c r="E774" s="93" t="s">
        <v>270</v>
      </c>
      <c r="F774" s="93" t="s">
        <v>230</v>
      </c>
      <c r="G774" s="109">
        <v>324.40000000000003</v>
      </c>
      <c r="H774" s="109">
        <v>14528.74</v>
      </c>
      <c r="I774" s="95">
        <v>0</v>
      </c>
      <c r="J774" s="95">
        <v>0</v>
      </c>
      <c r="K774" s="95">
        <v>0</v>
      </c>
      <c r="L774" s="95">
        <v>0</v>
      </c>
      <c r="M774" s="96">
        <v>0</v>
      </c>
      <c r="N774" s="97">
        <v>0</v>
      </c>
      <c r="O774" s="98">
        <v>0</v>
      </c>
      <c r="P774" s="33"/>
      <c r="Q774" s="99" t="s">
        <v>1198</v>
      </c>
      <c r="R774" s="100"/>
      <c r="S774" s="101">
        <v>-1.7525952009602854E-2</v>
      </c>
      <c r="T774" s="102">
        <v>7</v>
      </c>
      <c r="U774" s="103">
        <v>0</v>
      </c>
      <c r="V774" s="103">
        <v>0</v>
      </c>
      <c r="W774" s="104">
        <v>0</v>
      </c>
      <c r="X774" s="19"/>
      <c r="Y774" s="103">
        <v>0</v>
      </c>
      <c r="Z774" s="103">
        <v>0</v>
      </c>
      <c r="AA774" s="105">
        <v>0</v>
      </c>
      <c r="AB774" s="106">
        <v>0</v>
      </c>
      <c r="AC774" s="105">
        <v>0</v>
      </c>
      <c r="AD774" s="104">
        <v>0</v>
      </c>
      <c r="AE774" s="104">
        <v>0</v>
      </c>
      <c r="AF774" s="107">
        <v>46265</v>
      </c>
    </row>
    <row r="775" spans="1:32" x14ac:dyDescent="0.25">
      <c r="A775" s="90">
        <v>1055</v>
      </c>
      <c r="B775" s="91" t="s">
        <v>106</v>
      </c>
      <c r="C775" s="29">
        <v>10550011</v>
      </c>
      <c r="D775" s="92" t="s">
        <v>981</v>
      </c>
      <c r="E775" s="93" t="s">
        <v>270</v>
      </c>
      <c r="F775" s="93" t="s">
        <v>230</v>
      </c>
      <c r="G775" s="109">
        <v>267.99999999999994</v>
      </c>
      <c r="H775" s="109">
        <v>10846.08</v>
      </c>
      <c r="I775" s="95">
        <v>0</v>
      </c>
      <c r="J775" s="95">
        <v>0</v>
      </c>
      <c r="K775" s="95">
        <v>0</v>
      </c>
      <c r="L775" s="95">
        <v>0</v>
      </c>
      <c r="M775" s="96">
        <v>0</v>
      </c>
      <c r="N775" s="97">
        <v>0</v>
      </c>
      <c r="O775" s="98">
        <v>0</v>
      </c>
      <c r="P775" s="33"/>
      <c r="Q775" s="99" t="s">
        <v>1198</v>
      </c>
      <c r="R775" s="100"/>
      <c r="S775" s="101">
        <v>-2.8442534076827904E-2</v>
      </c>
      <c r="T775" s="102">
        <v>5</v>
      </c>
      <c r="U775" s="103">
        <v>0</v>
      </c>
      <c r="V775" s="103">
        <v>0</v>
      </c>
      <c r="W775" s="104">
        <v>0</v>
      </c>
      <c r="X775" s="19"/>
      <c r="Y775" s="103">
        <v>0</v>
      </c>
      <c r="Z775" s="103">
        <v>0</v>
      </c>
      <c r="AA775" s="105">
        <v>0</v>
      </c>
      <c r="AB775" s="106">
        <v>0</v>
      </c>
      <c r="AC775" s="105">
        <v>0</v>
      </c>
      <c r="AD775" s="104">
        <v>0</v>
      </c>
      <c r="AE775" s="104">
        <v>0</v>
      </c>
      <c r="AF775" s="107">
        <v>46265</v>
      </c>
    </row>
    <row r="776" spans="1:32" x14ac:dyDescent="0.25">
      <c r="A776" s="90">
        <v>1055</v>
      </c>
      <c r="B776" s="91" t="s">
        <v>106</v>
      </c>
      <c r="C776" s="29">
        <v>10550012</v>
      </c>
      <c r="D776" s="92" t="s">
        <v>982</v>
      </c>
      <c r="E776" s="93" t="s">
        <v>270</v>
      </c>
      <c r="F776" s="93" t="s">
        <v>230</v>
      </c>
      <c r="G776" s="109">
        <v>147.70000000000002</v>
      </c>
      <c r="H776" s="109">
        <v>6379.1099999999988</v>
      </c>
      <c r="I776" s="95">
        <v>0</v>
      </c>
      <c r="J776" s="95">
        <v>0</v>
      </c>
      <c r="K776" s="95">
        <v>0</v>
      </c>
      <c r="L776" s="95">
        <v>0</v>
      </c>
      <c r="M776" s="96">
        <v>0</v>
      </c>
      <c r="N776" s="97">
        <v>0</v>
      </c>
      <c r="O776" s="98">
        <v>0</v>
      </c>
      <c r="P776" s="33"/>
      <c r="Q776" s="99" t="s">
        <v>1198</v>
      </c>
      <c r="R776" s="100"/>
      <c r="S776" s="101">
        <v>-5.7868574142788329E-2</v>
      </c>
      <c r="T776" s="102">
        <v>5</v>
      </c>
      <c r="U776" s="103">
        <v>0</v>
      </c>
      <c r="V776" s="103">
        <v>0</v>
      </c>
      <c r="W776" s="104">
        <v>0</v>
      </c>
      <c r="X776" s="19"/>
      <c r="Y776" s="103">
        <v>0</v>
      </c>
      <c r="Z776" s="103">
        <v>0</v>
      </c>
      <c r="AA776" s="105">
        <v>0</v>
      </c>
      <c r="AB776" s="106">
        <v>0</v>
      </c>
      <c r="AC776" s="105">
        <v>0</v>
      </c>
      <c r="AD776" s="104">
        <v>0</v>
      </c>
      <c r="AE776" s="104">
        <v>0</v>
      </c>
      <c r="AF776" s="107">
        <v>46265</v>
      </c>
    </row>
    <row r="777" spans="1:32" x14ac:dyDescent="0.25">
      <c r="A777" s="90">
        <v>1056</v>
      </c>
      <c r="B777" s="91" t="s">
        <v>1188</v>
      </c>
      <c r="C777" s="29">
        <v>10560001</v>
      </c>
      <c r="D777" s="92" t="s">
        <v>983</v>
      </c>
      <c r="E777" s="93" t="s">
        <v>270</v>
      </c>
      <c r="F777" s="93" t="s">
        <v>231</v>
      </c>
      <c r="G777" s="109">
        <v>1117.7</v>
      </c>
      <c r="H777" s="109">
        <v>46011.880000000005</v>
      </c>
      <c r="I777" s="95">
        <v>0</v>
      </c>
      <c r="J777" s="95">
        <v>0</v>
      </c>
      <c r="K777" s="95">
        <v>0</v>
      </c>
      <c r="L777" s="95">
        <v>0</v>
      </c>
      <c r="M777" s="96">
        <v>0</v>
      </c>
      <c r="N777" s="97">
        <v>0</v>
      </c>
      <c r="O777" s="98">
        <v>0</v>
      </c>
      <c r="P777" s="33"/>
      <c r="Q777" s="99" t="s">
        <v>1198</v>
      </c>
      <c r="R777" s="100"/>
      <c r="S777" s="101">
        <v>0</v>
      </c>
      <c r="T777" s="102">
        <v>0</v>
      </c>
      <c r="U777" s="103">
        <v>0</v>
      </c>
      <c r="V777" s="103">
        <v>0</v>
      </c>
      <c r="W777" s="104">
        <v>0</v>
      </c>
      <c r="X777" s="19"/>
      <c r="Y777" s="103">
        <v>0</v>
      </c>
      <c r="Z777" s="103">
        <v>0</v>
      </c>
      <c r="AA777" s="105">
        <v>0</v>
      </c>
      <c r="AB777" s="106">
        <v>0</v>
      </c>
      <c r="AC777" s="105">
        <v>0</v>
      </c>
      <c r="AD777" s="104">
        <v>0</v>
      </c>
      <c r="AE777" s="104">
        <v>0</v>
      </c>
      <c r="AF777" s="107">
        <v>46265</v>
      </c>
    </row>
    <row r="778" spans="1:32" x14ac:dyDescent="0.25">
      <c r="A778" s="90">
        <v>1056</v>
      </c>
      <c r="B778" s="91" t="s">
        <v>1188</v>
      </c>
      <c r="C778" s="29">
        <v>10560002</v>
      </c>
      <c r="D778" s="92" t="s">
        <v>984</v>
      </c>
      <c r="E778" s="93" t="s">
        <v>275</v>
      </c>
      <c r="F778" s="93" t="s">
        <v>231</v>
      </c>
      <c r="G778" s="109">
        <v>137.86000000000001</v>
      </c>
      <c r="H778" s="109">
        <v>4909.7100000000009</v>
      </c>
      <c r="I778" s="95">
        <v>0</v>
      </c>
      <c r="J778" s="95">
        <v>0</v>
      </c>
      <c r="K778" s="95">
        <v>0</v>
      </c>
      <c r="L778" s="95">
        <v>0</v>
      </c>
      <c r="M778" s="96">
        <v>0</v>
      </c>
      <c r="N778" s="97">
        <v>0</v>
      </c>
      <c r="O778" s="98">
        <v>0</v>
      </c>
      <c r="P778" s="33"/>
      <c r="Q778" s="99" t="s">
        <v>1198</v>
      </c>
      <c r="R778" s="100"/>
      <c r="S778" s="101">
        <v>0</v>
      </c>
      <c r="T778" s="102">
        <v>0</v>
      </c>
      <c r="U778" s="103">
        <v>0</v>
      </c>
      <c r="V778" s="103">
        <v>0</v>
      </c>
      <c r="W778" s="104">
        <v>0</v>
      </c>
      <c r="X778" s="19"/>
      <c r="Y778" s="103">
        <v>0</v>
      </c>
      <c r="Z778" s="103">
        <v>0</v>
      </c>
      <c r="AA778" s="105">
        <v>0</v>
      </c>
      <c r="AB778" s="106">
        <v>0</v>
      </c>
      <c r="AC778" s="105">
        <v>0</v>
      </c>
      <c r="AD778" s="104">
        <v>0</v>
      </c>
      <c r="AE778" s="104">
        <v>0</v>
      </c>
      <c r="AF778" s="107">
        <v>46265</v>
      </c>
    </row>
    <row r="779" spans="1:32" x14ac:dyDescent="0.25">
      <c r="A779" s="90">
        <v>1056</v>
      </c>
      <c r="B779" s="91" t="s">
        <v>1188</v>
      </c>
      <c r="C779" s="29">
        <v>10560004</v>
      </c>
      <c r="D779" s="92" t="s">
        <v>985</v>
      </c>
      <c r="E779" s="93" t="s">
        <v>270</v>
      </c>
      <c r="F779" s="93" t="s">
        <v>230</v>
      </c>
      <c r="G779" s="109">
        <v>962.87999999999988</v>
      </c>
      <c r="H779" s="109">
        <v>34999.5</v>
      </c>
      <c r="I779" s="95">
        <v>0</v>
      </c>
      <c r="J779" s="95">
        <v>0</v>
      </c>
      <c r="K779" s="95">
        <v>0</v>
      </c>
      <c r="L779" s="95">
        <v>0</v>
      </c>
      <c r="M779" s="96">
        <v>1</v>
      </c>
      <c r="N779" s="97">
        <v>0</v>
      </c>
      <c r="O779" s="98">
        <v>1</v>
      </c>
      <c r="P779" s="33"/>
      <c r="Q779" s="99" t="s">
        <v>1198</v>
      </c>
      <c r="R779" s="100"/>
      <c r="S779" s="101">
        <v>-0.60500378576836822</v>
      </c>
      <c r="T779" s="102">
        <v>1</v>
      </c>
      <c r="U779" s="103">
        <v>0</v>
      </c>
      <c r="V779" s="103">
        <v>0</v>
      </c>
      <c r="W779" s="104">
        <v>0</v>
      </c>
      <c r="X779" s="19"/>
      <c r="Y779" s="103">
        <v>0</v>
      </c>
      <c r="Z779" s="103">
        <v>0</v>
      </c>
      <c r="AA779" s="105">
        <v>0</v>
      </c>
      <c r="AB779" s="106">
        <v>0</v>
      </c>
      <c r="AC779" s="105">
        <v>0</v>
      </c>
      <c r="AD779" s="104">
        <v>0</v>
      </c>
      <c r="AE779" s="104">
        <v>0</v>
      </c>
      <c r="AF779" s="107">
        <v>46265</v>
      </c>
    </row>
    <row r="780" spans="1:32" x14ac:dyDescent="0.25">
      <c r="A780" s="90">
        <v>1056</v>
      </c>
      <c r="B780" s="91" t="s">
        <v>1188</v>
      </c>
      <c r="C780" s="29">
        <v>10560005</v>
      </c>
      <c r="D780" s="92" t="s">
        <v>986</v>
      </c>
      <c r="E780" s="93" t="s">
        <v>270</v>
      </c>
      <c r="F780" s="93" t="s">
        <v>230</v>
      </c>
      <c r="G780" s="109">
        <v>1343</v>
      </c>
      <c r="H780" s="109">
        <v>56848.399999999987</v>
      </c>
      <c r="I780" s="95">
        <v>0</v>
      </c>
      <c r="J780" s="95">
        <v>0</v>
      </c>
      <c r="K780" s="95">
        <v>0</v>
      </c>
      <c r="L780" s="95">
        <v>0</v>
      </c>
      <c r="M780" s="96">
        <v>209</v>
      </c>
      <c r="N780" s="97">
        <v>0</v>
      </c>
      <c r="O780" s="98">
        <v>0</v>
      </c>
      <c r="P780" s="33"/>
      <c r="Q780" s="99" t="s">
        <v>1198</v>
      </c>
      <c r="R780" s="100"/>
      <c r="S780" s="101">
        <v>3.6891099837460099E-3</v>
      </c>
      <c r="T780" s="102">
        <v>3</v>
      </c>
      <c r="U780" s="103">
        <v>0</v>
      </c>
      <c r="V780" s="103">
        <v>0</v>
      </c>
      <c r="W780" s="104">
        <v>0</v>
      </c>
      <c r="X780" s="19"/>
      <c r="Y780" s="103">
        <v>0</v>
      </c>
      <c r="Z780" s="103">
        <v>0</v>
      </c>
      <c r="AA780" s="105">
        <v>0</v>
      </c>
      <c r="AB780" s="106">
        <v>0</v>
      </c>
      <c r="AC780" s="105">
        <v>0</v>
      </c>
      <c r="AD780" s="104">
        <v>0</v>
      </c>
      <c r="AE780" s="104">
        <v>0</v>
      </c>
      <c r="AF780" s="107">
        <v>46265</v>
      </c>
    </row>
    <row r="781" spans="1:32" x14ac:dyDescent="0.25">
      <c r="A781" s="90">
        <v>1056</v>
      </c>
      <c r="B781" s="91" t="s">
        <v>1188</v>
      </c>
      <c r="C781" s="29">
        <v>10560007</v>
      </c>
      <c r="D781" s="92" t="s">
        <v>987</v>
      </c>
      <c r="E781" s="93" t="s">
        <v>270</v>
      </c>
      <c r="F781" s="93" t="s">
        <v>230</v>
      </c>
      <c r="G781" s="109">
        <v>216.38</v>
      </c>
      <c r="H781" s="109">
        <v>8811.49</v>
      </c>
      <c r="I781" s="95">
        <v>0</v>
      </c>
      <c r="J781" s="95">
        <v>0</v>
      </c>
      <c r="K781" s="95">
        <v>500</v>
      </c>
      <c r="L781" s="95">
        <v>0</v>
      </c>
      <c r="M781" s="96">
        <v>8311</v>
      </c>
      <c r="N781" s="97" t="s">
        <v>285</v>
      </c>
      <c r="O781" s="98">
        <v>8311</v>
      </c>
      <c r="P781" s="33" t="s">
        <v>988</v>
      </c>
      <c r="Q781" s="99" t="s">
        <v>1198</v>
      </c>
      <c r="R781" s="100"/>
      <c r="S781" s="101">
        <v>-6.6606215293894641E-2</v>
      </c>
      <c r="T781" s="102">
        <v>1</v>
      </c>
      <c r="U781" s="103">
        <v>0</v>
      </c>
      <c r="V781" s="103">
        <v>0</v>
      </c>
      <c r="W781" s="104">
        <v>0</v>
      </c>
      <c r="X781" s="19"/>
      <c r="Y781" s="103">
        <v>500</v>
      </c>
      <c r="Z781" s="103">
        <v>0</v>
      </c>
      <c r="AA781" s="105">
        <v>0</v>
      </c>
      <c r="AB781" s="106">
        <v>500</v>
      </c>
      <c r="AC781" s="105">
        <v>500</v>
      </c>
      <c r="AD781" s="104">
        <v>0</v>
      </c>
      <c r="AE781" s="104">
        <v>0</v>
      </c>
      <c r="AF781" s="107">
        <v>46265</v>
      </c>
    </row>
    <row r="782" spans="1:32" x14ac:dyDescent="0.25">
      <c r="A782" s="90">
        <v>1056</v>
      </c>
      <c r="B782" s="91" t="s">
        <v>1188</v>
      </c>
      <c r="C782" s="29">
        <v>10560011</v>
      </c>
      <c r="D782" s="92" t="s">
        <v>989</v>
      </c>
      <c r="E782" s="93" t="s">
        <v>270</v>
      </c>
      <c r="F782" s="93" t="s">
        <v>230</v>
      </c>
      <c r="G782" s="109">
        <v>2037.86</v>
      </c>
      <c r="H782" s="109">
        <v>83526.039999999994</v>
      </c>
      <c r="I782" s="95">
        <v>0</v>
      </c>
      <c r="J782" s="95">
        <v>0</v>
      </c>
      <c r="K782" s="95">
        <v>0</v>
      </c>
      <c r="L782" s="95">
        <v>0</v>
      </c>
      <c r="M782" s="96">
        <v>0</v>
      </c>
      <c r="N782" s="97">
        <v>0</v>
      </c>
      <c r="O782" s="98">
        <v>0</v>
      </c>
      <c r="P782" s="33"/>
      <c r="Q782" s="99" t="s">
        <v>1198</v>
      </c>
      <c r="R782" s="100"/>
      <c r="S782" s="101">
        <v>-3.038693083019526E-3</v>
      </c>
      <c r="T782" s="102">
        <v>11</v>
      </c>
      <c r="U782" s="103">
        <v>0</v>
      </c>
      <c r="V782" s="103">
        <v>0</v>
      </c>
      <c r="W782" s="104">
        <v>0</v>
      </c>
      <c r="X782" s="19"/>
      <c r="Y782" s="103">
        <v>0</v>
      </c>
      <c r="Z782" s="103">
        <v>0</v>
      </c>
      <c r="AA782" s="105">
        <v>0</v>
      </c>
      <c r="AB782" s="106">
        <v>0</v>
      </c>
      <c r="AC782" s="105">
        <v>0</v>
      </c>
      <c r="AD782" s="104">
        <v>0</v>
      </c>
      <c r="AE782" s="104">
        <v>0</v>
      </c>
      <c r="AF782" s="107">
        <v>46265</v>
      </c>
    </row>
    <row r="783" spans="1:32" x14ac:dyDescent="0.25">
      <c r="A783" s="90">
        <v>1056</v>
      </c>
      <c r="B783" s="91" t="s">
        <v>1188</v>
      </c>
      <c r="C783" s="29">
        <v>10560012</v>
      </c>
      <c r="D783" s="92" t="s">
        <v>990</v>
      </c>
      <c r="E783" s="93" t="s">
        <v>270</v>
      </c>
      <c r="F783" s="93" t="s">
        <v>230</v>
      </c>
      <c r="G783" s="109">
        <v>1092.94</v>
      </c>
      <c r="H783" s="109">
        <v>45106.3</v>
      </c>
      <c r="I783" s="95">
        <v>0</v>
      </c>
      <c r="J783" s="95">
        <v>0</v>
      </c>
      <c r="K783" s="95">
        <v>0</v>
      </c>
      <c r="L783" s="95">
        <v>0</v>
      </c>
      <c r="M783" s="96">
        <v>6</v>
      </c>
      <c r="N783" s="97">
        <v>0</v>
      </c>
      <c r="O783" s="98">
        <v>0</v>
      </c>
      <c r="P783" s="33"/>
      <c r="Q783" s="99" t="s">
        <v>1198</v>
      </c>
      <c r="R783" s="100"/>
      <c r="S783" s="101">
        <v>1.443257372035362E-4</v>
      </c>
      <c r="T783" s="102">
        <v>4</v>
      </c>
      <c r="U783" s="103">
        <v>0</v>
      </c>
      <c r="V783" s="103">
        <v>0</v>
      </c>
      <c r="W783" s="104">
        <v>0</v>
      </c>
      <c r="X783" s="19"/>
      <c r="Y783" s="103">
        <v>0</v>
      </c>
      <c r="Z783" s="103">
        <v>0</v>
      </c>
      <c r="AA783" s="105">
        <v>0</v>
      </c>
      <c r="AB783" s="106">
        <v>0</v>
      </c>
      <c r="AC783" s="105">
        <v>0</v>
      </c>
      <c r="AD783" s="104">
        <v>0</v>
      </c>
      <c r="AE783" s="104">
        <v>0</v>
      </c>
      <c r="AF783" s="107">
        <v>46265</v>
      </c>
    </row>
    <row r="784" spans="1:32" x14ac:dyDescent="0.25">
      <c r="A784" s="90">
        <v>1056</v>
      </c>
      <c r="B784" s="91" t="s">
        <v>1188</v>
      </c>
      <c r="C784" s="29">
        <v>10560016</v>
      </c>
      <c r="D784" s="92" t="s">
        <v>991</v>
      </c>
      <c r="E784" s="93" t="s">
        <v>270</v>
      </c>
      <c r="F784" s="93" t="s">
        <v>230</v>
      </c>
      <c r="G784" s="109">
        <v>872.07999999999993</v>
      </c>
      <c r="H784" s="109">
        <v>33420.46</v>
      </c>
      <c r="I784" s="95">
        <v>0</v>
      </c>
      <c r="J784" s="95">
        <v>0</v>
      </c>
      <c r="K784" s="95">
        <v>0</v>
      </c>
      <c r="L784" s="95">
        <v>0</v>
      </c>
      <c r="M784" s="96">
        <v>0</v>
      </c>
      <c r="N784" s="97">
        <v>0</v>
      </c>
      <c r="O784" s="98">
        <v>0</v>
      </c>
      <c r="P784" s="33"/>
      <c r="Q784" s="99" t="s">
        <v>1198</v>
      </c>
      <c r="R784" s="100"/>
      <c r="S784" s="101">
        <v>-0.16409887835176423</v>
      </c>
      <c r="T784" s="102">
        <v>1</v>
      </c>
      <c r="U784" s="103">
        <v>0</v>
      </c>
      <c r="V784" s="103">
        <v>0</v>
      </c>
      <c r="W784" s="104">
        <v>0</v>
      </c>
      <c r="X784" s="19"/>
      <c r="Y784" s="103">
        <v>0</v>
      </c>
      <c r="Z784" s="103">
        <v>0</v>
      </c>
      <c r="AA784" s="105">
        <v>0</v>
      </c>
      <c r="AB784" s="106">
        <v>0</v>
      </c>
      <c r="AC784" s="105">
        <v>0</v>
      </c>
      <c r="AD784" s="104">
        <v>0</v>
      </c>
      <c r="AE784" s="104">
        <v>0</v>
      </c>
      <c r="AF784" s="107">
        <v>46265</v>
      </c>
    </row>
    <row r="785" spans="1:32" x14ac:dyDescent="0.25">
      <c r="A785" s="90">
        <v>1056</v>
      </c>
      <c r="B785" s="91" t="s">
        <v>1188</v>
      </c>
      <c r="C785" s="29">
        <v>10560017</v>
      </c>
      <c r="D785" s="92" t="s">
        <v>992</v>
      </c>
      <c r="E785" s="93" t="s">
        <v>270</v>
      </c>
      <c r="F785" s="93" t="s">
        <v>230</v>
      </c>
      <c r="G785" s="109">
        <v>625.95999999999981</v>
      </c>
      <c r="H785" s="109">
        <v>25452.06</v>
      </c>
      <c r="I785" s="95">
        <v>0</v>
      </c>
      <c r="J785" s="95">
        <v>5234</v>
      </c>
      <c r="K785" s="95">
        <v>0</v>
      </c>
      <c r="L785" s="95">
        <v>0</v>
      </c>
      <c r="M785" s="96">
        <v>19</v>
      </c>
      <c r="N785" s="97" t="s">
        <v>331</v>
      </c>
      <c r="O785" s="98">
        <v>0</v>
      </c>
      <c r="P785" s="33" t="s">
        <v>332</v>
      </c>
      <c r="Q785" s="99" t="s">
        <v>1198</v>
      </c>
      <c r="R785" s="100"/>
      <c r="S785" s="101">
        <v>7.6575334177279169E-4</v>
      </c>
      <c r="T785" s="102">
        <v>13</v>
      </c>
      <c r="U785" s="103">
        <v>6853</v>
      </c>
      <c r="V785" s="103">
        <v>5234</v>
      </c>
      <c r="W785" s="104">
        <v>1619</v>
      </c>
      <c r="X785" s="19"/>
      <c r="Y785" s="103">
        <v>0</v>
      </c>
      <c r="Z785" s="103">
        <v>0</v>
      </c>
      <c r="AA785" s="105">
        <v>0</v>
      </c>
      <c r="AB785" s="106">
        <v>0</v>
      </c>
      <c r="AC785" s="105">
        <v>0</v>
      </c>
      <c r="AD785" s="104">
        <v>0</v>
      </c>
      <c r="AE785" s="104">
        <v>0</v>
      </c>
      <c r="AF785" s="107">
        <v>46265</v>
      </c>
    </row>
    <row r="786" spans="1:32" x14ac:dyDescent="0.25">
      <c r="A786" s="90">
        <v>1056</v>
      </c>
      <c r="B786" s="91" t="s">
        <v>1188</v>
      </c>
      <c r="C786" s="29">
        <v>10560019</v>
      </c>
      <c r="D786" s="92" t="s">
        <v>993</v>
      </c>
      <c r="E786" s="93" t="s">
        <v>275</v>
      </c>
      <c r="F786" s="93" t="s">
        <v>231</v>
      </c>
      <c r="G786" s="109">
        <v>1283.68</v>
      </c>
      <c r="H786" s="109">
        <v>48055.319999999992</v>
      </c>
      <c r="I786" s="95">
        <v>0</v>
      </c>
      <c r="J786" s="95">
        <v>0</v>
      </c>
      <c r="K786" s="95">
        <v>0</v>
      </c>
      <c r="L786" s="95">
        <v>0</v>
      </c>
      <c r="M786" s="96">
        <v>0</v>
      </c>
      <c r="N786" s="97">
        <v>0</v>
      </c>
      <c r="O786" s="98">
        <v>0</v>
      </c>
      <c r="P786" s="33"/>
      <c r="Q786" s="99" t="s">
        <v>1198</v>
      </c>
      <c r="R786" s="100"/>
      <c r="S786" s="101">
        <v>0</v>
      </c>
      <c r="T786" s="102">
        <v>0</v>
      </c>
      <c r="U786" s="103">
        <v>0</v>
      </c>
      <c r="V786" s="103">
        <v>0</v>
      </c>
      <c r="W786" s="104">
        <v>0</v>
      </c>
      <c r="X786" s="19"/>
      <c r="Y786" s="103">
        <v>0</v>
      </c>
      <c r="Z786" s="103">
        <v>0</v>
      </c>
      <c r="AA786" s="105">
        <v>0</v>
      </c>
      <c r="AB786" s="106">
        <v>0</v>
      </c>
      <c r="AC786" s="105">
        <v>0</v>
      </c>
      <c r="AD786" s="104">
        <v>0</v>
      </c>
      <c r="AE786" s="104">
        <v>0</v>
      </c>
      <c r="AF786" s="107">
        <v>46265</v>
      </c>
    </row>
    <row r="787" spans="1:32" x14ac:dyDescent="0.25">
      <c r="A787" s="90">
        <v>1056</v>
      </c>
      <c r="B787" s="91" t="s">
        <v>1188</v>
      </c>
      <c r="C787" s="29">
        <v>10560022</v>
      </c>
      <c r="D787" s="92" t="s">
        <v>994</v>
      </c>
      <c r="E787" s="93" t="s">
        <v>270</v>
      </c>
      <c r="F787" s="93" t="s">
        <v>230</v>
      </c>
      <c r="G787" s="109">
        <v>2159.8799999999997</v>
      </c>
      <c r="H787" s="109">
        <v>92987.33</v>
      </c>
      <c r="I787" s="95">
        <v>0</v>
      </c>
      <c r="J787" s="95">
        <v>0</v>
      </c>
      <c r="K787" s="95">
        <v>0</v>
      </c>
      <c r="L787" s="95">
        <v>0</v>
      </c>
      <c r="M787" s="96">
        <v>137</v>
      </c>
      <c r="N787" s="97">
        <v>0</v>
      </c>
      <c r="O787" s="98">
        <v>0</v>
      </c>
      <c r="P787" s="33"/>
      <c r="Q787" s="99" t="s">
        <v>1198</v>
      </c>
      <c r="R787" s="100"/>
      <c r="S787" s="101">
        <v>1.4762226208667791E-3</v>
      </c>
      <c r="T787" s="102">
        <v>1</v>
      </c>
      <c r="U787" s="103">
        <v>0</v>
      </c>
      <c r="V787" s="103">
        <v>0</v>
      </c>
      <c r="W787" s="104">
        <v>0</v>
      </c>
      <c r="X787" s="19"/>
      <c r="Y787" s="103">
        <v>0</v>
      </c>
      <c r="Z787" s="103">
        <v>0</v>
      </c>
      <c r="AA787" s="105">
        <v>0</v>
      </c>
      <c r="AB787" s="106">
        <v>0</v>
      </c>
      <c r="AC787" s="105">
        <v>0</v>
      </c>
      <c r="AD787" s="104">
        <v>0</v>
      </c>
      <c r="AE787" s="104">
        <v>0</v>
      </c>
      <c r="AF787" s="107">
        <v>46265</v>
      </c>
    </row>
    <row r="788" spans="1:32" x14ac:dyDescent="0.25">
      <c r="A788" s="90">
        <v>1056</v>
      </c>
      <c r="B788" s="91" t="s">
        <v>1188</v>
      </c>
      <c r="C788" s="29">
        <v>10560025</v>
      </c>
      <c r="D788" s="92" t="s">
        <v>995</v>
      </c>
      <c r="E788" s="93" t="s">
        <v>275</v>
      </c>
      <c r="F788" s="93" t="s">
        <v>231</v>
      </c>
      <c r="G788" s="109">
        <v>78.28</v>
      </c>
      <c r="H788" s="109">
        <v>3437.74</v>
      </c>
      <c r="I788" s="95">
        <v>0</v>
      </c>
      <c r="J788" s="95">
        <v>0</v>
      </c>
      <c r="K788" s="95">
        <v>0</v>
      </c>
      <c r="L788" s="95">
        <v>0</v>
      </c>
      <c r="M788" s="96">
        <v>0</v>
      </c>
      <c r="N788" s="97">
        <v>0</v>
      </c>
      <c r="O788" s="98">
        <v>0</v>
      </c>
      <c r="P788" s="33"/>
      <c r="Q788" s="99" t="s">
        <v>1198</v>
      </c>
      <c r="R788" s="100"/>
      <c r="S788" s="101">
        <v>0</v>
      </c>
      <c r="T788" s="102">
        <v>0</v>
      </c>
      <c r="U788" s="103">
        <v>0</v>
      </c>
      <c r="V788" s="103">
        <v>0</v>
      </c>
      <c r="W788" s="104">
        <v>0</v>
      </c>
      <c r="X788" s="19"/>
      <c r="Y788" s="103">
        <v>0</v>
      </c>
      <c r="Z788" s="103">
        <v>0</v>
      </c>
      <c r="AA788" s="105">
        <v>0</v>
      </c>
      <c r="AB788" s="106">
        <v>0</v>
      </c>
      <c r="AC788" s="105">
        <v>0</v>
      </c>
      <c r="AD788" s="104">
        <v>0</v>
      </c>
      <c r="AE788" s="104">
        <v>0</v>
      </c>
      <c r="AF788" s="107">
        <v>46265</v>
      </c>
    </row>
    <row r="789" spans="1:32" x14ac:dyDescent="0.25">
      <c r="A789" s="90">
        <v>1056</v>
      </c>
      <c r="B789" s="91" t="s">
        <v>1188</v>
      </c>
      <c r="C789" s="29">
        <v>10560026</v>
      </c>
      <c r="D789" s="92" t="s">
        <v>996</v>
      </c>
      <c r="E789" s="93" t="s">
        <v>270</v>
      </c>
      <c r="F789" s="93" t="s">
        <v>230</v>
      </c>
      <c r="G789" s="109">
        <v>1121.26</v>
      </c>
      <c r="H789" s="109">
        <v>45288.55</v>
      </c>
      <c r="I789" s="95">
        <v>0</v>
      </c>
      <c r="J789" s="95">
        <v>0</v>
      </c>
      <c r="K789" s="95">
        <v>0</v>
      </c>
      <c r="L789" s="95">
        <v>0</v>
      </c>
      <c r="M789" s="96">
        <v>11</v>
      </c>
      <c r="N789" s="97">
        <v>0</v>
      </c>
      <c r="O789" s="98">
        <v>0</v>
      </c>
      <c r="P789" s="33"/>
      <c r="Q789" s="99" t="s">
        <v>1198</v>
      </c>
      <c r="R789" s="100"/>
      <c r="S789" s="101">
        <v>2.3471716360972872E-4</v>
      </c>
      <c r="T789" s="102">
        <v>18</v>
      </c>
      <c r="U789" s="103">
        <v>0</v>
      </c>
      <c r="V789" s="103">
        <v>0</v>
      </c>
      <c r="W789" s="104">
        <v>0</v>
      </c>
      <c r="X789" s="19"/>
      <c r="Y789" s="103">
        <v>0</v>
      </c>
      <c r="Z789" s="103">
        <v>0</v>
      </c>
      <c r="AA789" s="105">
        <v>0</v>
      </c>
      <c r="AB789" s="106">
        <v>0</v>
      </c>
      <c r="AC789" s="105">
        <v>0</v>
      </c>
      <c r="AD789" s="104">
        <v>0</v>
      </c>
      <c r="AE789" s="104">
        <v>0</v>
      </c>
      <c r="AF789" s="107">
        <v>46265</v>
      </c>
    </row>
    <row r="790" spans="1:32" x14ac:dyDescent="0.25">
      <c r="A790" s="90">
        <v>1056</v>
      </c>
      <c r="B790" s="91" t="s">
        <v>1188</v>
      </c>
      <c r="C790" s="29">
        <v>10560028</v>
      </c>
      <c r="D790" s="92" t="s">
        <v>997</v>
      </c>
      <c r="E790" s="93" t="s">
        <v>275</v>
      </c>
      <c r="F790" s="93" t="s">
        <v>230</v>
      </c>
      <c r="G790" s="109">
        <v>206.16000000000003</v>
      </c>
      <c r="H790" s="109">
        <v>9853.67</v>
      </c>
      <c r="I790" s="95">
        <v>0</v>
      </c>
      <c r="J790" s="95">
        <v>1101</v>
      </c>
      <c r="K790" s="95">
        <v>0</v>
      </c>
      <c r="L790" s="95">
        <v>0</v>
      </c>
      <c r="M790" s="96">
        <v>0</v>
      </c>
      <c r="N790" s="97" t="s">
        <v>324</v>
      </c>
      <c r="O790" s="98">
        <v>0</v>
      </c>
      <c r="P790" s="33" t="s">
        <v>332</v>
      </c>
      <c r="Q790" s="99" t="s">
        <v>1198</v>
      </c>
      <c r="R790" s="100"/>
      <c r="S790" s="101">
        <v>-6.2155521749764214E-2</v>
      </c>
      <c r="T790" s="102">
        <v>1</v>
      </c>
      <c r="U790" s="103">
        <v>1101</v>
      </c>
      <c r="V790" s="103">
        <v>1101</v>
      </c>
      <c r="W790" s="104">
        <v>0</v>
      </c>
      <c r="X790" s="19"/>
      <c r="Y790" s="103">
        <v>0</v>
      </c>
      <c r="Z790" s="103">
        <v>0</v>
      </c>
      <c r="AA790" s="105">
        <v>0</v>
      </c>
      <c r="AB790" s="106">
        <v>0</v>
      </c>
      <c r="AC790" s="105">
        <v>0</v>
      </c>
      <c r="AD790" s="104">
        <v>0</v>
      </c>
      <c r="AE790" s="104">
        <v>0</v>
      </c>
      <c r="AF790" s="107">
        <v>46265</v>
      </c>
    </row>
    <row r="791" spans="1:32" x14ac:dyDescent="0.25">
      <c r="A791" s="90">
        <v>1056</v>
      </c>
      <c r="B791" s="91" t="s">
        <v>1188</v>
      </c>
      <c r="C791" s="29">
        <v>10560031</v>
      </c>
      <c r="D791" s="92" t="s">
        <v>998</v>
      </c>
      <c r="E791" s="93" t="s">
        <v>275</v>
      </c>
      <c r="F791" s="93" t="s">
        <v>230</v>
      </c>
      <c r="G791" s="109">
        <v>487.90000000000003</v>
      </c>
      <c r="H791" s="109">
        <v>19354.05</v>
      </c>
      <c r="I791" s="95">
        <v>0</v>
      </c>
      <c r="J791" s="95">
        <v>0</v>
      </c>
      <c r="K791" s="95">
        <v>0</v>
      </c>
      <c r="L791" s="95">
        <v>0</v>
      </c>
      <c r="M791" s="96">
        <v>9</v>
      </c>
      <c r="N791" s="97">
        <v>0</v>
      </c>
      <c r="O791" s="98">
        <v>0</v>
      </c>
      <c r="P791" s="33"/>
      <c r="Q791" s="99" t="s">
        <v>1198</v>
      </c>
      <c r="R791" s="100"/>
      <c r="S791" s="101">
        <v>4.5365181964492372E-4</v>
      </c>
      <c r="T791" s="102">
        <v>1</v>
      </c>
      <c r="U791" s="103">
        <v>0</v>
      </c>
      <c r="V791" s="103">
        <v>0</v>
      </c>
      <c r="W791" s="104">
        <v>0</v>
      </c>
      <c r="X791" s="19"/>
      <c r="Y791" s="103">
        <v>0</v>
      </c>
      <c r="Z791" s="103">
        <v>0</v>
      </c>
      <c r="AA791" s="105">
        <v>0</v>
      </c>
      <c r="AB791" s="106">
        <v>0</v>
      </c>
      <c r="AC791" s="105">
        <v>0</v>
      </c>
      <c r="AD791" s="104">
        <v>0</v>
      </c>
      <c r="AE791" s="104">
        <v>0</v>
      </c>
      <c r="AF791" s="107">
        <v>46265</v>
      </c>
    </row>
    <row r="792" spans="1:32" x14ac:dyDescent="0.25">
      <c r="A792" s="90">
        <v>1056</v>
      </c>
      <c r="B792" s="91" t="s">
        <v>1188</v>
      </c>
      <c r="C792" s="29">
        <v>10560033</v>
      </c>
      <c r="D792" s="92" t="s">
        <v>999</v>
      </c>
      <c r="E792" s="93" t="s">
        <v>270</v>
      </c>
      <c r="F792" s="93" t="s">
        <v>231</v>
      </c>
      <c r="G792" s="109">
        <v>269.43999999999994</v>
      </c>
      <c r="H792" s="109">
        <v>11129.769999999999</v>
      </c>
      <c r="I792" s="95">
        <v>0</v>
      </c>
      <c r="J792" s="95">
        <v>0</v>
      </c>
      <c r="K792" s="95">
        <v>0</v>
      </c>
      <c r="L792" s="95">
        <v>0</v>
      </c>
      <c r="M792" s="96">
        <v>11130</v>
      </c>
      <c r="N792" s="97" t="s">
        <v>285</v>
      </c>
      <c r="O792" s="98">
        <v>11130</v>
      </c>
      <c r="P792" s="33" t="s">
        <v>988</v>
      </c>
      <c r="Q792" s="99" t="s">
        <v>1198</v>
      </c>
      <c r="R792" s="100"/>
      <c r="S792" s="101">
        <v>0</v>
      </c>
      <c r="T792" s="102">
        <v>1</v>
      </c>
      <c r="U792" s="103">
        <v>0</v>
      </c>
      <c r="V792" s="103">
        <v>0</v>
      </c>
      <c r="W792" s="104">
        <v>0</v>
      </c>
      <c r="X792" s="19"/>
      <c r="Y792" s="103">
        <v>0</v>
      </c>
      <c r="Z792" s="103">
        <v>0</v>
      </c>
      <c r="AA792" s="105">
        <v>0</v>
      </c>
      <c r="AB792" s="106">
        <v>0</v>
      </c>
      <c r="AC792" s="105">
        <v>0</v>
      </c>
      <c r="AD792" s="104">
        <v>0</v>
      </c>
      <c r="AE792" s="104">
        <v>0</v>
      </c>
      <c r="AF792" s="107">
        <v>46265</v>
      </c>
    </row>
    <row r="793" spans="1:32" x14ac:dyDescent="0.25">
      <c r="A793" s="90">
        <v>1056</v>
      </c>
      <c r="B793" s="91" t="s">
        <v>1188</v>
      </c>
      <c r="C793" s="29">
        <v>10560034</v>
      </c>
      <c r="D793" s="92" t="s">
        <v>1000</v>
      </c>
      <c r="E793" s="93" t="s">
        <v>275</v>
      </c>
      <c r="F793" s="93" t="s">
        <v>231</v>
      </c>
      <c r="G793" s="109">
        <v>24.82</v>
      </c>
      <c r="H793" s="109">
        <v>894.26</v>
      </c>
      <c r="I793" s="95">
        <v>0</v>
      </c>
      <c r="J793" s="95">
        <v>894</v>
      </c>
      <c r="K793" s="95">
        <v>0</v>
      </c>
      <c r="L793" s="95">
        <v>0</v>
      </c>
      <c r="M793" s="96">
        <v>0</v>
      </c>
      <c r="N793" s="97">
        <v>0</v>
      </c>
      <c r="O793" s="98">
        <v>0</v>
      </c>
      <c r="P793" s="33"/>
      <c r="Q793" s="99" t="s">
        <v>1198</v>
      </c>
      <c r="R793" s="100"/>
      <c r="S793" s="101">
        <v>0</v>
      </c>
      <c r="T793" s="102">
        <v>0</v>
      </c>
      <c r="U793" s="110">
        <v>6122</v>
      </c>
      <c r="V793" s="103">
        <v>894</v>
      </c>
      <c r="W793" s="104">
        <v>5228</v>
      </c>
      <c r="X793" s="19"/>
      <c r="Y793" s="103">
        <v>0</v>
      </c>
      <c r="Z793" s="103">
        <v>0</v>
      </c>
      <c r="AA793" s="105">
        <v>0</v>
      </c>
      <c r="AB793" s="106">
        <v>0</v>
      </c>
      <c r="AC793" s="105">
        <v>0</v>
      </c>
      <c r="AD793" s="104">
        <v>0</v>
      </c>
      <c r="AE793" s="104">
        <v>0</v>
      </c>
      <c r="AF793" s="107">
        <v>46265</v>
      </c>
    </row>
    <row r="794" spans="1:32" x14ac:dyDescent="0.25">
      <c r="A794" s="90">
        <v>1056</v>
      </c>
      <c r="B794" s="91" t="s">
        <v>1188</v>
      </c>
      <c r="C794" s="29">
        <v>10560035</v>
      </c>
      <c r="D794" s="92" t="s">
        <v>1001</v>
      </c>
      <c r="E794" s="93" t="s">
        <v>270</v>
      </c>
      <c r="F794" s="93" t="s">
        <v>230</v>
      </c>
      <c r="G794" s="109">
        <v>455.71999999999997</v>
      </c>
      <c r="H794" s="109">
        <v>17743.230000000003</v>
      </c>
      <c r="I794" s="95">
        <v>0</v>
      </c>
      <c r="J794" s="95">
        <v>0</v>
      </c>
      <c r="K794" s="95">
        <v>0</v>
      </c>
      <c r="L794" s="95">
        <v>0</v>
      </c>
      <c r="M794" s="96">
        <v>571</v>
      </c>
      <c r="N794" s="97">
        <v>0</v>
      </c>
      <c r="O794" s="98">
        <v>0</v>
      </c>
      <c r="P794" s="33"/>
      <c r="Q794" s="99" t="s">
        <v>1198</v>
      </c>
      <c r="R794" s="100"/>
      <c r="S794" s="101">
        <v>3.2217358395286708E-2</v>
      </c>
      <c r="T794" s="102">
        <v>2</v>
      </c>
      <c r="U794" s="103">
        <v>0</v>
      </c>
      <c r="V794" s="103">
        <v>0</v>
      </c>
      <c r="W794" s="104">
        <v>0</v>
      </c>
      <c r="X794" s="19"/>
      <c r="Y794" s="103">
        <v>0</v>
      </c>
      <c r="Z794" s="103">
        <v>0</v>
      </c>
      <c r="AA794" s="105">
        <v>0</v>
      </c>
      <c r="AB794" s="106">
        <v>0</v>
      </c>
      <c r="AC794" s="105">
        <v>0</v>
      </c>
      <c r="AD794" s="104">
        <v>0</v>
      </c>
      <c r="AE794" s="104">
        <v>0</v>
      </c>
      <c r="AF794" s="107">
        <v>46265</v>
      </c>
    </row>
    <row r="795" spans="1:32" x14ac:dyDescent="0.25">
      <c r="A795" s="90">
        <v>1056</v>
      </c>
      <c r="B795" s="91" t="s">
        <v>1188</v>
      </c>
      <c r="C795" s="29">
        <v>10560036</v>
      </c>
      <c r="D795" s="92" t="s">
        <v>1002</v>
      </c>
      <c r="E795" s="93" t="s">
        <v>270</v>
      </c>
      <c r="F795" s="93" t="s">
        <v>230</v>
      </c>
      <c r="G795" s="109">
        <v>602.36</v>
      </c>
      <c r="H795" s="109">
        <v>27669.379999999997</v>
      </c>
      <c r="I795" s="95">
        <v>0</v>
      </c>
      <c r="J795" s="95">
        <v>0</v>
      </c>
      <c r="K795" s="95">
        <v>0</v>
      </c>
      <c r="L795" s="95">
        <v>0</v>
      </c>
      <c r="M795" s="96">
        <v>69</v>
      </c>
      <c r="N795" s="97">
        <v>0</v>
      </c>
      <c r="O795" s="98">
        <v>0</v>
      </c>
      <c r="P795" s="33"/>
      <c r="Q795" s="99" t="s">
        <v>1198</v>
      </c>
      <c r="R795" s="100"/>
      <c r="S795" s="101">
        <v>2.5248126268100054E-3</v>
      </c>
      <c r="T795" s="102">
        <v>1</v>
      </c>
      <c r="U795" s="103">
        <v>0</v>
      </c>
      <c r="V795" s="103">
        <v>0</v>
      </c>
      <c r="W795" s="104">
        <v>0</v>
      </c>
      <c r="X795" s="19"/>
      <c r="Y795" s="103">
        <v>0</v>
      </c>
      <c r="Z795" s="103">
        <v>0</v>
      </c>
      <c r="AA795" s="105">
        <v>0</v>
      </c>
      <c r="AB795" s="106">
        <v>0</v>
      </c>
      <c r="AC795" s="105">
        <v>0</v>
      </c>
      <c r="AD795" s="104">
        <v>0</v>
      </c>
      <c r="AE795" s="104">
        <v>0</v>
      </c>
      <c r="AF795" s="107">
        <v>46265</v>
      </c>
    </row>
    <row r="796" spans="1:32" x14ac:dyDescent="0.25">
      <c r="A796" s="90">
        <v>1056</v>
      </c>
      <c r="B796" s="91" t="s">
        <v>1188</v>
      </c>
      <c r="C796" s="29">
        <v>10560037</v>
      </c>
      <c r="D796" s="92" t="s">
        <v>1003</v>
      </c>
      <c r="E796" s="93" t="s">
        <v>270</v>
      </c>
      <c r="F796" s="93" t="s">
        <v>230</v>
      </c>
      <c r="G796" s="109">
        <v>43.78</v>
      </c>
      <c r="H796" s="109">
        <v>1799.77</v>
      </c>
      <c r="I796" s="95">
        <v>0</v>
      </c>
      <c r="J796" s="95">
        <v>0</v>
      </c>
      <c r="K796" s="95">
        <v>0</v>
      </c>
      <c r="L796" s="95">
        <v>0</v>
      </c>
      <c r="M796" s="96">
        <v>1800</v>
      </c>
      <c r="N796" s="97" t="s">
        <v>285</v>
      </c>
      <c r="O796" s="98">
        <v>1675</v>
      </c>
      <c r="P796" s="33" t="s">
        <v>988</v>
      </c>
      <c r="Q796" s="99" t="s">
        <v>1198</v>
      </c>
      <c r="R796" s="100"/>
      <c r="S796" s="101">
        <v>6.9547775549097857E-2</v>
      </c>
      <c r="T796" s="102">
        <v>3</v>
      </c>
      <c r="U796" s="103">
        <v>0</v>
      </c>
      <c r="V796" s="103">
        <v>0</v>
      </c>
      <c r="W796" s="104">
        <v>0</v>
      </c>
      <c r="X796" s="19"/>
      <c r="Y796" s="103">
        <v>0</v>
      </c>
      <c r="Z796" s="103">
        <v>0</v>
      </c>
      <c r="AA796" s="105">
        <v>0</v>
      </c>
      <c r="AB796" s="106">
        <v>0</v>
      </c>
      <c r="AC796" s="105">
        <v>0</v>
      </c>
      <c r="AD796" s="104">
        <v>0</v>
      </c>
      <c r="AE796" s="104">
        <v>0</v>
      </c>
      <c r="AF796" s="107">
        <v>46265</v>
      </c>
    </row>
    <row r="797" spans="1:32" x14ac:dyDescent="0.25">
      <c r="A797" s="90">
        <v>1056</v>
      </c>
      <c r="B797" s="91" t="s">
        <v>1188</v>
      </c>
      <c r="C797" s="29">
        <v>10560040</v>
      </c>
      <c r="D797" s="92" t="s">
        <v>1004</v>
      </c>
      <c r="E797" s="93" t="s">
        <v>275</v>
      </c>
      <c r="F797" s="93" t="s">
        <v>231</v>
      </c>
      <c r="G797" s="109">
        <v>128.12</v>
      </c>
      <c r="H797" s="109">
        <v>4926.0099999999993</v>
      </c>
      <c r="I797" s="95">
        <v>0</v>
      </c>
      <c r="J797" s="95">
        <v>0</v>
      </c>
      <c r="K797" s="95">
        <v>0</v>
      </c>
      <c r="L797" s="95">
        <v>0</v>
      </c>
      <c r="M797" s="96">
        <v>0</v>
      </c>
      <c r="N797" s="97">
        <v>0</v>
      </c>
      <c r="O797" s="98">
        <v>0</v>
      </c>
      <c r="P797" s="33"/>
      <c r="Q797" s="99" t="s">
        <v>1198</v>
      </c>
      <c r="R797" s="100"/>
      <c r="S797" s="101">
        <v>0</v>
      </c>
      <c r="T797" s="102">
        <v>0</v>
      </c>
      <c r="U797" s="103">
        <v>0</v>
      </c>
      <c r="V797" s="103">
        <v>0</v>
      </c>
      <c r="W797" s="104">
        <v>0</v>
      </c>
      <c r="X797" s="19"/>
      <c r="Y797" s="103">
        <v>0</v>
      </c>
      <c r="Z797" s="103">
        <v>0</v>
      </c>
      <c r="AA797" s="105">
        <v>0</v>
      </c>
      <c r="AB797" s="106">
        <v>0</v>
      </c>
      <c r="AC797" s="105">
        <v>0</v>
      </c>
      <c r="AD797" s="104">
        <v>0</v>
      </c>
      <c r="AE797" s="104">
        <v>0</v>
      </c>
      <c r="AF797" s="107">
        <v>46265</v>
      </c>
    </row>
    <row r="798" spans="1:32" x14ac:dyDescent="0.25">
      <c r="A798" s="90">
        <v>1056</v>
      </c>
      <c r="B798" s="91" t="s">
        <v>1188</v>
      </c>
      <c r="C798" s="29">
        <v>10560042</v>
      </c>
      <c r="D798" s="92" t="s">
        <v>1005</v>
      </c>
      <c r="E798" s="93" t="s">
        <v>275</v>
      </c>
      <c r="F798" s="93" t="s">
        <v>230</v>
      </c>
      <c r="G798" s="109">
        <v>1163.9000000000001</v>
      </c>
      <c r="H798" s="109">
        <v>50670.349999999991</v>
      </c>
      <c r="I798" s="95">
        <v>0</v>
      </c>
      <c r="J798" s="95">
        <v>0</v>
      </c>
      <c r="K798" s="95">
        <v>0</v>
      </c>
      <c r="L798" s="95">
        <v>0</v>
      </c>
      <c r="M798" s="96">
        <v>0</v>
      </c>
      <c r="N798" s="97">
        <v>0</v>
      </c>
      <c r="O798" s="98">
        <v>0</v>
      </c>
      <c r="P798" s="33"/>
      <c r="Q798" s="99" t="s">
        <v>1198</v>
      </c>
      <c r="R798" s="100"/>
      <c r="S798" s="101">
        <v>-2.5091794313637141E-2</v>
      </c>
      <c r="T798" s="102">
        <v>6</v>
      </c>
      <c r="U798" s="103">
        <v>0</v>
      </c>
      <c r="V798" s="103">
        <v>0</v>
      </c>
      <c r="W798" s="104">
        <v>0</v>
      </c>
      <c r="X798" s="19"/>
      <c r="Y798" s="103">
        <v>0</v>
      </c>
      <c r="Z798" s="103">
        <v>0</v>
      </c>
      <c r="AA798" s="105">
        <v>0</v>
      </c>
      <c r="AB798" s="106">
        <v>0</v>
      </c>
      <c r="AC798" s="105">
        <v>0</v>
      </c>
      <c r="AD798" s="104">
        <v>0</v>
      </c>
      <c r="AE798" s="104">
        <v>0</v>
      </c>
      <c r="AF798" s="107">
        <v>46265</v>
      </c>
    </row>
    <row r="799" spans="1:32" x14ac:dyDescent="0.25">
      <c r="A799" s="90">
        <v>1056</v>
      </c>
      <c r="B799" s="91" t="s">
        <v>1188</v>
      </c>
      <c r="C799" s="29">
        <v>10560043</v>
      </c>
      <c r="D799" s="92" t="s">
        <v>1006</v>
      </c>
      <c r="E799" s="93" t="s">
        <v>275</v>
      </c>
      <c r="F799" s="93" t="s">
        <v>231</v>
      </c>
      <c r="G799" s="109">
        <v>3704.26</v>
      </c>
      <c r="H799" s="109">
        <v>159031.95999999996</v>
      </c>
      <c r="I799" s="95">
        <v>0</v>
      </c>
      <c r="J799" s="95">
        <v>0</v>
      </c>
      <c r="K799" s="95">
        <v>0</v>
      </c>
      <c r="L799" s="95">
        <v>0</v>
      </c>
      <c r="M799" s="96">
        <v>0</v>
      </c>
      <c r="N799" s="97">
        <v>0</v>
      </c>
      <c r="O799" s="98">
        <v>0</v>
      </c>
      <c r="P799" s="33"/>
      <c r="Q799" s="99" t="s">
        <v>1198</v>
      </c>
      <c r="R799" s="100"/>
      <c r="S799" s="101">
        <v>0</v>
      </c>
      <c r="T799" s="102">
        <v>0</v>
      </c>
      <c r="U799" s="103">
        <v>0</v>
      </c>
      <c r="V799" s="103">
        <v>0</v>
      </c>
      <c r="W799" s="104">
        <v>0</v>
      </c>
      <c r="X799" s="19"/>
      <c r="Y799" s="103">
        <v>0</v>
      </c>
      <c r="Z799" s="103">
        <v>0</v>
      </c>
      <c r="AA799" s="105">
        <v>0</v>
      </c>
      <c r="AB799" s="106">
        <v>0</v>
      </c>
      <c r="AC799" s="105">
        <v>0</v>
      </c>
      <c r="AD799" s="104">
        <v>0</v>
      </c>
      <c r="AE799" s="104">
        <v>0</v>
      </c>
      <c r="AF799" s="107">
        <v>46265</v>
      </c>
    </row>
    <row r="800" spans="1:32" x14ac:dyDescent="0.25">
      <c r="A800" s="90">
        <v>1056</v>
      </c>
      <c r="B800" s="91" t="s">
        <v>1188</v>
      </c>
      <c r="C800" s="29">
        <v>10560044</v>
      </c>
      <c r="D800" s="92" t="s">
        <v>1007</v>
      </c>
      <c r="E800" s="93" t="s">
        <v>275</v>
      </c>
      <c r="F800" s="93" t="s">
        <v>231</v>
      </c>
      <c r="G800" s="109">
        <v>919.45999999999992</v>
      </c>
      <c r="H800" s="109">
        <v>34179.520000000004</v>
      </c>
      <c r="I800" s="95">
        <v>0</v>
      </c>
      <c r="J800" s="95">
        <v>0</v>
      </c>
      <c r="K800" s="95">
        <v>0</v>
      </c>
      <c r="L800" s="95">
        <v>0</v>
      </c>
      <c r="M800" s="96">
        <v>0</v>
      </c>
      <c r="N800" s="97">
        <v>0</v>
      </c>
      <c r="O800" s="98">
        <v>0</v>
      </c>
      <c r="P800" s="33"/>
      <c r="Q800" s="99" t="s">
        <v>1198</v>
      </c>
      <c r="R800" s="100"/>
      <c r="S800" s="101">
        <v>0</v>
      </c>
      <c r="T800" s="102">
        <v>0</v>
      </c>
      <c r="U800" s="103">
        <v>0</v>
      </c>
      <c r="V800" s="103">
        <v>0</v>
      </c>
      <c r="W800" s="104">
        <v>0</v>
      </c>
      <c r="X800" s="19"/>
      <c r="Y800" s="103">
        <v>0</v>
      </c>
      <c r="Z800" s="103">
        <v>0</v>
      </c>
      <c r="AA800" s="105">
        <v>0</v>
      </c>
      <c r="AB800" s="106">
        <v>0</v>
      </c>
      <c r="AC800" s="105">
        <v>0</v>
      </c>
      <c r="AD800" s="104">
        <v>0</v>
      </c>
      <c r="AE800" s="104">
        <v>0</v>
      </c>
      <c r="AF800" s="107">
        <v>46265</v>
      </c>
    </row>
    <row r="801" spans="1:32" x14ac:dyDescent="0.25">
      <c r="A801" s="90">
        <v>1063</v>
      </c>
      <c r="B801" s="91" t="s">
        <v>1196</v>
      </c>
      <c r="C801" s="29">
        <v>10570001</v>
      </c>
      <c r="D801" s="92" t="s">
        <v>1008</v>
      </c>
      <c r="E801" s="93" t="s">
        <v>270</v>
      </c>
      <c r="F801" s="93" t="s">
        <v>230</v>
      </c>
      <c r="G801" s="109">
        <v>47.499999999999993</v>
      </c>
      <c r="H801" s="109">
        <v>1979.5700000000002</v>
      </c>
      <c r="I801" s="95">
        <v>0</v>
      </c>
      <c r="J801" s="95">
        <v>0</v>
      </c>
      <c r="K801" s="95">
        <v>500</v>
      </c>
      <c r="L801" s="95">
        <v>0</v>
      </c>
      <c r="M801" s="96">
        <v>1</v>
      </c>
      <c r="N801" s="97">
        <v>0</v>
      </c>
      <c r="O801" s="98">
        <v>0</v>
      </c>
      <c r="P801" s="33"/>
      <c r="Q801" s="99" t="s">
        <v>1198</v>
      </c>
      <c r="R801" s="100"/>
      <c r="S801" s="101">
        <v>2.6268331001176105E-4</v>
      </c>
      <c r="T801" s="102">
        <v>2</v>
      </c>
      <c r="U801" s="103">
        <v>0</v>
      </c>
      <c r="V801" s="103">
        <v>0</v>
      </c>
      <c r="W801" s="104">
        <v>0</v>
      </c>
      <c r="X801" s="19"/>
      <c r="Y801" s="103">
        <v>500</v>
      </c>
      <c r="Z801" s="103">
        <v>0</v>
      </c>
      <c r="AA801" s="105">
        <v>0</v>
      </c>
      <c r="AB801" s="106">
        <v>500</v>
      </c>
      <c r="AC801" s="105">
        <v>500</v>
      </c>
      <c r="AD801" s="104">
        <v>0</v>
      </c>
      <c r="AE801" s="104">
        <v>0</v>
      </c>
      <c r="AF801" s="107">
        <v>46265</v>
      </c>
    </row>
    <row r="802" spans="1:32" x14ac:dyDescent="0.25">
      <c r="A802" s="90">
        <v>1057</v>
      </c>
      <c r="B802" s="91" t="s">
        <v>1197</v>
      </c>
      <c r="C802" s="29">
        <v>10570003</v>
      </c>
      <c r="D802" s="92" t="s">
        <v>1009</v>
      </c>
      <c r="E802" s="93" t="s">
        <v>270</v>
      </c>
      <c r="F802" s="93" t="s">
        <v>230</v>
      </c>
      <c r="G802" s="109">
        <v>272.00000000000006</v>
      </c>
      <c r="H802" s="109">
        <v>10906.929999999998</v>
      </c>
      <c r="I802" s="95">
        <v>0</v>
      </c>
      <c r="J802" s="95">
        <v>0</v>
      </c>
      <c r="K802" s="95">
        <v>500</v>
      </c>
      <c r="L802" s="95">
        <v>0</v>
      </c>
      <c r="M802" s="96">
        <v>157</v>
      </c>
      <c r="N802" s="97">
        <v>0</v>
      </c>
      <c r="O802" s="98">
        <v>1</v>
      </c>
      <c r="P802" s="33"/>
      <c r="Q802" s="99" t="s">
        <v>1198</v>
      </c>
      <c r="R802" s="100"/>
      <c r="S802" s="101">
        <v>1.4322086966726748E-2</v>
      </c>
      <c r="T802" s="102">
        <v>14</v>
      </c>
      <c r="U802" s="103">
        <v>0</v>
      </c>
      <c r="V802" s="103">
        <v>0</v>
      </c>
      <c r="W802" s="104">
        <v>0</v>
      </c>
      <c r="X802" s="19"/>
      <c r="Y802" s="103">
        <v>500</v>
      </c>
      <c r="Z802" s="103">
        <v>0</v>
      </c>
      <c r="AA802" s="105">
        <v>0</v>
      </c>
      <c r="AB802" s="106">
        <v>500</v>
      </c>
      <c r="AC802" s="105">
        <v>500</v>
      </c>
      <c r="AD802" s="104">
        <v>0</v>
      </c>
      <c r="AE802" s="104">
        <v>0</v>
      </c>
      <c r="AF802" s="107">
        <v>46265</v>
      </c>
    </row>
    <row r="803" spans="1:32" x14ac:dyDescent="0.25">
      <c r="A803" s="90">
        <v>1057</v>
      </c>
      <c r="B803" s="91" t="s">
        <v>1197</v>
      </c>
      <c r="C803" s="29">
        <v>10570007</v>
      </c>
      <c r="D803" s="92" t="s">
        <v>1010</v>
      </c>
      <c r="E803" s="93" t="s">
        <v>270</v>
      </c>
      <c r="F803" s="93" t="s">
        <v>231</v>
      </c>
      <c r="G803" s="109">
        <v>1222.3</v>
      </c>
      <c r="H803" s="109">
        <v>51684.529999999992</v>
      </c>
      <c r="I803" s="95">
        <v>0</v>
      </c>
      <c r="J803" s="95">
        <v>0</v>
      </c>
      <c r="K803" s="95">
        <v>0</v>
      </c>
      <c r="L803" s="95">
        <v>0</v>
      </c>
      <c r="M803" s="96">
        <v>0</v>
      </c>
      <c r="N803" s="97">
        <v>0</v>
      </c>
      <c r="O803" s="98">
        <v>0</v>
      </c>
      <c r="P803" s="33"/>
      <c r="Q803" s="99" t="s">
        <v>1198</v>
      </c>
      <c r="R803" s="100"/>
      <c r="S803" s="101">
        <v>0</v>
      </c>
      <c r="T803" s="102">
        <v>0</v>
      </c>
      <c r="U803" s="103">
        <v>0</v>
      </c>
      <c r="V803" s="103">
        <v>0</v>
      </c>
      <c r="W803" s="104">
        <v>0</v>
      </c>
      <c r="X803" s="19"/>
      <c r="Y803" s="103">
        <v>0</v>
      </c>
      <c r="Z803" s="103">
        <v>0</v>
      </c>
      <c r="AA803" s="105">
        <v>0</v>
      </c>
      <c r="AB803" s="106">
        <v>0</v>
      </c>
      <c r="AC803" s="105">
        <v>0</v>
      </c>
      <c r="AD803" s="104">
        <v>0</v>
      </c>
      <c r="AE803" s="104">
        <v>0</v>
      </c>
      <c r="AF803" s="107">
        <v>46265</v>
      </c>
    </row>
    <row r="804" spans="1:32" x14ac:dyDescent="0.25">
      <c r="A804" s="90">
        <v>1057</v>
      </c>
      <c r="B804" s="91" t="s">
        <v>1197</v>
      </c>
      <c r="C804" s="29">
        <v>10570008</v>
      </c>
      <c r="D804" s="92" t="s">
        <v>1011</v>
      </c>
      <c r="E804" s="93" t="s">
        <v>270</v>
      </c>
      <c r="F804" s="93" t="s">
        <v>230</v>
      </c>
      <c r="G804" s="109">
        <v>951</v>
      </c>
      <c r="H804" s="109">
        <v>37473.599999999999</v>
      </c>
      <c r="I804" s="95">
        <v>0</v>
      </c>
      <c r="J804" s="95">
        <v>0</v>
      </c>
      <c r="K804" s="95">
        <v>0</v>
      </c>
      <c r="L804" s="95">
        <v>0</v>
      </c>
      <c r="M804" s="96">
        <v>0</v>
      </c>
      <c r="N804" s="97">
        <v>0</v>
      </c>
      <c r="O804" s="98">
        <v>0</v>
      </c>
      <c r="P804" s="33"/>
      <c r="Q804" s="99" t="s">
        <v>1198</v>
      </c>
      <c r="R804" s="100"/>
      <c r="S804" s="101">
        <v>-1.8533047265273978E-3</v>
      </c>
      <c r="T804" s="102">
        <v>20</v>
      </c>
      <c r="U804" s="103">
        <v>0</v>
      </c>
      <c r="V804" s="103">
        <v>0</v>
      </c>
      <c r="W804" s="104">
        <v>0</v>
      </c>
      <c r="X804" s="19"/>
      <c r="Y804" s="103">
        <v>0</v>
      </c>
      <c r="Z804" s="103">
        <v>0</v>
      </c>
      <c r="AA804" s="105">
        <v>0</v>
      </c>
      <c r="AB804" s="106">
        <v>0</v>
      </c>
      <c r="AC804" s="105">
        <v>0</v>
      </c>
      <c r="AD804" s="104">
        <v>0</v>
      </c>
      <c r="AE804" s="104">
        <v>0</v>
      </c>
      <c r="AF804" s="107">
        <v>46265</v>
      </c>
    </row>
    <row r="805" spans="1:32" x14ac:dyDescent="0.25">
      <c r="A805" s="90">
        <v>1057</v>
      </c>
      <c r="B805" s="91" t="s">
        <v>1197</v>
      </c>
      <c r="C805" s="29">
        <v>10570009</v>
      </c>
      <c r="D805" s="92" t="s">
        <v>1012</v>
      </c>
      <c r="E805" s="93" t="s">
        <v>270</v>
      </c>
      <c r="F805" s="93" t="s">
        <v>230</v>
      </c>
      <c r="G805" s="109">
        <v>1291.8999999999999</v>
      </c>
      <c r="H805" s="109">
        <v>51839.240000000005</v>
      </c>
      <c r="I805" s="95">
        <v>0</v>
      </c>
      <c r="J805" s="95">
        <v>0</v>
      </c>
      <c r="K805" s="95">
        <v>0</v>
      </c>
      <c r="L805" s="95">
        <v>0</v>
      </c>
      <c r="M805" s="96">
        <v>221</v>
      </c>
      <c r="N805" s="97">
        <v>0</v>
      </c>
      <c r="O805" s="98">
        <v>0</v>
      </c>
      <c r="P805" s="33"/>
      <c r="Q805" s="99" t="s">
        <v>1198</v>
      </c>
      <c r="R805" s="100"/>
      <c r="S805" s="101">
        <v>4.2629868802089924E-3</v>
      </c>
      <c r="T805" s="102">
        <v>7</v>
      </c>
      <c r="U805" s="103">
        <v>0</v>
      </c>
      <c r="V805" s="103">
        <v>0</v>
      </c>
      <c r="W805" s="104">
        <v>0</v>
      </c>
      <c r="X805" s="19"/>
      <c r="Y805" s="103">
        <v>0</v>
      </c>
      <c r="Z805" s="103">
        <v>0</v>
      </c>
      <c r="AA805" s="105">
        <v>0</v>
      </c>
      <c r="AB805" s="106">
        <v>0</v>
      </c>
      <c r="AC805" s="105">
        <v>0</v>
      </c>
      <c r="AD805" s="104">
        <v>0</v>
      </c>
      <c r="AE805" s="104">
        <v>0</v>
      </c>
      <c r="AF805" s="107">
        <v>46265</v>
      </c>
    </row>
    <row r="806" spans="1:32" x14ac:dyDescent="0.25">
      <c r="A806" s="90">
        <v>1057</v>
      </c>
      <c r="B806" s="91" t="s">
        <v>1197</v>
      </c>
      <c r="C806" s="29">
        <v>10570010</v>
      </c>
      <c r="D806" s="92" t="s">
        <v>1013</v>
      </c>
      <c r="E806" s="93" t="s">
        <v>275</v>
      </c>
      <c r="F806" s="93" t="s">
        <v>231</v>
      </c>
      <c r="G806" s="109">
        <v>61.5</v>
      </c>
      <c r="H806" s="109">
        <v>2239.83</v>
      </c>
      <c r="I806" s="95">
        <v>0</v>
      </c>
      <c r="J806" s="95">
        <v>0</v>
      </c>
      <c r="K806" s="95">
        <v>0</v>
      </c>
      <c r="L806" s="95">
        <v>0</v>
      </c>
      <c r="M806" s="96">
        <v>0</v>
      </c>
      <c r="N806" s="97">
        <v>0</v>
      </c>
      <c r="O806" s="98">
        <v>0</v>
      </c>
      <c r="P806" s="33"/>
      <c r="Q806" s="99" t="s">
        <v>1198</v>
      </c>
      <c r="R806" s="100"/>
      <c r="S806" s="101">
        <v>0</v>
      </c>
      <c r="T806" s="102">
        <v>0</v>
      </c>
      <c r="U806" s="103">
        <v>0</v>
      </c>
      <c r="V806" s="103">
        <v>0</v>
      </c>
      <c r="W806" s="104">
        <v>0</v>
      </c>
      <c r="X806" s="19"/>
      <c r="Y806" s="103">
        <v>0</v>
      </c>
      <c r="Z806" s="103">
        <v>0</v>
      </c>
      <c r="AA806" s="105">
        <v>0</v>
      </c>
      <c r="AB806" s="106">
        <v>0</v>
      </c>
      <c r="AC806" s="105">
        <v>0</v>
      </c>
      <c r="AD806" s="104">
        <v>0</v>
      </c>
      <c r="AE806" s="104">
        <v>0</v>
      </c>
      <c r="AF806" s="107">
        <v>46265</v>
      </c>
    </row>
    <row r="807" spans="1:32" x14ac:dyDescent="0.25">
      <c r="A807" s="90">
        <v>1057</v>
      </c>
      <c r="B807" s="91" t="s">
        <v>1197</v>
      </c>
      <c r="C807" s="29">
        <v>10570013</v>
      </c>
      <c r="D807" s="92" t="s">
        <v>1014</v>
      </c>
      <c r="E807" s="93" t="s">
        <v>275</v>
      </c>
      <c r="F807" s="93" t="s">
        <v>231</v>
      </c>
      <c r="G807" s="109">
        <v>1264.8999999999999</v>
      </c>
      <c r="H807" s="109">
        <v>46273.55</v>
      </c>
      <c r="I807" s="95">
        <v>0</v>
      </c>
      <c r="J807" s="95">
        <v>0</v>
      </c>
      <c r="K807" s="95">
        <v>0</v>
      </c>
      <c r="L807" s="95">
        <v>0</v>
      </c>
      <c r="M807" s="96">
        <v>0</v>
      </c>
      <c r="N807" s="97">
        <v>0</v>
      </c>
      <c r="O807" s="98">
        <v>0</v>
      </c>
      <c r="P807" s="33"/>
      <c r="Q807" s="99" t="s">
        <v>1198</v>
      </c>
      <c r="R807" s="100"/>
      <c r="S807" s="101">
        <v>0</v>
      </c>
      <c r="T807" s="102">
        <v>0</v>
      </c>
      <c r="U807" s="103">
        <v>0</v>
      </c>
      <c r="V807" s="103">
        <v>0</v>
      </c>
      <c r="W807" s="104">
        <v>0</v>
      </c>
      <c r="X807" s="19"/>
      <c r="Y807" s="103">
        <v>0</v>
      </c>
      <c r="Z807" s="103">
        <v>0</v>
      </c>
      <c r="AA807" s="105">
        <v>0</v>
      </c>
      <c r="AB807" s="106">
        <v>0</v>
      </c>
      <c r="AC807" s="105">
        <v>0</v>
      </c>
      <c r="AD807" s="104">
        <v>0</v>
      </c>
      <c r="AE807" s="104">
        <v>0</v>
      </c>
      <c r="AF807" s="107">
        <v>46265</v>
      </c>
    </row>
    <row r="808" spans="1:32" x14ac:dyDescent="0.25">
      <c r="A808" s="90">
        <v>1063</v>
      </c>
      <c r="B808" s="91" t="s">
        <v>1196</v>
      </c>
      <c r="C808" s="29">
        <v>10570017</v>
      </c>
      <c r="D808" s="92" t="s">
        <v>1015</v>
      </c>
      <c r="E808" s="93" t="s">
        <v>270</v>
      </c>
      <c r="F808" s="93" t="s">
        <v>230</v>
      </c>
      <c r="G808" s="109">
        <v>250.50000000000003</v>
      </c>
      <c r="H808" s="109">
        <v>11896.44</v>
      </c>
      <c r="I808" s="95">
        <v>0</v>
      </c>
      <c r="J808" s="95">
        <v>0</v>
      </c>
      <c r="K808" s="95">
        <v>500</v>
      </c>
      <c r="L808" s="95">
        <v>0</v>
      </c>
      <c r="M808" s="96">
        <v>74</v>
      </c>
      <c r="N808" s="97">
        <v>0</v>
      </c>
      <c r="O808" s="98">
        <v>0</v>
      </c>
      <c r="P808" s="33"/>
      <c r="Q808" s="99" t="s">
        <v>1198</v>
      </c>
      <c r="R808" s="100"/>
      <c r="S808" s="101">
        <v>6.2909576310225552E-3</v>
      </c>
      <c r="T808" s="102">
        <v>12</v>
      </c>
      <c r="U808" s="103">
        <v>0</v>
      </c>
      <c r="V808" s="103">
        <v>0</v>
      </c>
      <c r="W808" s="104">
        <v>0</v>
      </c>
      <c r="X808" s="19"/>
      <c r="Y808" s="103">
        <v>500</v>
      </c>
      <c r="Z808" s="103">
        <v>0</v>
      </c>
      <c r="AA808" s="105">
        <v>0</v>
      </c>
      <c r="AB808" s="106">
        <v>500</v>
      </c>
      <c r="AC808" s="105">
        <v>500</v>
      </c>
      <c r="AD808" s="104">
        <v>0</v>
      </c>
      <c r="AE808" s="104">
        <v>0</v>
      </c>
      <c r="AF808" s="107">
        <v>46265</v>
      </c>
    </row>
    <row r="809" spans="1:32" x14ac:dyDescent="0.25">
      <c r="A809" s="90">
        <v>1057</v>
      </c>
      <c r="B809" s="91" t="s">
        <v>1197</v>
      </c>
      <c r="C809" s="29">
        <v>10570019</v>
      </c>
      <c r="D809" s="92" t="s">
        <v>1016</v>
      </c>
      <c r="E809" s="93" t="s">
        <v>270</v>
      </c>
      <c r="F809" s="93" t="s">
        <v>230</v>
      </c>
      <c r="G809" s="109">
        <v>650.80000000000007</v>
      </c>
      <c r="H809" s="109">
        <v>30650.41</v>
      </c>
      <c r="I809" s="95">
        <v>0</v>
      </c>
      <c r="J809" s="95">
        <v>0</v>
      </c>
      <c r="K809" s="95">
        <v>0</v>
      </c>
      <c r="L809" s="95">
        <v>0</v>
      </c>
      <c r="M809" s="96">
        <v>104</v>
      </c>
      <c r="N809" s="97">
        <v>0</v>
      </c>
      <c r="O809" s="98">
        <v>-2</v>
      </c>
      <c r="P809" s="33"/>
      <c r="Q809" s="99" t="s">
        <v>1198</v>
      </c>
      <c r="R809" s="100"/>
      <c r="S809" s="101">
        <v>3.4501985454679519E-3</v>
      </c>
      <c r="T809" s="102">
        <v>19</v>
      </c>
      <c r="U809" s="103">
        <v>0</v>
      </c>
      <c r="V809" s="103">
        <v>0</v>
      </c>
      <c r="W809" s="104">
        <v>0</v>
      </c>
      <c r="X809" s="19"/>
      <c r="Y809" s="103">
        <v>0</v>
      </c>
      <c r="Z809" s="103">
        <v>0</v>
      </c>
      <c r="AA809" s="105">
        <v>0</v>
      </c>
      <c r="AB809" s="106">
        <v>0</v>
      </c>
      <c r="AC809" s="105">
        <v>0</v>
      </c>
      <c r="AD809" s="104">
        <v>0</v>
      </c>
      <c r="AE809" s="104">
        <v>0</v>
      </c>
      <c r="AF809" s="107">
        <v>46265</v>
      </c>
    </row>
    <row r="810" spans="1:32" x14ac:dyDescent="0.25">
      <c r="A810" s="90">
        <v>1057</v>
      </c>
      <c r="B810" s="91" t="s">
        <v>1197</v>
      </c>
      <c r="C810" s="29">
        <v>10570020</v>
      </c>
      <c r="D810" s="92" t="s">
        <v>1017</v>
      </c>
      <c r="E810" s="93" t="s">
        <v>270</v>
      </c>
      <c r="F810" s="93" t="s">
        <v>230</v>
      </c>
      <c r="G810" s="109">
        <v>796.9</v>
      </c>
      <c r="H810" s="109">
        <v>36133.019999999997</v>
      </c>
      <c r="I810" s="95">
        <v>0</v>
      </c>
      <c r="J810" s="95">
        <v>0</v>
      </c>
      <c r="K810" s="95">
        <v>0</v>
      </c>
      <c r="L810" s="95">
        <v>0</v>
      </c>
      <c r="M810" s="96">
        <v>71</v>
      </c>
      <c r="N810" s="97">
        <v>0</v>
      </c>
      <c r="O810" s="98">
        <v>0</v>
      </c>
      <c r="P810" s="33"/>
      <c r="Q810" s="99" t="s">
        <v>1198</v>
      </c>
      <c r="R810" s="100"/>
      <c r="S810" s="101">
        <v>1.967729240456473E-3</v>
      </c>
      <c r="T810" s="102">
        <v>2</v>
      </c>
      <c r="U810" s="103">
        <v>0</v>
      </c>
      <c r="V810" s="103">
        <v>0</v>
      </c>
      <c r="W810" s="104">
        <v>0</v>
      </c>
      <c r="X810" s="19"/>
      <c r="Y810" s="103">
        <v>0</v>
      </c>
      <c r="Z810" s="103">
        <v>0</v>
      </c>
      <c r="AA810" s="105">
        <v>0</v>
      </c>
      <c r="AB810" s="106">
        <v>0</v>
      </c>
      <c r="AC810" s="105">
        <v>0</v>
      </c>
      <c r="AD810" s="104">
        <v>0</v>
      </c>
      <c r="AE810" s="104">
        <v>0</v>
      </c>
      <c r="AF810" s="107">
        <v>46265</v>
      </c>
    </row>
    <row r="811" spans="1:32" x14ac:dyDescent="0.25">
      <c r="A811" s="90">
        <v>1057</v>
      </c>
      <c r="B811" s="91" t="s">
        <v>1197</v>
      </c>
      <c r="C811" s="29">
        <v>10570021</v>
      </c>
      <c r="D811" s="92" t="s">
        <v>1018</v>
      </c>
      <c r="E811" s="93" t="s">
        <v>270</v>
      </c>
      <c r="F811" s="93" t="s">
        <v>230</v>
      </c>
      <c r="G811" s="109">
        <v>513.79999999999995</v>
      </c>
      <c r="H811" s="109">
        <v>19749.580000000002</v>
      </c>
      <c r="I811" s="95">
        <v>0</v>
      </c>
      <c r="J811" s="95">
        <v>0</v>
      </c>
      <c r="K811" s="95">
        <v>0</v>
      </c>
      <c r="L811" s="95">
        <v>0</v>
      </c>
      <c r="M811" s="96">
        <v>6</v>
      </c>
      <c r="N811" s="97">
        <v>0</v>
      </c>
      <c r="O811" s="98">
        <v>-1</v>
      </c>
      <c r="P811" s="33"/>
      <c r="Q811" s="99" t="s">
        <v>1198</v>
      </c>
      <c r="R811" s="100"/>
      <c r="S811" s="101">
        <v>3.2456386414311046E-4</v>
      </c>
      <c r="T811" s="102">
        <v>9</v>
      </c>
      <c r="U811" s="103">
        <v>0</v>
      </c>
      <c r="V811" s="103">
        <v>0</v>
      </c>
      <c r="W811" s="104">
        <v>0</v>
      </c>
      <c r="X811" s="19"/>
      <c r="Y811" s="103">
        <v>0</v>
      </c>
      <c r="Z811" s="103">
        <v>0</v>
      </c>
      <c r="AA811" s="105">
        <v>0</v>
      </c>
      <c r="AB811" s="106">
        <v>0</v>
      </c>
      <c r="AC811" s="105">
        <v>0</v>
      </c>
      <c r="AD811" s="104">
        <v>0</v>
      </c>
      <c r="AE811" s="104">
        <v>0</v>
      </c>
      <c r="AF811" s="107">
        <v>46265</v>
      </c>
    </row>
    <row r="812" spans="1:32" x14ac:dyDescent="0.25">
      <c r="A812" s="90">
        <v>1057</v>
      </c>
      <c r="B812" s="91" t="s">
        <v>1197</v>
      </c>
      <c r="C812" s="29">
        <v>10570022</v>
      </c>
      <c r="D812" s="92" t="s">
        <v>1019</v>
      </c>
      <c r="E812" s="93" t="s">
        <v>275</v>
      </c>
      <c r="F812" s="93" t="s">
        <v>231</v>
      </c>
      <c r="G812" s="109">
        <v>51.6</v>
      </c>
      <c r="H812" s="109">
        <v>2735.98</v>
      </c>
      <c r="I812" s="95">
        <v>0</v>
      </c>
      <c r="J812" s="95">
        <v>0</v>
      </c>
      <c r="K812" s="95">
        <v>0</v>
      </c>
      <c r="L812" s="95">
        <v>0</v>
      </c>
      <c r="M812" s="96">
        <v>0</v>
      </c>
      <c r="N812" s="97">
        <v>0</v>
      </c>
      <c r="O812" s="98">
        <v>0</v>
      </c>
      <c r="P812" s="33"/>
      <c r="Q812" s="99" t="s">
        <v>1198</v>
      </c>
      <c r="R812" s="100"/>
      <c r="S812" s="101">
        <v>0</v>
      </c>
      <c r="T812" s="102">
        <v>0</v>
      </c>
      <c r="U812" s="103">
        <v>0</v>
      </c>
      <c r="V812" s="103">
        <v>0</v>
      </c>
      <c r="W812" s="104">
        <v>0</v>
      </c>
      <c r="X812" s="19"/>
      <c r="Y812" s="103">
        <v>0</v>
      </c>
      <c r="Z812" s="103">
        <v>0</v>
      </c>
      <c r="AA812" s="105">
        <v>0</v>
      </c>
      <c r="AB812" s="106">
        <v>0</v>
      </c>
      <c r="AC812" s="105">
        <v>0</v>
      </c>
      <c r="AD812" s="104">
        <v>0</v>
      </c>
      <c r="AE812" s="104">
        <v>0</v>
      </c>
      <c r="AF812" s="107">
        <v>46265</v>
      </c>
    </row>
    <row r="813" spans="1:32" x14ac:dyDescent="0.25">
      <c r="A813" s="90">
        <v>1057</v>
      </c>
      <c r="B813" s="91" t="s">
        <v>1197</v>
      </c>
      <c r="C813" s="29">
        <v>10570023</v>
      </c>
      <c r="D813" s="92" t="s">
        <v>1020</v>
      </c>
      <c r="E813" s="93" t="s">
        <v>275</v>
      </c>
      <c r="F813" s="93" t="s">
        <v>231</v>
      </c>
      <c r="G813" s="109">
        <v>76.600000000000009</v>
      </c>
      <c r="H813" s="109">
        <v>3254.66</v>
      </c>
      <c r="I813" s="95">
        <v>0</v>
      </c>
      <c r="J813" s="95">
        <v>0</v>
      </c>
      <c r="K813" s="95">
        <v>0</v>
      </c>
      <c r="L813" s="95">
        <v>0</v>
      </c>
      <c r="M813" s="96">
        <v>0</v>
      </c>
      <c r="N813" s="97">
        <v>0</v>
      </c>
      <c r="O813" s="98">
        <v>0</v>
      </c>
      <c r="P813" s="33"/>
      <c r="Q813" s="99" t="s">
        <v>1198</v>
      </c>
      <c r="R813" s="100"/>
      <c r="S813" s="101">
        <v>0</v>
      </c>
      <c r="T813" s="102">
        <v>0</v>
      </c>
      <c r="U813" s="103">
        <v>0</v>
      </c>
      <c r="V813" s="103">
        <v>0</v>
      </c>
      <c r="W813" s="104">
        <v>0</v>
      </c>
      <c r="X813" s="19"/>
      <c r="Y813" s="103">
        <v>0</v>
      </c>
      <c r="Z813" s="103">
        <v>0</v>
      </c>
      <c r="AA813" s="105">
        <v>0</v>
      </c>
      <c r="AB813" s="106">
        <v>0</v>
      </c>
      <c r="AC813" s="105">
        <v>0</v>
      </c>
      <c r="AD813" s="104">
        <v>0</v>
      </c>
      <c r="AE813" s="104">
        <v>0</v>
      </c>
      <c r="AF813" s="107">
        <v>46265</v>
      </c>
    </row>
    <row r="814" spans="1:32" x14ac:dyDescent="0.25">
      <c r="A814" s="90">
        <v>1057</v>
      </c>
      <c r="B814" s="91" t="s">
        <v>1197</v>
      </c>
      <c r="C814" s="29">
        <v>10570024</v>
      </c>
      <c r="D814" s="92" t="s">
        <v>1021</v>
      </c>
      <c r="E814" s="93" t="s">
        <v>275</v>
      </c>
      <c r="F814" s="93" t="s">
        <v>231</v>
      </c>
      <c r="G814" s="109">
        <v>565.6</v>
      </c>
      <c r="H814" s="109">
        <v>21487.459999999995</v>
      </c>
      <c r="I814" s="95">
        <v>0</v>
      </c>
      <c r="J814" s="95">
        <v>0</v>
      </c>
      <c r="K814" s="95">
        <v>0</v>
      </c>
      <c r="L814" s="95">
        <v>0</v>
      </c>
      <c r="M814" s="96">
        <v>0</v>
      </c>
      <c r="N814" s="97">
        <v>0</v>
      </c>
      <c r="O814" s="98">
        <v>0</v>
      </c>
      <c r="P814" s="33"/>
      <c r="Q814" s="99" t="s">
        <v>1198</v>
      </c>
      <c r="R814" s="100"/>
      <c r="S814" s="101">
        <v>0</v>
      </c>
      <c r="T814" s="102">
        <v>0</v>
      </c>
      <c r="U814" s="103">
        <v>0</v>
      </c>
      <c r="V814" s="103">
        <v>0</v>
      </c>
      <c r="W814" s="104">
        <v>0</v>
      </c>
      <c r="X814" s="19"/>
      <c r="Y814" s="103">
        <v>0</v>
      </c>
      <c r="Z814" s="103">
        <v>0</v>
      </c>
      <c r="AA814" s="105">
        <v>0</v>
      </c>
      <c r="AB814" s="106">
        <v>0</v>
      </c>
      <c r="AC814" s="105">
        <v>0</v>
      </c>
      <c r="AD814" s="104">
        <v>0</v>
      </c>
      <c r="AE814" s="104">
        <v>0</v>
      </c>
      <c r="AF814" s="107">
        <v>46265</v>
      </c>
    </row>
    <row r="815" spans="1:32" x14ac:dyDescent="0.25">
      <c r="A815" s="90">
        <v>1057</v>
      </c>
      <c r="B815" s="91" t="s">
        <v>1197</v>
      </c>
      <c r="C815" s="29">
        <v>10570025</v>
      </c>
      <c r="D815" s="92" t="s">
        <v>1022</v>
      </c>
      <c r="E815" s="93" t="s">
        <v>275</v>
      </c>
      <c r="F815" s="93" t="s">
        <v>231</v>
      </c>
      <c r="G815" s="109">
        <v>794.80000000000007</v>
      </c>
      <c r="H815" s="109">
        <v>30711.57</v>
      </c>
      <c r="I815" s="95">
        <v>0</v>
      </c>
      <c r="J815" s="95">
        <v>0</v>
      </c>
      <c r="K815" s="95">
        <v>0</v>
      </c>
      <c r="L815" s="95">
        <v>0</v>
      </c>
      <c r="M815" s="96">
        <v>0</v>
      </c>
      <c r="N815" s="97">
        <v>0</v>
      </c>
      <c r="O815" s="98">
        <v>0</v>
      </c>
      <c r="P815" s="33"/>
      <c r="Q815" s="99" t="s">
        <v>1198</v>
      </c>
      <c r="R815" s="100"/>
      <c r="S815" s="101">
        <v>0</v>
      </c>
      <c r="T815" s="102">
        <v>0</v>
      </c>
      <c r="U815" s="103">
        <v>0</v>
      </c>
      <c r="V815" s="103">
        <v>0</v>
      </c>
      <c r="W815" s="104">
        <v>0</v>
      </c>
      <c r="X815" s="19"/>
      <c r="Y815" s="103">
        <v>0</v>
      </c>
      <c r="Z815" s="103">
        <v>0</v>
      </c>
      <c r="AA815" s="105">
        <v>0</v>
      </c>
      <c r="AB815" s="106">
        <v>0</v>
      </c>
      <c r="AC815" s="105">
        <v>0</v>
      </c>
      <c r="AD815" s="104">
        <v>0</v>
      </c>
      <c r="AE815" s="104">
        <v>0</v>
      </c>
      <c r="AF815" s="107">
        <v>46265</v>
      </c>
    </row>
    <row r="816" spans="1:32" x14ac:dyDescent="0.25">
      <c r="A816" s="90">
        <v>1057</v>
      </c>
      <c r="B816" s="91" t="s">
        <v>1197</v>
      </c>
      <c r="C816" s="29">
        <v>10570028</v>
      </c>
      <c r="D816" s="92" t="s">
        <v>1023</v>
      </c>
      <c r="E816" s="93" t="s">
        <v>270</v>
      </c>
      <c r="F816" s="93" t="s">
        <v>230</v>
      </c>
      <c r="G816" s="109">
        <v>312.79999999999995</v>
      </c>
      <c r="H816" s="109">
        <v>12191.189999999999</v>
      </c>
      <c r="I816" s="95">
        <v>0</v>
      </c>
      <c r="J816" s="95">
        <v>0</v>
      </c>
      <c r="K816" s="95">
        <v>0</v>
      </c>
      <c r="L816" s="95">
        <v>0</v>
      </c>
      <c r="M816" s="96">
        <v>79</v>
      </c>
      <c r="N816" s="97">
        <v>0</v>
      </c>
      <c r="O816" s="98">
        <v>1</v>
      </c>
      <c r="P816" s="33"/>
      <c r="Q816" s="99" t="s">
        <v>1198</v>
      </c>
      <c r="R816" s="100"/>
      <c r="S816" s="101">
        <v>6.4046249791856347E-3</v>
      </c>
      <c r="T816" s="102">
        <v>14</v>
      </c>
      <c r="U816" s="103">
        <v>0</v>
      </c>
      <c r="V816" s="103">
        <v>0</v>
      </c>
      <c r="W816" s="104">
        <v>0</v>
      </c>
      <c r="X816" s="19"/>
      <c r="Y816" s="103">
        <v>0</v>
      </c>
      <c r="Z816" s="103">
        <v>0</v>
      </c>
      <c r="AA816" s="105">
        <v>0</v>
      </c>
      <c r="AB816" s="106">
        <v>0</v>
      </c>
      <c r="AC816" s="105">
        <v>0</v>
      </c>
      <c r="AD816" s="104">
        <v>0</v>
      </c>
      <c r="AE816" s="104">
        <v>0</v>
      </c>
      <c r="AF816" s="107">
        <v>46265</v>
      </c>
    </row>
    <row r="817" spans="1:32" x14ac:dyDescent="0.25">
      <c r="A817" s="90">
        <v>1057</v>
      </c>
      <c r="B817" s="91" t="s">
        <v>1197</v>
      </c>
      <c r="C817" s="29">
        <v>10570029</v>
      </c>
      <c r="D817" s="92" t="s">
        <v>1024</v>
      </c>
      <c r="E817" s="93" t="s">
        <v>270</v>
      </c>
      <c r="F817" s="93" t="s">
        <v>230</v>
      </c>
      <c r="G817" s="109">
        <v>111.3</v>
      </c>
      <c r="H817" s="109">
        <v>4914.57</v>
      </c>
      <c r="I817" s="95">
        <v>0</v>
      </c>
      <c r="J817" s="95">
        <v>0</v>
      </c>
      <c r="K817" s="95">
        <v>0</v>
      </c>
      <c r="L817" s="95">
        <v>0</v>
      </c>
      <c r="M817" s="96">
        <v>4506</v>
      </c>
      <c r="N817" s="97" t="s">
        <v>285</v>
      </c>
      <c r="O817" s="98">
        <v>4471</v>
      </c>
      <c r="P817" s="33" t="s">
        <v>1025</v>
      </c>
      <c r="Q817" s="99" t="s">
        <v>1198</v>
      </c>
      <c r="R817" s="100"/>
      <c r="S817" s="101">
        <v>7.0748814240105505E-3</v>
      </c>
      <c r="T817" s="102">
        <v>11</v>
      </c>
      <c r="U817" s="103">
        <v>0</v>
      </c>
      <c r="V817" s="103">
        <v>0</v>
      </c>
      <c r="W817" s="104">
        <v>0</v>
      </c>
      <c r="X817" s="19"/>
      <c r="Y817" s="103">
        <v>0</v>
      </c>
      <c r="Z817" s="103">
        <v>0</v>
      </c>
      <c r="AA817" s="105">
        <v>0</v>
      </c>
      <c r="AB817" s="106">
        <v>0</v>
      </c>
      <c r="AC817" s="105">
        <v>0</v>
      </c>
      <c r="AD817" s="104">
        <v>0</v>
      </c>
      <c r="AE817" s="104">
        <v>0</v>
      </c>
      <c r="AF817" s="107">
        <v>46265</v>
      </c>
    </row>
    <row r="818" spans="1:32" x14ac:dyDescent="0.25">
      <c r="A818" s="90">
        <v>1057</v>
      </c>
      <c r="B818" s="91" t="s">
        <v>1197</v>
      </c>
      <c r="C818" s="29">
        <v>10570030</v>
      </c>
      <c r="D818" s="92" t="s">
        <v>1026</v>
      </c>
      <c r="E818" s="93" t="s">
        <v>270</v>
      </c>
      <c r="F818" s="93" t="s">
        <v>230</v>
      </c>
      <c r="G818" s="109">
        <v>443.00000000000006</v>
      </c>
      <c r="H818" s="109">
        <v>17252.400000000001</v>
      </c>
      <c r="I818" s="95">
        <v>0</v>
      </c>
      <c r="J818" s="95">
        <v>1091</v>
      </c>
      <c r="K818" s="95">
        <v>0</v>
      </c>
      <c r="L818" s="95">
        <v>0</v>
      </c>
      <c r="M818" s="96">
        <v>1</v>
      </c>
      <c r="N818" s="97" t="s">
        <v>331</v>
      </c>
      <c r="O818" s="98">
        <v>1</v>
      </c>
      <c r="P818" s="33" t="s">
        <v>332</v>
      </c>
      <c r="Q818" s="99" t="s">
        <v>1198</v>
      </c>
      <c r="R818" s="100"/>
      <c r="S818" s="101">
        <v>-3.8556954394751127E-3</v>
      </c>
      <c r="T818" s="102">
        <v>7</v>
      </c>
      <c r="U818" s="103">
        <v>1091</v>
      </c>
      <c r="V818" s="103">
        <v>1091</v>
      </c>
      <c r="W818" s="104">
        <v>0</v>
      </c>
      <c r="X818" s="19"/>
      <c r="Y818" s="103">
        <v>0</v>
      </c>
      <c r="Z818" s="103">
        <v>0</v>
      </c>
      <c r="AA818" s="105">
        <v>0</v>
      </c>
      <c r="AB818" s="106">
        <v>0</v>
      </c>
      <c r="AC818" s="105">
        <v>0</v>
      </c>
      <c r="AD818" s="104">
        <v>0</v>
      </c>
      <c r="AE818" s="104">
        <v>0</v>
      </c>
      <c r="AF818" s="107">
        <v>46265</v>
      </c>
    </row>
    <row r="819" spans="1:32" x14ac:dyDescent="0.25">
      <c r="A819" s="90">
        <v>1057</v>
      </c>
      <c r="B819" s="91" t="s">
        <v>1197</v>
      </c>
      <c r="C819" s="29">
        <v>10570032</v>
      </c>
      <c r="D819" s="92" t="s">
        <v>1027</v>
      </c>
      <c r="E819" s="93" t="s">
        <v>275</v>
      </c>
      <c r="F819" s="93" t="s">
        <v>231</v>
      </c>
      <c r="G819" s="109">
        <v>490.99999999999994</v>
      </c>
      <c r="H819" s="109">
        <v>21074.28</v>
      </c>
      <c r="I819" s="95">
        <v>0</v>
      </c>
      <c r="J819" s="95">
        <v>0</v>
      </c>
      <c r="K819" s="95">
        <v>0</v>
      </c>
      <c r="L819" s="95">
        <v>0</v>
      </c>
      <c r="M819" s="96">
        <v>0</v>
      </c>
      <c r="N819" s="97">
        <v>0</v>
      </c>
      <c r="O819" s="98">
        <v>0</v>
      </c>
      <c r="P819" s="33"/>
      <c r="Q819" s="99" t="s">
        <v>1198</v>
      </c>
      <c r="R819" s="100"/>
      <c r="S819" s="101">
        <v>0</v>
      </c>
      <c r="T819" s="102">
        <v>0</v>
      </c>
      <c r="U819" s="103">
        <v>0</v>
      </c>
      <c r="V819" s="103">
        <v>0</v>
      </c>
      <c r="W819" s="104">
        <v>0</v>
      </c>
      <c r="X819" s="19"/>
      <c r="Y819" s="103">
        <v>0</v>
      </c>
      <c r="Z819" s="103">
        <v>0</v>
      </c>
      <c r="AA819" s="105">
        <v>0</v>
      </c>
      <c r="AB819" s="106">
        <v>0</v>
      </c>
      <c r="AC819" s="105">
        <v>0</v>
      </c>
      <c r="AD819" s="104">
        <v>0</v>
      </c>
      <c r="AE819" s="104">
        <v>0</v>
      </c>
      <c r="AF819" s="107">
        <v>46265</v>
      </c>
    </row>
    <row r="820" spans="1:32" x14ac:dyDescent="0.25">
      <c r="A820" s="90">
        <v>1057</v>
      </c>
      <c r="B820" s="91" t="s">
        <v>1197</v>
      </c>
      <c r="C820" s="29">
        <v>10570036</v>
      </c>
      <c r="D820" s="92" t="s">
        <v>1028</v>
      </c>
      <c r="E820" s="93" t="s">
        <v>270</v>
      </c>
      <c r="F820" s="93" t="s">
        <v>230</v>
      </c>
      <c r="G820" s="109">
        <v>303.59999999999997</v>
      </c>
      <c r="H820" s="109">
        <v>13392.189999999999</v>
      </c>
      <c r="I820" s="95">
        <v>0</v>
      </c>
      <c r="J820" s="95">
        <v>0</v>
      </c>
      <c r="K820" s="95">
        <v>0</v>
      </c>
      <c r="L820" s="95">
        <v>0</v>
      </c>
      <c r="M820" s="96">
        <v>219</v>
      </c>
      <c r="N820" s="97">
        <v>0</v>
      </c>
      <c r="O820" s="98">
        <v>-1</v>
      </c>
      <c r="P820" s="33"/>
      <c r="Q820" s="99" t="s">
        <v>1198</v>
      </c>
      <c r="R820" s="100"/>
      <c r="S820" s="101">
        <v>1.6475274021649888E-2</v>
      </c>
      <c r="T820" s="102">
        <v>10</v>
      </c>
      <c r="U820" s="103">
        <v>0</v>
      </c>
      <c r="V820" s="103">
        <v>0</v>
      </c>
      <c r="W820" s="104">
        <v>0</v>
      </c>
      <c r="X820" s="19"/>
      <c r="Y820" s="103">
        <v>0</v>
      </c>
      <c r="Z820" s="103">
        <v>0</v>
      </c>
      <c r="AA820" s="105">
        <v>0</v>
      </c>
      <c r="AB820" s="106">
        <v>0</v>
      </c>
      <c r="AC820" s="105">
        <v>0</v>
      </c>
      <c r="AD820" s="104">
        <v>0</v>
      </c>
      <c r="AE820" s="104">
        <v>0</v>
      </c>
      <c r="AF820" s="107">
        <v>46265</v>
      </c>
    </row>
    <row r="821" spans="1:32" x14ac:dyDescent="0.25">
      <c r="A821" s="90">
        <v>1057</v>
      </c>
      <c r="B821" s="91" t="s">
        <v>1197</v>
      </c>
      <c r="C821" s="29">
        <v>10570037</v>
      </c>
      <c r="D821" s="92" t="s">
        <v>1029</v>
      </c>
      <c r="E821" s="93" t="s">
        <v>275</v>
      </c>
      <c r="F821" s="93" t="s">
        <v>231</v>
      </c>
      <c r="G821" s="109">
        <v>131.10000000000002</v>
      </c>
      <c r="H821" s="109">
        <v>5070.2699999999995</v>
      </c>
      <c r="I821" s="95">
        <v>0</v>
      </c>
      <c r="J821" s="95">
        <v>0</v>
      </c>
      <c r="K821" s="95">
        <v>0</v>
      </c>
      <c r="L821" s="95">
        <v>0</v>
      </c>
      <c r="M821" s="96">
        <v>0</v>
      </c>
      <c r="N821" s="97">
        <v>0</v>
      </c>
      <c r="O821" s="98">
        <v>0</v>
      </c>
      <c r="P821" s="33"/>
      <c r="Q821" s="99" t="s">
        <v>1198</v>
      </c>
      <c r="R821" s="100"/>
      <c r="S821" s="101">
        <v>0</v>
      </c>
      <c r="T821" s="102">
        <v>0</v>
      </c>
      <c r="U821" s="103">
        <v>0</v>
      </c>
      <c r="V821" s="103">
        <v>0</v>
      </c>
      <c r="W821" s="104">
        <v>0</v>
      </c>
      <c r="X821" s="19"/>
      <c r="Y821" s="103">
        <v>0</v>
      </c>
      <c r="Z821" s="103">
        <v>0</v>
      </c>
      <c r="AA821" s="105">
        <v>0</v>
      </c>
      <c r="AB821" s="106">
        <v>0</v>
      </c>
      <c r="AC821" s="105">
        <v>0</v>
      </c>
      <c r="AD821" s="104">
        <v>0</v>
      </c>
      <c r="AE821" s="104">
        <v>0</v>
      </c>
      <c r="AF821" s="107">
        <v>46265</v>
      </c>
    </row>
    <row r="822" spans="1:32" x14ac:dyDescent="0.25">
      <c r="A822" s="90">
        <v>1057</v>
      </c>
      <c r="B822" s="91" t="s">
        <v>1197</v>
      </c>
      <c r="C822" s="29">
        <v>10570038</v>
      </c>
      <c r="D822" s="92" t="s">
        <v>1030</v>
      </c>
      <c r="E822" s="93" t="s">
        <v>275</v>
      </c>
      <c r="F822" s="93" t="s">
        <v>231</v>
      </c>
      <c r="G822" s="109">
        <v>49.1</v>
      </c>
      <c r="H822" s="109">
        <v>1848.2</v>
      </c>
      <c r="I822" s="95">
        <v>0</v>
      </c>
      <c r="J822" s="95">
        <v>0</v>
      </c>
      <c r="K822" s="95">
        <v>0</v>
      </c>
      <c r="L822" s="95">
        <v>0</v>
      </c>
      <c r="M822" s="96">
        <v>0</v>
      </c>
      <c r="N822" s="97">
        <v>0</v>
      </c>
      <c r="O822" s="98">
        <v>0</v>
      </c>
      <c r="P822" s="33"/>
      <c r="Q822" s="99" t="s">
        <v>1198</v>
      </c>
      <c r="R822" s="100"/>
      <c r="S822" s="101">
        <v>0</v>
      </c>
      <c r="T822" s="102">
        <v>0</v>
      </c>
      <c r="U822" s="103">
        <v>0</v>
      </c>
      <c r="V822" s="103">
        <v>0</v>
      </c>
      <c r="W822" s="104">
        <v>0</v>
      </c>
      <c r="X822" s="19"/>
      <c r="Y822" s="103">
        <v>0</v>
      </c>
      <c r="Z822" s="103">
        <v>0</v>
      </c>
      <c r="AA822" s="105">
        <v>0</v>
      </c>
      <c r="AB822" s="106">
        <v>0</v>
      </c>
      <c r="AC822" s="105">
        <v>0</v>
      </c>
      <c r="AD822" s="104">
        <v>0</v>
      </c>
      <c r="AE822" s="104">
        <v>0</v>
      </c>
      <c r="AF822" s="107">
        <v>46265</v>
      </c>
    </row>
    <row r="823" spans="1:32" x14ac:dyDescent="0.25">
      <c r="A823" s="90">
        <v>1057</v>
      </c>
      <c r="B823" s="91" t="s">
        <v>1197</v>
      </c>
      <c r="C823" s="29">
        <v>10570042</v>
      </c>
      <c r="D823" s="92" t="s">
        <v>1031</v>
      </c>
      <c r="E823" s="93" t="s">
        <v>270</v>
      </c>
      <c r="F823" s="93" t="s">
        <v>230</v>
      </c>
      <c r="G823" s="109">
        <v>185.8</v>
      </c>
      <c r="H823" s="109">
        <v>7975.9100000000008</v>
      </c>
      <c r="I823" s="95">
        <v>0</v>
      </c>
      <c r="J823" s="95">
        <v>0</v>
      </c>
      <c r="K823" s="95">
        <v>0</v>
      </c>
      <c r="L823" s="95">
        <v>0</v>
      </c>
      <c r="M823" s="96">
        <v>0</v>
      </c>
      <c r="N823" s="97">
        <v>0</v>
      </c>
      <c r="O823" s="98">
        <v>0</v>
      </c>
      <c r="P823" s="33"/>
      <c r="Q823" s="99" t="s">
        <v>1198</v>
      </c>
      <c r="R823" s="100"/>
      <c r="S823" s="101">
        <v>-1.0313556697605577E-2</v>
      </c>
      <c r="T823" s="102">
        <v>7</v>
      </c>
      <c r="U823" s="103">
        <v>0</v>
      </c>
      <c r="V823" s="103">
        <v>0</v>
      </c>
      <c r="W823" s="104">
        <v>0</v>
      </c>
      <c r="X823" s="19"/>
      <c r="Y823" s="103">
        <v>0</v>
      </c>
      <c r="Z823" s="103">
        <v>0</v>
      </c>
      <c r="AA823" s="105">
        <v>0</v>
      </c>
      <c r="AB823" s="106">
        <v>0</v>
      </c>
      <c r="AC823" s="105">
        <v>0</v>
      </c>
      <c r="AD823" s="104">
        <v>0</v>
      </c>
      <c r="AE823" s="104">
        <v>0</v>
      </c>
      <c r="AF823" s="107">
        <v>46265</v>
      </c>
    </row>
    <row r="824" spans="1:32" x14ac:dyDescent="0.25">
      <c r="A824" s="90">
        <v>1057</v>
      </c>
      <c r="B824" s="91" t="s">
        <v>1197</v>
      </c>
      <c r="C824" s="29">
        <v>10570044</v>
      </c>
      <c r="D824" s="92" t="s">
        <v>1032</v>
      </c>
      <c r="E824" s="93" t="s">
        <v>270</v>
      </c>
      <c r="F824" s="93" t="s">
        <v>230</v>
      </c>
      <c r="G824" s="109">
        <v>125.90000000000002</v>
      </c>
      <c r="H824" s="109">
        <v>6019.0099999999993</v>
      </c>
      <c r="I824" s="95">
        <v>0</v>
      </c>
      <c r="J824" s="95">
        <v>0</v>
      </c>
      <c r="K824" s="95">
        <v>0</v>
      </c>
      <c r="L824" s="95">
        <v>0</v>
      </c>
      <c r="M824" s="96">
        <v>0</v>
      </c>
      <c r="N824" s="97">
        <v>0</v>
      </c>
      <c r="O824" s="98">
        <v>0</v>
      </c>
      <c r="P824" s="33"/>
      <c r="Q824" s="99" t="s">
        <v>1198</v>
      </c>
      <c r="R824" s="100"/>
      <c r="S824" s="101">
        <v>-3.8627614840315789E-3</v>
      </c>
      <c r="T824" s="102">
        <v>12</v>
      </c>
      <c r="U824" s="103">
        <v>0</v>
      </c>
      <c r="V824" s="103">
        <v>0</v>
      </c>
      <c r="W824" s="104">
        <v>0</v>
      </c>
      <c r="X824" s="19"/>
      <c r="Y824" s="103">
        <v>0</v>
      </c>
      <c r="Z824" s="103">
        <v>0</v>
      </c>
      <c r="AA824" s="105">
        <v>0</v>
      </c>
      <c r="AB824" s="106">
        <v>0</v>
      </c>
      <c r="AC824" s="105">
        <v>0</v>
      </c>
      <c r="AD824" s="104">
        <v>0</v>
      </c>
      <c r="AE824" s="104">
        <v>0</v>
      </c>
      <c r="AF824" s="107">
        <v>46265</v>
      </c>
    </row>
    <row r="825" spans="1:32" x14ac:dyDescent="0.25">
      <c r="A825" s="90">
        <v>1057</v>
      </c>
      <c r="B825" s="91" t="s">
        <v>1197</v>
      </c>
      <c r="C825" s="29">
        <v>10570045</v>
      </c>
      <c r="D825" s="92" t="s">
        <v>1033</v>
      </c>
      <c r="E825" s="93" t="s">
        <v>270</v>
      </c>
      <c r="F825" s="93" t="s">
        <v>230</v>
      </c>
      <c r="G825" s="109">
        <v>1004.9</v>
      </c>
      <c r="H825" s="109">
        <v>40167.03</v>
      </c>
      <c r="I825" s="95">
        <v>0</v>
      </c>
      <c r="J825" s="95">
        <v>0</v>
      </c>
      <c r="K825" s="95">
        <v>0</v>
      </c>
      <c r="L825" s="95">
        <v>0</v>
      </c>
      <c r="M825" s="96">
        <v>124</v>
      </c>
      <c r="N825" s="97">
        <v>0</v>
      </c>
      <c r="O825" s="98">
        <v>-1</v>
      </c>
      <c r="P825" s="33"/>
      <c r="Q825" s="99" t="s">
        <v>1198</v>
      </c>
      <c r="R825" s="100"/>
      <c r="S825" s="101">
        <v>3.1224613818845522E-3</v>
      </c>
      <c r="T825" s="102">
        <v>14</v>
      </c>
      <c r="U825" s="103">
        <v>0</v>
      </c>
      <c r="V825" s="103">
        <v>0</v>
      </c>
      <c r="W825" s="104">
        <v>0</v>
      </c>
      <c r="X825" s="19"/>
      <c r="Y825" s="103">
        <v>0</v>
      </c>
      <c r="Z825" s="103">
        <v>0</v>
      </c>
      <c r="AA825" s="105">
        <v>0</v>
      </c>
      <c r="AB825" s="106">
        <v>0</v>
      </c>
      <c r="AC825" s="105">
        <v>0</v>
      </c>
      <c r="AD825" s="104">
        <v>0</v>
      </c>
      <c r="AE825" s="104">
        <v>0</v>
      </c>
      <c r="AF825" s="107">
        <v>46265</v>
      </c>
    </row>
    <row r="826" spans="1:32" x14ac:dyDescent="0.25">
      <c r="A826" s="90">
        <v>1057</v>
      </c>
      <c r="B826" s="91" t="s">
        <v>1197</v>
      </c>
      <c r="C826" s="29">
        <v>10570046</v>
      </c>
      <c r="D826" s="92" t="s">
        <v>1034</v>
      </c>
      <c r="E826" s="93" t="s">
        <v>275</v>
      </c>
      <c r="F826" s="93" t="s">
        <v>231</v>
      </c>
      <c r="G826" s="109">
        <v>300.39999999999998</v>
      </c>
      <c r="H826" s="109">
        <v>10838.84</v>
      </c>
      <c r="I826" s="95">
        <v>0</v>
      </c>
      <c r="J826" s="95">
        <v>0</v>
      </c>
      <c r="K826" s="95">
        <v>0</v>
      </c>
      <c r="L826" s="95">
        <v>0</v>
      </c>
      <c r="M826" s="96">
        <v>0</v>
      </c>
      <c r="N826" s="97">
        <v>0</v>
      </c>
      <c r="O826" s="98">
        <v>0</v>
      </c>
      <c r="P826" s="33"/>
      <c r="Q826" s="99" t="s">
        <v>1198</v>
      </c>
      <c r="R826" s="100"/>
      <c r="S826" s="101">
        <v>0</v>
      </c>
      <c r="T826" s="102">
        <v>0</v>
      </c>
      <c r="U826" s="103">
        <v>0</v>
      </c>
      <c r="V826" s="103">
        <v>0</v>
      </c>
      <c r="W826" s="104">
        <v>0</v>
      </c>
      <c r="X826" s="19"/>
      <c r="Y826" s="103">
        <v>0</v>
      </c>
      <c r="Z826" s="103">
        <v>0</v>
      </c>
      <c r="AA826" s="105">
        <v>0</v>
      </c>
      <c r="AB826" s="106">
        <v>0</v>
      </c>
      <c r="AC826" s="105">
        <v>0</v>
      </c>
      <c r="AD826" s="104">
        <v>0</v>
      </c>
      <c r="AE826" s="104">
        <v>0</v>
      </c>
      <c r="AF826" s="107">
        <v>46265</v>
      </c>
    </row>
    <row r="827" spans="1:32" x14ac:dyDescent="0.25">
      <c r="A827" s="90">
        <v>1057</v>
      </c>
      <c r="B827" s="91" t="s">
        <v>1197</v>
      </c>
      <c r="C827" s="29">
        <v>10570047</v>
      </c>
      <c r="D827" s="92" t="s">
        <v>1035</v>
      </c>
      <c r="E827" s="93" t="s">
        <v>270</v>
      </c>
      <c r="F827" s="93" t="s">
        <v>230</v>
      </c>
      <c r="G827" s="109">
        <v>412.9</v>
      </c>
      <c r="H827" s="109">
        <v>18180.55</v>
      </c>
      <c r="I827" s="95">
        <v>0</v>
      </c>
      <c r="J827" s="95">
        <v>0</v>
      </c>
      <c r="K827" s="95">
        <v>0</v>
      </c>
      <c r="L827" s="95">
        <v>0</v>
      </c>
      <c r="M827" s="96">
        <v>75</v>
      </c>
      <c r="N827" s="97">
        <v>0</v>
      </c>
      <c r="O827" s="98">
        <v>1</v>
      </c>
      <c r="P827" s="33"/>
      <c r="Q827" s="99" t="s">
        <v>1198</v>
      </c>
      <c r="R827" s="100"/>
      <c r="S827" s="101">
        <v>4.0829347847012093E-3</v>
      </c>
      <c r="T827" s="102">
        <v>14</v>
      </c>
      <c r="U827" s="103">
        <v>0</v>
      </c>
      <c r="V827" s="103">
        <v>0</v>
      </c>
      <c r="W827" s="104">
        <v>0</v>
      </c>
      <c r="X827" s="19"/>
      <c r="Y827" s="103">
        <v>0</v>
      </c>
      <c r="Z827" s="103">
        <v>0</v>
      </c>
      <c r="AA827" s="105">
        <v>0</v>
      </c>
      <c r="AB827" s="106">
        <v>0</v>
      </c>
      <c r="AC827" s="105">
        <v>0</v>
      </c>
      <c r="AD827" s="104">
        <v>0</v>
      </c>
      <c r="AE827" s="104">
        <v>0</v>
      </c>
      <c r="AF827" s="107">
        <v>46265</v>
      </c>
    </row>
    <row r="828" spans="1:32" x14ac:dyDescent="0.25">
      <c r="A828" s="90">
        <v>1057</v>
      </c>
      <c r="B828" s="91" t="s">
        <v>1197</v>
      </c>
      <c r="C828" s="29">
        <v>10570049</v>
      </c>
      <c r="D828" s="92" t="s">
        <v>1036</v>
      </c>
      <c r="E828" s="93" t="s">
        <v>270</v>
      </c>
      <c r="F828" s="93" t="s">
        <v>230</v>
      </c>
      <c r="G828" s="109">
        <v>392.8</v>
      </c>
      <c r="H828" s="109">
        <v>17378.510000000002</v>
      </c>
      <c r="I828" s="95">
        <v>0</v>
      </c>
      <c r="J828" s="95">
        <v>0</v>
      </c>
      <c r="K828" s="95">
        <v>0</v>
      </c>
      <c r="L828" s="95">
        <v>0</v>
      </c>
      <c r="M828" s="96">
        <v>25</v>
      </c>
      <c r="N828" s="97">
        <v>0</v>
      </c>
      <c r="O828" s="98">
        <v>0</v>
      </c>
      <c r="P828" s="33"/>
      <c r="Q828" s="99" t="s">
        <v>1198</v>
      </c>
      <c r="R828" s="100"/>
      <c r="S828" s="101">
        <v>1.4224464582982754E-3</v>
      </c>
      <c r="T828" s="102">
        <v>11</v>
      </c>
      <c r="U828" s="103">
        <v>0</v>
      </c>
      <c r="V828" s="103">
        <v>0</v>
      </c>
      <c r="W828" s="104">
        <v>0</v>
      </c>
      <c r="X828" s="19"/>
      <c r="Y828" s="103">
        <v>0</v>
      </c>
      <c r="Z828" s="103">
        <v>0</v>
      </c>
      <c r="AA828" s="105">
        <v>0</v>
      </c>
      <c r="AB828" s="106">
        <v>0</v>
      </c>
      <c r="AC828" s="105">
        <v>0</v>
      </c>
      <c r="AD828" s="104">
        <v>0</v>
      </c>
      <c r="AE828" s="104">
        <v>0</v>
      </c>
      <c r="AF828" s="107">
        <v>46265</v>
      </c>
    </row>
    <row r="829" spans="1:32" x14ac:dyDescent="0.25">
      <c r="A829" s="90">
        <v>1057</v>
      </c>
      <c r="B829" s="91" t="s">
        <v>1197</v>
      </c>
      <c r="C829" s="29">
        <v>10570051</v>
      </c>
      <c r="D829" s="92" t="s">
        <v>1037</v>
      </c>
      <c r="E829" s="93" t="s">
        <v>270</v>
      </c>
      <c r="F829" s="93" t="s">
        <v>230</v>
      </c>
      <c r="G829" s="109">
        <v>101.10000000000001</v>
      </c>
      <c r="H829" s="109">
        <v>3671.0499999999997</v>
      </c>
      <c r="I829" s="95">
        <v>0</v>
      </c>
      <c r="J829" s="95">
        <v>0</v>
      </c>
      <c r="K829" s="95">
        <v>0</v>
      </c>
      <c r="L829" s="95">
        <v>0</v>
      </c>
      <c r="M829" s="96">
        <v>272</v>
      </c>
      <c r="N829" s="97">
        <v>0</v>
      </c>
      <c r="O829" s="98">
        <v>1</v>
      </c>
      <c r="P829" s="33"/>
      <c r="Q829" s="99" t="s">
        <v>1198</v>
      </c>
      <c r="R829" s="100"/>
      <c r="S829" s="101">
        <v>7.3897113904741213E-2</v>
      </c>
      <c r="T829" s="102">
        <v>5</v>
      </c>
      <c r="U829" s="103">
        <v>0</v>
      </c>
      <c r="V829" s="103">
        <v>0</v>
      </c>
      <c r="W829" s="104">
        <v>0</v>
      </c>
      <c r="X829" s="19"/>
      <c r="Y829" s="103">
        <v>0</v>
      </c>
      <c r="Z829" s="103">
        <v>0</v>
      </c>
      <c r="AA829" s="105">
        <v>0</v>
      </c>
      <c r="AB829" s="106">
        <v>0</v>
      </c>
      <c r="AC829" s="105">
        <v>0</v>
      </c>
      <c r="AD829" s="104">
        <v>0</v>
      </c>
      <c r="AE829" s="104">
        <v>0</v>
      </c>
      <c r="AF829" s="107">
        <v>46265</v>
      </c>
    </row>
    <row r="830" spans="1:32" x14ac:dyDescent="0.25">
      <c r="A830" s="90">
        <v>1057</v>
      </c>
      <c r="B830" s="91" t="s">
        <v>1197</v>
      </c>
      <c r="C830" s="29">
        <v>10570053</v>
      </c>
      <c r="D830" s="92" t="s">
        <v>1038</v>
      </c>
      <c r="E830" s="93" t="s">
        <v>275</v>
      </c>
      <c r="F830" s="93" t="s">
        <v>231</v>
      </c>
      <c r="G830" s="109">
        <v>370.19999999999993</v>
      </c>
      <c r="H830" s="109">
        <v>13976.57</v>
      </c>
      <c r="I830" s="95">
        <v>0</v>
      </c>
      <c r="J830" s="95">
        <v>0</v>
      </c>
      <c r="K830" s="95">
        <v>0</v>
      </c>
      <c r="L830" s="95">
        <v>0</v>
      </c>
      <c r="M830" s="96">
        <v>0</v>
      </c>
      <c r="N830" s="97">
        <v>0</v>
      </c>
      <c r="O830" s="98">
        <v>0</v>
      </c>
      <c r="P830" s="33"/>
      <c r="Q830" s="99" t="s">
        <v>1198</v>
      </c>
      <c r="R830" s="100"/>
      <c r="S830" s="101">
        <v>0</v>
      </c>
      <c r="T830" s="102">
        <v>0</v>
      </c>
      <c r="U830" s="103">
        <v>0</v>
      </c>
      <c r="V830" s="103">
        <v>0</v>
      </c>
      <c r="W830" s="104">
        <v>0</v>
      </c>
      <c r="X830" s="19"/>
      <c r="Y830" s="103">
        <v>0</v>
      </c>
      <c r="Z830" s="103">
        <v>0</v>
      </c>
      <c r="AA830" s="105">
        <v>0</v>
      </c>
      <c r="AB830" s="106">
        <v>0</v>
      </c>
      <c r="AC830" s="105">
        <v>0</v>
      </c>
      <c r="AD830" s="104">
        <v>0</v>
      </c>
      <c r="AE830" s="104">
        <v>0</v>
      </c>
      <c r="AF830" s="107">
        <v>46265</v>
      </c>
    </row>
    <row r="831" spans="1:32" x14ac:dyDescent="0.25">
      <c r="A831" s="90">
        <v>1057</v>
      </c>
      <c r="B831" s="91" t="s">
        <v>1197</v>
      </c>
      <c r="C831" s="29">
        <v>10570055</v>
      </c>
      <c r="D831" s="92" t="s">
        <v>1039</v>
      </c>
      <c r="E831" s="93" t="s">
        <v>270</v>
      </c>
      <c r="F831" s="93" t="s">
        <v>230</v>
      </c>
      <c r="G831" s="109">
        <v>694.6</v>
      </c>
      <c r="H831" s="109">
        <v>27401.85</v>
      </c>
      <c r="I831" s="95">
        <v>0</v>
      </c>
      <c r="J831" s="95">
        <v>0</v>
      </c>
      <c r="K831" s="95">
        <v>0</v>
      </c>
      <c r="L831" s="95">
        <v>0</v>
      </c>
      <c r="M831" s="96">
        <v>118</v>
      </c>
      <c r="N831" s="97">
        <v>0</v>
      </c>
      <c r="O831" s="98">
        <v>1</v>
      </c>
      <c r="P831" s="33"/>
      <c r="Q831" s="99" t="s">
        <v>1198</v>
      </c>
      <c r="R831" s="100"/>
      <c r="S831" s="101">
        <v>4.2854770754528126E-3</v>
      </c>
      <c r="T831" s="102">
        <v>10</v>
      </c>
      <c r="U831" s="103">
        <v>0</v>
      </c>
      <c r="V831" s="103">
        <v>0</v>
      </c>
      <c r="W831" s="104">
        <v>0</v>
      </c>
      <c r="X831" s="19"/>
      <c r="Y831" s="103">
        <v>0</v>
      </c>
      <c r="Z831" s="103">
        <v>0</v>
      </c>
      <c r="AA831" s="105">
        <v>0</v>
      </c>
      <c r="AB831" s="106">
        <v>0</v>
      </c>
      <c r="AC831" s="105">
        <v>0</v>
      </c>
      <c r="AD831" s="104">
        <v>0</v>
      </c>
      <c r="AE831" s="104">
        <v>0</v>
      </c>
      <c r="AF831" s="107">
        <v>46265</v>
      </c>
    </row>
    <row r="832" spans="1:32" x14ac:dyDescent="0.25">
      <c r="A832" s="90">
        <v>1057</v>
      </c>
      <c r="B832" s="91" t="s">
        <v>1197</v>
      </c>
      <c r="C832" s="29">
        <v>10570058</v>
      </c>
      <c r="D832" s="92" t="s">
        <v>1040</v>
      </c>
      <c r="E832" s="93" t="s">
        <v>275</v>
      </c>
      <c r="F832" s="93" t="s">
        <v>231</v>
      </c>
      <c r="G832" s="109">
        <v>335.4</v>
      </c>
      <c r="H832" s="109">
        <v>14116.199999999999</v>
      </c>
      <c r="I832" s="95">
        <v>0</v>
      </c>
      <c r="J832" s="95">
        <v>0</v>
      </c>
      <c r="K832" s="95">
        <v>0</v>
      </c>
      <c r="L832" s="95">
        <v>0</v>
      </c>
      <c r="M832" s="96">
        <v>0</v>
      </c>
      <c r="N832" s="97">
        <v>0</v>
      </c>
      <c r="O832" s="98">
        <v>0</v>
      </c>
      <c r="P832" s="33"/>
      <c r="Q832" s="99" t="s">
        <v>1198</v>
      </c>
      <c r="R832" s="100"/>
      <c r="S832" s="101">
        <v>0</v>
      </c>
      <c r="T832" s="102">
        <v>0</v>
      </c>
      <c r="U832" s="103">
        <v>0</v>
      </c>
      <c r="V832" s="103">
        <v>0</v>
      </c>
      <c r="W832" s="104">
        <v>0</v>
      </c>
      <c r="X832" s="19"/>
      <c r="Y832" s="103">
        <v>0</v>
      </c>
      <c r="Z832" s="103">
        <v>0</v>
      </c>
      <c r="AA832" s="105">
        <v>0</v>
      </c>
      <c r="AB832" s="106">
        <v>0</v>
      </c>
      <c r="AC832" s="105">
        <v>0</v>
      </c>
      <c r="AD832" s="104">
        <v>0</v>
      </c>
      <c r="AE832" s="104">
        <v>0</v>
      </c>
      <c r="AF832" s="107">
        <v>46265</v>
      </c>
    </row>
    <row r="833" spans="1:32" x14ac:dyDescent="0.25">
      <c r="A833" s="90">
        <v>1057</v>
      </c>
      <c r="B833" s="91" t="s">
        <v>1197</v>
      </c>
      <c r="C833" s="29">
        <v>10570059</v>
      </c>
      <c r="D833" s="92" t="s">
        <v>1041</v>
      </c>
      <c r="E833" s="93" t="s">
        <v>275</v>
      </c>
      <c r="F833" s="93" t="s">
        <v>231</v>
      </c>
      <c r="G833" s="109">
        <v>1148.9000000000001</v>
      </c>
      <c r="H833" s="109">
        <v>51081.500000000007</v>
      </c>
      <c r="I833" s="95">
        <v>0</v>
      </c>
      <c r="J833" s="95">
        <v>0</v>
      </c>
      <c r="K833" s="95">
        <v>0</v>
      </c>
      <c r="L833" s="95">
        <v>0</v>
      </c>
      <c r="M833" s="96">
        <v>0</v>
      </c>
      <c r="N833" s="97">
        <v>0</v>
      </c>
      <c r="O833" s="98">
        <v>0</v>
      </c>
      <c r="P833" s="33"/>
      <c r="Q833" s="99" t="s">
        <v>1198</v>
      </c>
      <c r="R833" s="100"/>
      <c r="S833" s="101">
        <v>0</v>
      </c>
      <c r="T833" s="102">
        <v>0</v>
      </c>
      <c r="U833" s="103">
        <v>0</v>
      </c>
      <c r="V833" s="103">
        <v>0</v>
      </c>
      <c r="W833" s="104">
        <v>0</v>
      </c>
      <c r="X833" s="19"/>
      <c r="Y833" s="103">
        <v>0</v>
      </c>
      <c r="Z833" s="103">
        <v>0</v>
      </c>
      <c r="AA833" s="105">
        <v>0</v>
      </c>
      <c r="AB833" s="106">
        <v>0</v>
      </c>
      <c r="AC833" s="105">
        <v>0</v>
      </c>
      <c r="AD833" s="104">
        <v>0</v>
      </c>
      <c r="AE833" s="104">
        <v>0</v>
      </c>
      <c r="AF833" s="107">
        <v>46265</v>
      </c>
    </row>
    <row r="834" spans="1:32" x14ac:dyDescent="0.25">
      <c r="A834" s="90">
        <v>1057</v>
      </c>
      <c r="B834" s="91" t="s">
        <v>1197</v>
      </c>
      <c r="C834" s="29">
        <v>10570060</v>
      </c>
      <c r="D834" s="92" t="s">
        <v>1042</v>
      </c>
      <c r="E834" s="93" t="s">
        <v>275</v>
      </c>
      <c r="F834" s="93" t="s">
        <v>231</v>
      </c>
      <c r="G834" s="109">
        <v>172.3</v>
      </c>
      <c r="H834" s="109">
        <v>7476.3</v>
      </c>
      <c r="I834" s="95">
        <v>0</v>
      </c>
      <c r="J834" s="95">
        <v>0</v>
      </c>
      <c r="K834" s="95">
        <v>0</v>
      </c>
      <c r="L834" s="95">
        <v>0</v>
      </c>
      <c r="M834" s="96">
        <v>0</v>
      </c>
      <c r="N834" s="97">
        <v>0</v>
      </c>
      <c r="O834" s="98">
        <v>0</v>
      </c>
      <c r="P834" s="33"/>
      <c r="Q834" s="99" t="s">
        <v>1198</v>
      </c>
      <c r="R834" s="100"/>
      <c r="S834" s="101">
        <v>0</v>
      </c>
      <c r="T834" s="102">
        <v>0</v>
      </c>
      <c r="U834" s="103">
        <v>0</v>
      </c>
      <c r="V834" s="103">
        <v>0</v>
      </c>
      <c r="W834" s="104">
        <v>0</v>
      </c>
      <c r="X834" s="19"/>
      <c r="Y834" s="103">
        <v>0</v>
      </c>
      <c r="Z834" s="103">
        <v>0</v>
      </c>
      <c r="AA834" s="105">
        <v>0</v>
      </c>
      <c r="AB834" s="106">
        <v>0</v>
      </c>
      <c r="AC834" s="105">
        <v>0</v>
      </c>
      <c r="AD834" s="104">
        <v>0</v>
      </c>
      <c r="AE834" s="104">
        <v>0</v>
      </c>
      <c r="AF834" s="107">
        <v>46265</v>
      </c>
    </row>
    <row r="835" spans="1:32" x14ac:dyDescent="0.25">
      <c r="A835" s="90">
        <v>1057</v>
      </c>
      <c r="B835" s="91" t="s">
        <v>1197</v>
      </c>
      <c r="C835" s="29">
        <v>10570062</v>
      </c>
      <c r="D835" s="92" t="s">
        <v>1043</v>
      </c>
      <c r="E835" s="93" t="s">
        <v>275</v>
      </c>
      <c r="F835" s="93" t="s">
        <v>231</v>
      </c>
      <c r="G835" s="109">
        <v>2995.6000000000004</v>
      </c>
      <c r="H835" s="109">
        <v>114046.21</v>
      </c>
      <c r="I835" s="95">
        <v>0</v>
      </c>
      <c r="J835" s="95">
        <v>0</v>
      </c>
      <c r="K835" s="95">
        <v>0</v>
      </c>
      <c r="L835" s="95">
        <v>0</v>
      </c>
      <c r="M835" s="96">
        <v>0</v>
      </c>
      <c r="N835" s="97">
        <v>0</v>
      </c>
      <c r="O835" s="98">
        <v>0</v>
      </c>
      <c r="P835" s="33"/>
      <c r="Q835" s="99" t="s">
        <v>1198</v>
      </c>
      <c r="R835" s="100"/>
      <c r="S835" s="101">
        <v>0</v>
      </c>
      <c r="T835" s="102">
        <v>0</v>
      </c>
      <c r="U835" s="103">
        <v>0</v>
      </c>
      <c r="V835" s="103">
        <v>0</v>
      </c>
      <c r="W835" s="104">
        <v>0</v>
      </c>
      <c r="X835" s="19"/>
      <c r="Y835" s="103">
        <v>0</v>
      </c>
      <c r="Z835" s="103">
        <v>0</v>
      </c>
      <c r="AA835" s="105">
        <v>0</v>
      </c>
      <c r="AB835" s="106">
        <v>0</v>
      </c>
      <c r="AC835" s="105">
        <v>0</v>
      </c>
      <c r="AD835" s="104">
        <v>0</v>
      </c>
      <c r="AE835" s="104">
        <v>0</v>
      </c>
      <c r="AF835" s="107">
        <v>46265</v>
      </c>
    </row>
    <row r="836" spans="1:32" x14ac:dyDescent="0.25">
      <c r="A836" s="90">
        <v>1057</v>
      </c>
      <c r="B836" s="91" t="s">
        <v>1197</v>
      </c>
      <c r="C836" s="29">
        <v>10570065</v>
      </c>
      <c r="D836" s="92" t="s">
        <v>1044</v>
      </c>
      <c r="E836" s="93" t="s">
        <v>275</v>
      </c>
      <c r="F836" s="93" t="s">
        <v>231</v>
      </c>
      <c r="G836" s="109">
        <v>263.20000000000005</v>
      </c>
      <c r="H836" s="109">
        <v>10561.419999999998</v>
      </c>
      <c r="I836" s="95">
        <v>0</v>
      </c>
      <c r="J836" s="95">
        <v>0</v>
      </c>
      <c r="K836" s="95">
        <v>0</v>
      </c>
      <c r="L836" s="95">
        <v>0</v>
      </c>
      <c r="M836" s="96">
        <v>0</v>
      </c>
      <c r="N836" s="97">
        <v>0</v>
      </c>
      <c r="O836" s="98">
        <v>0</v>
      </c>
      <c r="P836" s="33"/>
      <c r="Q836" s="99" t="s">
        <v>1198</v>
      </c>
      <c r="R836" s="100"/>
      <c r="S836" s="101">
        <v>0</v>
      </c>
      <c r="T836" s="102">
        <v>0</v>
      </c>
      <c r="U836" s="103">
        <v>0</v>
      </c>
      <c r="V836" s="103">
        <v>0</v>
      </c>
      <c r="W836" s="104">
        <v>0</v>
      </c>
      <c r="X836" s="19"/>
      <c r="Y836" s="103">
        <v>0</v>
      </c>
      <c r="Z836" s="103">
        <v>0</v>
      </c>
      <c r="AA836" s="105">
        <v>0</v>
      </c>
      <c r="AB836" s="106">
        <v>0</v>
      </c>
      <c r="AC836" s="105">
        <v>0</v>
      </c>
      <c r="AD836" s="104">
        <v>0</v>
      </c>
      <c r="AE836" s="104">
        <v>0</v>
      </c>
      <c r="AF836" s="107">
        <v>46265</v>
      </c>
    </row>
    <row r="837" spans="1:32" x14ac:dyDescent="0.25">
      <c r="A837" s="90">
        <v>1057</v>
      </c>
      <c r="B837" s="91" t="s">
        <v>1197</v>
      </c>
      <c r="C837" s="29">
        <v>10570066</v>
      </c>
      <c r="D837" s="92" t="s">
        <v>1045</v>
      </c>
      <c r="E837" s="93" t="s">
        <v>275</v>
      </c>
      <c r="F837" s="93" t="s">
        <v>231</v>
      </c>
      <c r="G837" s="109">
        <v>32.5</v>
      </c>
      <c r="H837" s="109">
        <v>1149.74</v>
      </c>
      <c r="I837" s="95">
        <v>0</v>
      </c>
      <c r="J837" s="95">
        <v>0</v>
      </c>
      <c r="K837" s="95">
        <v>0</v>
      </c>
      <c r="L837" s="95">
        <v>0</v>
      </c>
      <c r="M837" s="96">
        <v>0</v>
      </c>
      <c r="N837" s="97">
        <v>0</v>
      </c>
      <c r="O837" s="98">
        <v>0</v>
      </c>
      <c r="P837" s="33"/>
      <c r="Q837" s="99" t="s">
        <v>1198</v>
      </c>
      <c r="R837" s="100"/>
      <c r="S837" s="101">
        <v>0</v>
      </c>
      <c r="T837" s="102">
        <v>0</v>
      </c>
      <c r="U837" s="103">
        <v>0</v>
      </c>
      <c r="V837" s="103">
        <v>0</v>
      </c>
      <c r="W837" s="104">
        <v>0</v>
      </c>
      <c r="X837" s="19"/>
      <c r="Y837" s="103">
        <v>0</v>
      </c>
      <c r="Z837" s="103">
        <v>0</v>
      </c>
      <c r="AA837" s="105">
        <v>0</v>
      </c>
      <c r="AB837" s="106">
        <v>0</v>
      </c>
      <c r="AC837" s="105">
        <v>0</v>
      </c>
      <c r="AD837" s="104">
        <v>0</v>
      </c>
      <c r="AE837" s="104">
        <v>0</v>
      </c>
      <c r="AF837" s="107">
        <v>46265</v>
      </c>
    </row>
    <row r="838" spans="1:32" x14ac:dyDescent="0.25">
      <c r="A838" s="90">
        <v>1057</v>
      </c>
      <c r="B838" s="91" t="s">
        <v>1197</v>
      </c>
      <c r="C838" s="29">
        <v>10570067</v>
      </c>
      <c r="D838" s="92" t="s">
        <v>1046</v>
      </c>
      <c r="E838" s="93" t="s">
        <v>275</v>
      </c>
      <c r="F838" s="93" t="s">
        <v>231</v>
      </c>
      <c r="G838" s="109">
        <v>219.79999999999998</v>
      </c>
      <c r="H838" s="109">
        <v>8278.0400000000009</v>
      </c>
      <c r="I838" s="95">
        <v>0</v>
      </c>
      <c r="J838" s="95">
        <v>0</v>
      </c>
      <c r="K838" s="95">
        <v>0</v>
      </c>
      <c r="L838" s="95">
        <v>0</v>
      </c>
      <c r="M838" s="96">
        <v>0</v>
      </c>
      <c r="N838" s="97">
        <v>0</v>
      </c>
      <c r="O838" s="98">
        <v>0</v>
      </c>
      <c r="P838" s="33"/>
      <c r="Q838" s="99" t="s">
        <v>1198</v>
      </c>
      <c r="R838" s="100"/>
      <c r="S838" s="101">
        <v>0</v>
      </c>
      <c r="T838" s="102">
        <v>0</v>
      </c>
      <c r="U838" s="103">
        <v>0</v>
      </c>
      <c r="V838" s="103">
        <v>0</v>
      </c>
      <c r="W838" s="104">
        <v>0</v>
      </c>
      <c r="X838" s="19"/>
      <c r="Y838" s="103">
        <v>0</v>
      </c>
      <c r="Z838" s="103">
        <v>0</v>
      </c>
      <c r="AA838" s="105">
        <v>0</v>
      </c>
      <c r="AB838" s="106">
        <v>0</v>
      </c>
      <c r="AC838" s="105">
        <v>0</v>
      </c>
      <c r="AD838" s="104">
        <v>0</v>
      </c>
      <c r="AE838" s="104">
        <v>0</v>
      </c>
      <c r="AF838" s="107">
        <v>46265</v>
      </c>
    </row>
    <row r="839" spans="1:32" x14ac:dyDescent="0.25">
      <c r="A839" s="90">
        <v>1057</v>
      </c>
      <c r="B839" s="91" t="s">
        <v>1197</v>
      </c>
      <c r="C839" s="29">
        <v>10570068</v>
      </c>
      <c r="D839" s="92" t="s">
        <v>1047</v>
      </c>
      <c r="E839" s="93" t="s">
        <v>275</v>
      </c>
      <c r="F839" s="93" t="s">
        <v>231</v>
      </c>
      <c r="G839" s="109">
        <v>757.60000000000014</v>
      </c>
      <c r="H839" s="109">
        <v>31455.179999999993</v>
      </c>
      <c r="I839" s="95">
        <v>0</v>
      </c>
      <c r="J839" s="95">
        <v>0</v>
      </c>
      <c r="K839" s="95">
        <v>0</v>
      </c>
      <c r="L839" s="95">
        <v>0</v>
      </c>
      <c r="M839" s="96">
        <v>0</v>
      </c>
      <c r="N839" s="97">
        <v>0</v>
      </c>
      <c r="O839" s="98">
        <v>0</v>
      </c>
      <c r="P839" s="33"/>
      <c r="Q839" s="99" t="s">
        <v>1198</v>
      </c>
      <c r="R839" s="100"/>
      <c r="S839" s="101">
        <v>0</v>
      </c>
      <c r="T839" s="102">
        <v>0</v>
      </c>
      <c r="U839" s="103">
        <v>0</v>
      </c>
      <c r="V839" s="103">
        <v>0</v>
      </c>
      <c r="W839" s="104">
        <v>0</v>
      </c>
      <c r="X839" s="19"/>
      <c r="Y839" s="103">
        <v>0</v>
      </c>
      <c r="Z839" s="103">
        <v>0</v>
      </c>
      <c r="AA839" s="105">
        <v>0</v>
      </c>
      <c r="AB839" s="106">
        <v>0</v>
      </c>
      <c r="AC839" s="105">
        <v>0</v>
      </c>
      <c r="AD839" s="104">
        <v>0</v>
      </c>
      <c r="AE839" s="104">
        <v>0</v>
      </c>
      <c r="AF839" s="107">
        <v>46265</v>
      </c>
    </row>
    <row r="840" spans="1:32" x14ac:dyDescent="0.25">
      <c r="A840" s="90">
        <v>1057</v>
      </c>
      <c r="B840" s="91" t="s">
        <v>1197</v>
      </c>
      <c r="C840" s="29">
        <v>10570069</v>
      </c>
      <c r="D840" s="92" t="s">
        <v>1048</v>
      </c>
      <c r="E840" s="93" t="s">
        <v>275</v>
      </c>
      <c r="F840" s="93" t="s">
        <v>231</v>
      </c>
      <c r="G840" s="109">
        <v>1022.5</v>
      </c>
      <c r="H840" s="109">
        <v>40996.160000000003</v>
      </c>
      <c r="I840" s="95">
        <v>0</v>
      </c>
      <c r="J840" s="95">
        <v>0</v>
      </c>
      <c r="K840" s="95">
        <v>0</v>
      </c>
      <c r="L840" s="95">
        <v>0</v>
      </c>
      <c r="M840" s="96">
        <v>0</v>
      </c>
      <c r="N840" s="97">
        <v>0</v>
      </c>
      <c r="O840" s="98">
        <v>0</v>
      </c>
      <c r="P840" s="33"/>
      <c r="Q840" s="99" t="s">
        <v>1198</v>
      </c>
      <c r="R840" s="100"/>
      <c r="S840" s="101">
        <v>0</v>
      </c>
      <c r="T840" s="102">
        <v>0</v>
      </c>
      <c r="U840" s="103">
        <v>0</v>
      </c>
      <c r="V840" s="103">
        <v>0</v>
      </c>
      <c r="W840" s="104">
        <v>0</v>
      </c>
      <c r="X840" s="19"/>
      <c r="Y840" s="103">
        <v>0</v>
      </c>
      <c r="Z840" s="103">
        <v>0</v>
      </c>
      <c r="AA840" s="105">
        <v>0</v>
      </c>
      <c r="AB840" s="106">
        <v>0</v>
      </c>
      <c r="AC840" s="105">
        <v>0</v>
      </c>
      <c r="AD840" s="104">
        <v>0</v>
      </c>
      <c r="AE840" s="104">
        <v>0</v>
      </c>
      <c r="AF840" s="107">
        <v>46265</v>
      </c>
    </row>
    <row r="841" spans="1:32" x14ac:dyDescent="0.25">
      <c r="A841" s="90">
        <v>1057</v>
      </c>
      <c r="B841" s="91" t="s">
        <v>1197</v>
      </c>
      <c r="C841" s="29">
        <v>10570070</v>
      </c>
      <c r="D841" s="92" t="s">
        <v>1049</v>
      </c>
      <c r="E841" s="93" t="s">
        <v>275</v>
      </c>
      <c r="F841" s="93" t="s">
        <v>231</v>
      </c>
      <c r="G841" s="109">
        <v>84.300000000000011</v>
      </c>
      <c r="H841" s="109">
        <v>3093.15</v>
      </c>
      <c r="I841" s="95">
        <v>0</v>
      </c>
      <c r="J841" s="95">
        <v>0</v>
      </c>
      <c r="K841" s="95">
        <v>0</v>
      </c>
      <c r="L841" s="95">
        <v>0</v>
      </c>
      <c r="M841" s="96">
        <v>0</v>
      </c>
      <c r="N841" s="97">
        <v>0</v>
      </c>
      <c r="O841" s="98">
        <v>0</v>
      </c>
      <c r="P841" s="33"/>
      <c r="Q841" s="99" t="s">
        <v>1198</v>
      </c>
      <c r="R841" s="100"/>
      <c r="S841" s="101">
        <v>0</v>
      </c>
      <c r="T841" s="102">
        <v>0</v>
      </c>
      <c r="U841" s="103">
        <v>0</v>
      </c>
      <c r="V841" s="103">
        <v>0</v>
      </c>
      <c r="W841" s="104">
        <v>0</v>
      </c>
      <c r="X841" s="19"/>
      <c r="Y841" s="103">
        <v>0</v>
      </c>
      <c r="Z841" s="103">
        <v>0</v>
      </c>
      <c r="AA841" s="105">
        <v>0</v>
      </c>
      <c r="AB841" s="106">
        <v>0</v>
      </c>
      <c r="AC841" s="105">
        <v>0</v>
      </c>
      <c r="AD841" s="104">
        <v>0</v>
      </c>
      <c r="AE841" s="104">
        <v>0</v>
      </c>
      <c r="AF841" s="107">
        <v>46265</v>
      </c>
    </row>
    <row r="842" spans="1:32" x14ac:dyDescent="0.25">
      <c r="A842" s="90">
        <v>1057</v>
      </c>
      <c r="B842" s="91" t="s">
        <v>1197</v>
      </c>
      <c r="C842" s="29">
        <v>10570071</v>
      </c>
      <c r="D842" s="92" t="s">
        <v>1050</v>
      </c>
      <c r="E842" s="93" t="s">
        <v>275</v>
      </c>
      <c r="F842" s="93" t="s">
        <v>231</v>
      </c>
      <c r="G842" s="109">
        <v>118.29999999999998</v>
      </c>
      <c r="H842" s="109">
        <v>4642.3600000000006</v>
      </c>
      <c r="I842" s="95">
        <v>0</v>
      </c>
      <c r="J842" s="95">
        <v>0</v>
      </c>
      <c r="K842" s="95">
        <v>0</v>
      </c>
      <c r="L842" s="95">
        <v>0</v>
      </c>
      <c r="M842" s="96">
        <v>0</v>
      </c>
      <c r="N842" s="97">
        <v>0</v>
      </c>
      <c r="O842" s="98">
        <v>0</v>
      </c>
      <c r="P842" s="33"/>
      <c r="Q842" s="99" t="s">
        <v>1198</v>
      </c>
      <c r="R842" s="100"/>
      <c r="S842" s="101">
        <v>0</v>
      </c>
      <c r="T842" s="102">
        <v>0</v>
      </c>
      <c r="U842" s="103">
        <v>0</v>
      </c>
      <c r="V842" s="103">
        <v>0</v>
      </c>
      <c r="W842" s="104">
        <v>0</v>
      </c>
      <c r="X842" s="19"/>
      <c r="Y842" s="103">
        <v>0</v>
      </c>
      <c r="Z842" s="103">
        <v>0</v>
      </c>
      <c r="AA842" s="105">
        <v>0</v>
      </c>
      <c r="AB842" s="106">
        <v>0</v>
      </c>
      <c r="AC842" s="105">
        <v>0</v>
      </c>
      <c r="AD842" s="104">
        <v>0</v>
      </c>
      <c r="AE842" s="104">
        <v>0</v>
      </c>
      <c r="AF842" s="107">
        <v>46265</v>
      </c>
    </row>
    <row r="843" spans="1:32" x14ac:dyDescent="0.25">
      <c r="A843" s="90">
        <v>1057</v>
      </c>
      <c r="B843" s="91" t="s">
        <v>1197</v>
      </c>
      <c r="C843" s="29">
        <v>10570073</v>
      </c>
      <c r="D843" s="92" t="s">
        <v>1051</v>
      </c>
      <c r="E843" s="93" t="s">
        <v>270</v>
      </c>
      <c r="F843" s="93" t="s">
        <v>230</v>
      </c>
      <c r="G843" s="109">
        <v>327.49999999999994</v>
      </c>
      <c r="H843" s="109">
        <v>14139.119999999999</v>
      </c>
      <c r="I843" s="95">
        <v>0</v>
      </c>
      <c r="J843" s="95">
        <v>0</v>
      </c>
      <c r="K843" s="95">
        <v>0</v>
      </c>
      <c r="L843" s="95">
        <v>0</v>
      </c>
      <c r="M843" s="96">
        <v>154</v>
      </c>
      <c r="N843" s="97">
        <v>0</v>
      </c>
      <c r="O843" s="98">
        <v>1</v>
      </c>
      <c r="P843" s="33"/>
      <c r="Q843" s="99" t="s">
        <v>1198</v>
      </c>
      <c r="R843" s="100"/>
      <c r="S843" s="101">
        <v>1.0833771833041836E-2</v>
      </c>
      <c r="T843" s="102">
        <v>10</v>
      </c>
      <c r="U843" s="103">
        <v>0</v>
      </c>
      <c r="V843" s="103">
        <v>0</v>
      </c>
      <c r="W843" s="104">
        <v>0</v>
      </c>
      <c r="X843" s="19"/>
      <c r="Y843" s="103">
        <v>0</v>
      </c>
      <c r="Z843" s="103">
        <v>0</v>
      </c>
      <c r="AA843" s="105">
        <v>0</v>
      </c>
      <c r="AB843" s="106">
        <v>0</v>
      </c>
      <c r="AC843" s="105">
        <v>0</v>
      </c>
      <c r="AD843" s="104">
        <v>0</v>
      </c>
      <c r="AE843" s="104">
        <v>0</v>
      </c>
      <c r="AF843" s="107">
        <v>46265</v>
      </c>
    </row>
    <row r="844" spans="1:32" x14ac:dyDescent="0.25">
      <c r="A844" s="90">
        <v>1057</v>
      </c>
      <c r="B844" s="91" t="s">
        <v>1197</v>
      </c>
      <c r="C844" s="29">
        <v>10570074</v>
      </c>
      <c r="D844" s="92" t="s">
        <v>1052</v>
      </c>
      <c r="E844" s="93" t="s">
        <v>275</v>
      </c>
      <c r="F844" s="93" t="s">
        <v>231</v>
      </c>
      <c r="G844" s="109">
        <v>278.5</v>
      </c>
      <c r="H844" s="109">
        <v>11769.99</v>
      </c>
      <c r="I844" s="95">
        <v>0</v>
      </c>
      <c r="J844" s="95">
        <v>0</v>
      </c>
      <c r="K844" s="95">
        <v>0</v>
      </c>
      <c r="L844" s="95">
        <v>0</v>
      </c>
      <c r="M844" s="96">
        <v>0</v>
      </c>
      <c r="N844" s="97">
        <v>0</v>
      </c>
      <c r="O844" s="98">
        <v>0</v>
      </c>
      <c r="P844" s="33"/>
      <c r="Q844" s="99" t="s">
        <v>1198</v>
      </c>
      <c r="R844" s="100"/>
      <c r="S844" s="101">
        <v>0</v>
      </c>
      <c r="T844" s="102">
        <v>0</v>
      </c>
      <c r="U844" s="103">
        <v>0</v>
      </c>
      <c r="V844" s="103">
        <v>0</v>
      </c>
      <c r="W844" s="104">
        <v>0</v>
      </c>
      <c r="X844" s="19"/>
      <c r="Y844" s="103">
        <v>0</v>
      </c>
      <c r="Z844" s="103">
        <v>0</v>
      </c>
      <c r="AA844" s="105">
        <v>0</v>
      </c>
      <c r="AB844" s="106">
        <v>0</v>
      </c>
      <c r="AC844" s="105">
        <v>0</v>
      </c>
      <c r="AD844" s="104">
        <v>0</v>
      </c>
      <c r="AE844" s="104">
        <v>0</v>
      </c>
      <c r="AF844" s="107">
        <v>46265</v>
      </c>
    </row>
    <row r="845" spans="1:32" x14ac:dyDescent="0.25">
      <c r="A845" s="90">
        <v>1058</v>
      </c>
      <c r="B845" s="91" t="s">
        <v>1186</v>
      </c>
      <c r="C845" s="29">
        <v>10580001</v>
      </c>
      <c r="D845" s="92" t="s">
        <v>1053</v>
      </c>
      <c r="E845" s="93" t="s">
        <v>270</v>
      </c>
      <c r="F845" s="93" t="s">
        <v>230</v>
      </c>
      <c r="G845" s="109">
        <v>495.45</v>
      </c>
      <c r="H845" s="109">
        <v>21947.770000000004</v>
      </c>
      <c r="I845" s="95">
        <v>0</v>
      </c>
      <c r="J845" s="95">
        <v>0</v>
      </c>
      <c r="K845" s="95">
        <v>0</v>
      </c>
      <c r="L845" s="95">
        <v>0</v>
      </c>
      <c r="M845" s="96">
        <v>132</v>
      </c>
      <c r="N845" s="97">
        <v>0</v>
      </c>
      <c r="O845" s="98">
        <v>0</v>
      </c>
      <c r="P845" s="33"/>
      <c r="Q845" s="99" t="s">
        <v>1198</v>
      </c>
      <c r="R845" s="100"/>
      <c r="S845" s="101">
        <v>6.0106334265395463E-3</v>
      </c>
      <c r="T845" s="102">
        <v>17</v>
      </c>
      <c r="U845" s="103">
        <v>0</v>
      </c>
      <c r="V845" s="103">
        <v>0</v>
      </c>
      <c r="W845" s="104">
        <v>0</v>
      </c>
      <c r="X845" s="19"/>
      <c r="Y845" s="103">
        <v>0</v>
      </c>
      <c r="Z845" s="103">
        <v>0</v>
      </c>
      <c r="AA845" s="105">
        <v>0</v>
      </c>
      <c r="AB845" s="106">
        <v>0</v>
      </c>
      <c r="AC845" s="105">
        <v>0</v>
      </c>
      <c r="AD845" s="104">
        <v>0</v>
      </c>
      <c r="AE845" s="104">
        <v>0</v>
      </c>
      <c r="AF845" s="107">
        <v>46265</v>
      </c>
    </row>
    <row r="846" spans="1:32" x14ac:dyDescent="0.25">
      <c r="A846" s="90">
        <v>1058</v>
      </c>
      <c r="B846" s="91" t="s">
        <v>1186</v>
      </c>
      <c r="C846" s="29">
        <v>10580002</v>
      </c>
      <c r="D846" s="92" t="s">
        <v>1054</v>
      </c>
      <c r="E846" s="93" t="s">
        <v>270</v>
      </c>
      <c r="F846" s="93" t="s">
        <v>230</v>
      </c>
      <c r="G846" s="109">
        <v>468.6</v>
      </c>
      <c r="H846" s="109">
        <v>20782.460000000006</v>
      </c>
      <c r="I846" s="95">
        <v>0</v>
      </c>
      <c r="J846" s="95">
        <v>0</v>
      </c>
      <c r="K846" s="95">
        <v>0</v>
      </c>
      <c r="L846" s="95">
        <v>0</v>
      </c>
      <c r="M846" s="96">
        <v>37</v>
      </c>
      <c r="N846" s="97">
        <v>0</v>
      </c>
      <c r="O846" s="98">
        <v>0</v>
      </c>
      <c r="P846" s="33"/>
      <c r="Q846" s="99" t="s">
        <v>1198</v>
      </c>
      <c r="R846" s="100"/>
      <c r="S846" s="101">
        <v>1.7524393166164717E-3</v>
      </c>
      <c r="T846" s="102">
        <v>8</v>
      </c>
      <c r="U846" s="103">
        <v>0</v>
      </c>
      <c r="V846" s="103">
        <v>0</v>
      </c>
      <c r="W846" s="104">
        <v>0</v>
      </c>
      <c r="X846" s="19"/>
      <c r="Y846" s="103">
        <v>0</v>
      </c>
      <c r="Z846" s="103">
        <v>0</v>
      </c>
      <c r="AA846" s="105">
        <v>0</v>
      </c>
      <c r="AB846" s="106">
        <v>0</v>
      </c>
      <c r="AC846" s="105">
        <v>0</v>
      </c>
      <c r="AD846" s="104">
        <v>0</v>
      </c>
      <c r="AE846" s="104">
        <v>0</v>
      </c>
      <c r="AF846" s="107">
        <v>46265</v>
      </c>
    </row>
    <row r="847" spans="1:32" x14ac:dyDescent="0.25">
      <c r="A847" s="90">
        <v>1058</v>
      </c>
      <c r="B847" s="91" t="s">
        <v>1186</v>
      </c>
      <c r="C847" s="29">
        <v>10580004</v>
      </c>
      <c r="D847" s="92" t="s">
        <v>1055</v>
      </c>
      <c r="E847" s="93" t="s">
        <v>270</v>
      </c>
      <c r="F847" s="93" t="s">
        <v>230</v>
      </c>
      <c r="G847" s="109">
        <v>290.2</v>
      </c>
      <c r="H847" s="109">
        <v>12670.199999999999</v>
      </c>
      <c r="I847" s="95">
        <v>0</v>
      </c>
      <c r="J847" s="95">
        <v>0</v>
      </c>
      <c r="K847" s="95">
        <v>0</v>
      </c>
      <c r="L847" s="95">
        <v>0</v>
      </c>
      <c r="M847" s="96">
        <v>92</v>
      </c>
      <c r="N847" s="97">
        <v>0</v>
      </c>
      <c r="O847" s="98">
        <v>0</v>
      </c>
      <c r="P847" s="33"/>
      <c r="Q847" s="99" t="s">
        <v>1198</v>
      </c>
      <c r="R847" s="100"/>
      <c r="S847" s="101">
        <v>7.2682357026724242E-3</v>
      </c>
      <c r="T847" s="102">
        <v>2</v>
      </c>
      <c r="U847" s="103">
        <v>0</v>
      </c>
      <c r="V847" s="103">
        <v>0</v>
      </c>
      <c r="W847" s="104">
        <v>0</v>
      </c>
      <c r="X847" s="19"/>
      <c r="Y847" s="103">
        <v>0</v>
      </c>
      <c r="Z847" s="103">
        <v>0</v>
      </c>
      <c r="AA847" s="105">
        <v>0</v>
      </c>
      <c r="AB847" s="106">
        <v>0</v>
      </c>
      <c r="AC847" s="105">
        <v>0</v>
      </c>
      <c r="AD847" s="104">
        <v>0</v>
      </c>
      <c r="AE847" s="104">
        <v>0</v>
      </c>
      <c r="AF847" s="107">
        <v>46265</v>
      </c>
    </row>
    <row r="848" spans="1:32" x14ac:dyDescent="0.25">
      <c r="A848" s="90">
        <v>1058</v>
      </c>
      <c r="B848" s="91" t="s">
        <v>1186</v>
      </c>
      <c r="C848" s="29">
        <v>10580005</v>
      </c>
      <c r="D848" s="92" t="s">
        <v>1056</v>
      </c>
      <c r="E848" s="93" t="s">
        <v>270</v>
      </c>
      <c r="F848" s="93" t="s">
        <v>230</v>
      </c>
      <c r="G848" s="109">
        <v>491.52000000000004</v>
      </c>
      <c r="H848" s="109">
        <v>21558.42</v>
      </c>
      <c r="I848" s="95">
        <v>0</v>
      </c>
      <c r="J848" s="95">
        <v>0</v>
      </c>
      <c r="K848" s="95">
        <v>0</v>
      </c>
      <c r="L848" s="95">
        <v>0</v>
      </c>
      <c r="M848" s="96">
        <v>18</v>
      </c>
      <c r="N848" s="97">
        <v>0</v>
      </c>
      <c r="O848" s="98">
        <v>0</v>
      </c>
      <c r="P848" s="33"/>
      <c r="Q848" s="99" t="s">
        <v>1198</v>
      </c>
      <c r="R848" s="100"/>
      <c r="S848" s="101">
        <v>8.5720567648276476E-4</v>
      </c>
      <c r="T848" s="102">
        <v>11</v>
      </c>
      <c r="U848" s="103">
        <v>0</v>
      </c>
      <c r="V848" s="103">
        <v>0</v>
      </c>
      <c r="W848" s="104">
        <v>0</v>
      </c>
      <c r="X848" s="19"/>
      <c r="Y848" s="103">
        <v>0</v>
      </c>
      <c r="Z848" s="103">
        <v>0</v>
      </c>
      <c r="AA848" s="105">
        <v>0</v>
      </c>
      <c r="AB848" s="106">
        <v>0</v>
      </c>
      <c r="AC848" s="105">
        <v>0</v>
      </c>
      <c r="AD848" s="104">
        <v>0</v>
      </c>
      <c r="AE848" s="104">
        <v>0</v>
      </c>
      <c r="AF848" s="107">
        <v>46265</v>
      </c>
    </row>
    <row r="849" spans="1:32" x14ac:dyDescent="0.25">
      <c r="A849" s="90">
        <v>1058</v>
      </c>
      <c r="B849" s="91" t="s">
        <v>1186</v>
      </c>
      <c r="C849" s="29">
        <v>10580010</v>
      </c>
      <c r="D849" s="92" t="s">
        <v>1057</v>
      </c>
      <c r="E849" s="93" t="s">
        <v>270</v>
      </c>
      <c r="F849" s="93" t="s">
        <v>230</v>
      </c>
      <c r="G849" s="109">
        <v>527.14999999999986</v>
      </c>
      <c r="H849" s="109">
        <v>24224.35</v>
      </c>
      <c r="I849" s="95">
        <v>0</v>
      </c>
      <c r="J849" s="95">
        <v>0</v>
      </c>
      <c r="K849" s="95">
        <v>0</v>
      </c>
      <c r="L849" s="95">
        <v>0</v>
      </c>
      <c r="M849" s="96">
        <v>0</v>
      </c>
      <c r="N849" s="97">
        <v>0</v>
      </c>
      <c r="O849" s="98">
        <v>0</v>
      </c>
      <c r="P849" s="33"/>
      <c r="Q849" s="99" t="s">
        <v>1198</v>
      </c>
      <c r="R849" s="100"/>
      <c r="S849" s="101">
        <v>-0.42095825068577702</v>
      </c>
      <c r="T849" s="102">
        <v>3</v>
      </c>
      <c r="U849" s="103">
        <v>0</v>
      </c>
      <c r="V849" s="103">
        <v>0</v>
      </c>
      <c r="W849" s="104">
        <v>0</v>
      </c>
      <c r="X849" s="19"/>
      <c r="Y849" s="103">
        <v>0</v>
      </c>
      <c r="Z849" s="103">
        <v>0</v>
      </c>
      <c r="AA849" s="105">
        <v>0</v>
      </c>
      <c r="AB849" s="106">
        <v>0</v>
      </c>
      <c r="AC849" s="105">
        <v>0</v>
      </c>
      <c r="AD849" s="104">
        <v>0</v>
      </c>
      <c r="AE849" s="104">
        <v>0</v>
      </c>
      <c r="AF849" s="107">
        <v>46265</v>
      </c>
    </row>
    <row r="850" spans="1:32" x14ac:dyDescent="0.25">
      <c r="A850" s="90">
        <v>1058</v>
      </c>
      <c r="B850" s="91" t="s">
        <v>1186</v>
      </c>
      <c r="C850" s="29">
        <v>10580012</v>
      </c>
      <c r="D850" s="92" t="s">
        <v>1058</v>
      </c>
      <c r="E850" s="93" t="s">
        <v>270</v>
      </c>
      <c r="F850" s="93" t="s">
        <v>230</v>
      </c>
      <c r="G850" s="109">
        <v>524.48</v>
      </c>
      <c r="H850" s="109">
        <v>21084.02</v>
      </c>
      <c r="I850" s="95">
        <v>0</v>
      </c>
      <c r="J850" s="95">
        <v>0</v>
      </c>
      <c r="K850" s="95">
        <v>500</v>
      </c>
      <c r="L850" s="95">
        <v>0</v>
      </c>
      <c r="M850" s="96">
        <v>0</v>
      </c>
      <c r="N850" s="97">
        <v>0</v>
      </c>
      <c r="O850" s="98">
        <v>0</v>
      </c>
      <c r="P850" s="33"/>
      <c r="Q850" s="99" t="s">
        <v>1198</v>
      </c>
      <c r="R850" s="100"/>
      <c r="S850" s="101">
        <v>-2.2961465602859197E-2</v>
      </c>
      <c r="T850" s="102">
        <v>4</v>
      </c>
      <c r="U850" s="103">
        <v>0</v>
      </c>
      <c r="V850" s="103">
        <v>0</v>
      </c>
      <c r="W850" s="104">
        <v>0</v>
      </c>
      <c r="X850" s="19"/>
      <c r="Y850" s="103">
        <v>500</v>
      </c>
      <c r="Z850" s="103">
        <v>0</v>
      </c>
      <c r="AA850" s="105">
        <v>0</v>
      </c>
      <c r="AB850" s="106">
        <v>500</v>
      </c>
      <c r="AC850" s="105">
        <v>500</v>
      </c>
      <c r="AD850" s="104">
        <v>0</v>
      </c>
      <c r="AE850" s="104">
        <v>0</v>
      </c>
      <c r="AF850" s="107">
        <v>46265</v>
      </c>
    </row>
    <row r="851" spans="1:32" x14ac:dyDescent="0.25">
      <c r="A851" s="90">
        <v>1058</v>
      </c>
      <c r="B851" s="91" t="s">
        <v>1186</v>
      </c>
      <c r="C851" s="29">
        <v>10580013</v>
      </c>
      <c r="D851" s="92" t="s">
        <v>1059</v>
      </c>
      <c r="E851" s="93" t="s">
        <v>275</v>
      </c>
      <c r="F851" s="93" t="s">
        <v>231</v>
      </c>
      <c r="G851" s="109">
        <v>149.28</v>
      </c>
      <c r="H851" s="109">
        <v>5320.52</v>
      </c>
      <c r="I851" s="95">
        <v>0</v>
      </c>
      <c r="J851" s="95">
        <v>0</v>
      </c>
      <c r="K851" s="95">
        <v>0</v>
      </c>
      <c r="L851" s="95">
        <v>0</v>
      </c>
      <c r="M851" s="96">
        <v>0</v>
      </c>
      <c r="N851" s="97">
        <v>0</v>
      </c>
      <c r="O851" s="98">
        <v>0</v>
      </c>
      <c r="P851" s="33"/>
      <c r="Q851" s="99" t="s">
        <v>1198</v>
      </c>
      <c r="R851" s="100"/>
      <c r="S851" s="101">
        <v>0</v>
      </c>
      <c r="T851" s="102">
        <v>0</v>
      </c>
      <c r="U851" s="103">
        <v>0</v>
      </c>
      <c r="V851" s="103">
        <v>0</v>
      </c>
      <c r="W851" s="104">
        <v>0</v>
      </c>
      <c r="X851" s="19"/>
      <c r="Y851" s="103">
        <v>0</v>
      </c>
      <c r="Z851" s="103">
        <v>0</v>
      </c>
      <c r="AA851" s="105">
        <v>0</v>
      </c>
      <c r="AB851" s="106">
        <v>0</v>
      </c>
      <c r="AC851" s="105">
        <v>0</v>
      </c>
      <c r="AD851" s="104">
        <v>0</v>
      </c>
      <c r="AE851" s="104">
        <v>0</v>
      </c>
      <c r="AF851" s="107">
        <v>46265</v>
      </c>
    </row>
    <row r="852" spans="1:32" x14ac:dyDescent="0.25">
      <c r="A852" s="90">
        <v>1058</v>
      </c>
      <c r="B852" s="91" t="s">
        <v>1186</v>
      </c>
      <c r="C852" s="29">
        <v>10580015</v>
      </c>
      <c r="D852" s="92" t="s">
        <v>1060</v>
      </c>
      <c r="E852" s="93" t="s">
        <v>270</v>
      </c>
      <c r="F852" s="93" t="s">
        <v>230</v>
      </c>
      <c r="G852" s="109">
        <v>357.5</v>
      </c>
      <c r="H852" s="109">
        <v>14328.36</v>
      </c>
      <c r="I852" s="95">
        <v>0</v>
      </c>
      <c r="J852" s="95">
        <v>0</v>
      </c>
      <c r="K852" s="95">
        <v>0</v>
      </c>
      <c r="L852" s="95">
        <v>0</v>
      </c>
      <c r="M852" s="96">
        <v>0</v>
      </c>
      <c r="N852" s="97">
        <v>0</v>
      </c>
      <c r="O852" s="98">
        <v>0</v>
      </c>
      <c r="P852" s="33"/>
      <c r="Q852" s="99" t="s">
        <v>1198</v>
      </c>
      <c r="R852" s="100"/>
      <c r="S852" s="101">
        <v>-3.2213037640036801E-2</v>
      </c>
      <c r="T852" s="102">
        <v>6</v>
      </c>
      <c r="U852" s="103">
        <v>0</v>
      </c>
      <c r="V852" s="103">
        <v>0</v>
      </c>
      <c r="W852" s="104">
        <v>0</v>
      </c>
      <c r="X852" s="19"/>
      <c r="Y852" s="103">
        <v>0</v>
      </c>
      <c r="Z852" s="103">
        <v>0</v>
      </c>
      <c r="AA852" s="105">
        <v>0</v>
      </c>
      <c r="AB852" s="106">
        <v>0</v>
      </c>
      <c r="AC852" s="105">
        <v>0</v>
      </c>
      <c r="AD852" s="104">
        <v>0</v>
      </c>
      <c r="AE852" s="104">
        <v>0</v>
      </c>
      <c r="AF852" s="107">
        <v>46265</v>
      </c>
    </row>
    <row r="853" spans="1:32" x14ac:dyDescent="0.25">
      <c r="A853" s="90">
        <v>1058</v>
      </c>
      <c r="B853" s="91" t="s">
        <v>1186</v>
      </c>
      <c r="C853" s="29">
        <v>10580017</v>
      </c>
      <c r="D853" s="92" t="s">
        <v>1061</v>
      </c>
      <c r="E853" s="93" t="s">
        <v>270</v>
      </c>
      <c r="F853" s="93" t="s">
        <v>230</v>
      </c>
      <c r="G853" s="109">
        <v>975.77</v>
      </c>
      <c r="H853" s="109">
        <v>42077.33</v>
      </c>
      <c r="I853" s="95">
        <v>0</v>
      </c>
      <c r="J853" s="95">
        <v>0</v>
      </c>
      <c r="K853" s="95">
        <v>0</v>
      </c>
      <c r="L853" s="95">
        <v>0</v>
      </c>
      <c r="M853" s="96">
        <v>160</v>
      </c>
      <c r="N853" s="97">
        <v>0</v>
      </c>
      <c r="O853" s="98">
        <v>0</v>
      </c>
      <c r="P853" s="33"/>
      <c r="Q853" s="99" t="s">
        <v>1198</v>
      </c>
      <c r="R853" s="100"/>
      <c r="S853" s="101">
        <v>3.8094147133385333E-3</v>
      </c>
      <c r="T853" s="102">
        <v>7</v>
      </c>
      <c r="U853" s="103">
        <v>0</v>
      </c>
      <c r="V853" s="103">
        <v>0</v>
      </c>
      <c r="W853" s="104">
        <v>0</v>
      </c>
      <c r="X853" s="19"/>
      <c r="Y853" s="103">
        <v>0</v>
      </c>
      <c r="Z853" s="103">
        <v>0</v>
      </c>
      <c r="AA853" s="105">
        <v>0</v>
      </c>
      <c r="AB853" s="106">
        <v>0</v>
      </c>
      <c r="AC853" s="105">
        <v>0</v>
      </c>
      <c r="AD853" s="104">
        <v>0</v>
      </c>
      <c r="AE853" s="104">
        <v>0</v>
      </c>
      <c r="AF853" s="107">
        <v>46265</v>
      </c>
    </row>
    <row r="854" spans="1:32" x14ac:dyDescent="0.25">
      <c r="A854" s="90">
        <v>1058</v>
      </c>
      <c r="B854" s="91" t="s">
        <v>1186</v>
      </c>
      <c r="C854" s="29">
        <v>10580018</v>
      </c>
      <c r="D854" s="92" t="s">
        <v>1062</v>
      </c>
      <c r="E854" s="93" t="s">
        <v>270</v>
      </c>
      <c r="F854" s="93" t="s">
        <v>230</v>
      </c>
      <c r="G854" s="109">
        <v>322.61999999999995</v>
      </c>
      <c r="H854" s="109">
        <v>13280.880000000001</v>
      </c>
      <c r="I854" s="95">
        <v>0</v>
      </c>
      <c r="J854" s="95">
        <v>0</v>
      </c>
      <c r="K854" s="95">
        <v>500</v>
      </c>
      <c r="L854" s="95">
        <v>0</v>
      </c>
      <c r="M854" s="96">
        <v>35</v>
      </c>
      <c r="N854" s="97">
        <v>0</v>
      </c>
      <c r="O854" s="98">
        <v>0</v>
      </c>
      <c r="P854" s="33"/>
      <c r="Q854" s="99" t="s">
        <v>1198</v>
      </c>
      <c r="R854" s="100"/>
      <c r="S854" s="101">
        <v>2.6572034383264415E-3</v>
      </c>
      <c r="T854" s="102">
        <v>17</v>
      </c>
      <c r="U854" s="103">
        <v>0</v>
      </c>
      <c r="V854" s="103">
        <v>0</v>
      </c>
      <c r="W854" s="104">
        <v>0</v>
      </c>
      <c r="X854" s="19"/>
      <c r="Y854" s="103">
        <v>500</v>
      </c>
      <c r="Z854" s="103">
        <v>0</v>
      </c>
      <c r="AA854" s="105">
        <v>0</v>
      </c>
      <c r="AB854" s="106">
        <v>500</v>
      </c>
      <c r="AC854" s="105">
        <v>500</v>
      </c>
      <c r="AD854" s="104">
        <v>0</v>
      </c>
      <c r="AE854" s="104">
        <v>0</v>
      </c>
      <c r="AF854" s="107">
        <v>46265</v>
      </c>
    </row>
    <row r="855" spans="1:32" x14ac:dyDescent="0.25">
      <c r="A855" s="90">
        <v>1058</v>
      </c>
      <c r="B855" s="91" t="s">
        <v>1186</v>
      </c>
      <c r="C855" s="29">
        <v>10580022</v>
      </c>
      <c r="D855" s="92" t="s">
        <v>1063</v>
      </c>
      <c r="E855" s="93" t="s">
        <v>270</v>
      </c>
      <c r="F855" s="93" t="s">
        <v>230</v>
      </c>
      <c r="G855" s="109">
        <v>468.62000000000006</v>
      </c>
      <c r="H855" s="109">
        <v>18834.629999999997</v>
      </c>
      <c r="I855" s="95">
        <v>0</v>
      </c>
      <c r="J855" s="95">
        <v>0</v>
      </c>
      <c r="K855" s="95">
        <v>0</v>
      </c>
      <c r="L855" s="95">
        <v>0</v>
      </c>
      <c r="M855" s="96">
        <v>0</v>
      </c>
      <c r="N855" s="97">
        <v>0</v>
      </c>
      <c r="O855" s="98">
        <v>0</v>
      </c>
      <c r="P855" s="33"/>
      <c r="Q855" s="99" t="s">
        <v>1198</v>
      </c>
      <c r="R855" s="100"/>
      <c r="S855" s="101">
        <v>-0.17952144533765776</v>
      </c>
      <c r="T855" s="102">
        <v>4</v>
      </c>
      <c r="U855" s="103">
        <v>0</v>
      </c>
      <c r="V855" s="103">
        <v>0</v>
      </c>
      <c r="W855" s="104">
        <v>0</v>
      </c>
      <c r="X855" s="19"/>
      <c r="Y855" s="103">
        <v>0</v>
      </c>
      <c r="Z855" s="103">
        <v>0</v>
      </c>
      <c r="AA855" s="105">
        <v>0</v>
      </c>
      <c r="AB855" s="106">
        <v>0</v>
      </c>
      <c r="AC855" s="105">
        <v>0</v>
      </c>
      <c r="AD855" s="104">
        <v>0</v>
      </c>
      <c r="AE855" s="104">
        <v>0</v>
      </c>
      <c r="AF855" s="107">
        <v>46265</v>
      </c>
    </row>
    <row r="856" spans="1:32" x14ac:dyDescent="0.25">
      <c r="A856" s="90">
        <v>1058</v>
      </c>
      <c r="B856" s="91" t="s">
        <v>1186</v>
      </c>
      <c r="C856" s="29">
        <v>10580023</v>
      </c>
      <c r="D856" s="92" t="s">
        <v>1064</v>
      </c>
      <c r="E856" s="93" t="s">
        <v>275</v>
      </c>
      <c r="F856" s="93" t="s">
        <v>231</v>
      </c>
      <c r="G856" s="109">
        <v>837.58</v>
      </c>
      <c r="H856" s="109">
        <v>34681.26</v>
      </c>
      <c r="I856" s="95">
        <v>0</v>
      </c>
      <c r="J856" s="95">
        <v>0</v>
      </c>
      <c r="K856" s="95">
        <v>0</v>
      </c>
      <c r="L856" s="95">
        <v>0</v>
      </c>
      <c r="M856" s="96">
        <v>0</v>
      </c>
      <c r="N856" s="97">
        <v>0</v>
      </c>
      <c r="O856" s="98">
        <v>0</v>
      </c>
      <c r="P856" s="33"/>
      <c r="Q856" s="99" t="s">
        <v>1198</v>
      </c>
      <c r="R856" s="100"/>
      <c r="S856" s="101">
        <v>0</v>
      </c>
      <c r="T856" s="102">
        <v>0</v>
      </c>
      <c r="U856" s="103">
        <v>0</v>
      </c>
      <c r="V856" s="103">
        <v>0</v>
      </c>
      <c r="W856" s="104">
        <v>0</v>
      </c>
      <c r="X856" s="19"/>
      <c r="Y856" s="103">
        <v>0</v>
      </c>
      <c r="Z856" s="103">
        <v>0</v>
      </c>
      <c r="AA856" s="105">
        <v>0</v>
      </c>
      <c r="AB856" s="106">
        <v>0</v>
      </c>
      <c r="AC856" s="105">
        <v>0</v>
      </c>
      <c r="AD856" s="104">
        <v>0</v>
      </c>
      <c r="AE856" s="104">
        <v>0</v>
      </c>
      <c r="AF856" s="107">
        <v>46265</v>
      </c>
    </row>
    <row r="857" spans="1:32" x14ac:dyDescent="0.25">
      <c r="A857" s="90">
        <v>1058</v>
      </c>
      <c r="B857" s="91" t="s">
        <v>1186</v>
      </c>
      <c r="C857" s="29">
        <v>10580024</v>
      </c>
      <c r="D857" s="92" t="s">
        <v>1065</v>
      </c>
      <c r="E857" s="93" t="s">
        <v>270</v>
      </c>
      <c r="F857" s="93" t="s">
        <v>230</v>
      </c>
      <c r="G857" s="109">
        <v>499.66999999999996</v>
      </c>
      <c r="H857" s="109">
        <v>20014.569999999996</v>
      </c>
      <c r="I857" s="95">
        <v>0</v>
      </c>
      <c r="J857" s="95">
        <v>0</v>
      </c>
      <c r="K857" s="95">
        <v>0</v>
      </c>
      <c r="L857" s="95">
        <v>0</v>
      </c>
      <c r="M857" s="96">
        <v>15</v>
      </c>
      <c r="N857" s="97">
        <v>0</v>
      </c>
      <c r="O857" s="98">
        <v>1</v>
      </c>
      <c r="P857" s="33"/>
      <c r="Q857" s="99" t="s">
        <v>1198</v>
      </c>
      <c r="R857" s="100"/>
      <c r="S857" s="101">
        <v>6.9699224115181175E-4</v>
      </c>
      <c r="T857" s="102">
        <v>2</v>
      </c>
      <c r="U857" s="103">
        <v>0</v>
      </c>
      <c r="V857" s="103">
        <v>0</v>
      </c>
      <c r="W857" s="104">
        <v>0</v>
      </c>
      <c r="X857" s="19"/>
      <c r="Y857" s="103">
        <v>0</v>
      </c>
      <c r="Z857" s="103">
        <v>0</v>
      </c>
      <c r="AA857" s="105">
        <v>0</v>
      </c>
      <c r="AB857" s="106">
        <v>0</v>
      </c>
      <c r="AC857" s="105">
        <v>0</v>
      </c>
      <c r="AD857" s="104">
        <v>0</v>
      </c>
      <c r="AE857" s="104">
        <v>0</v>
      </c>
      <c r="AF857" s="107">
        <v>46265</v>
      </c>
    </row>
    <row r="858" spans="1:32" x14ac:dyDescent="0.25">
      <c r="A858" s="90">
        <v>1058</v>
      </c>
      <c r="B858" s="91" t="s">
        <v>1186</v>
      </c>
      <c r="C858" s="29">
        <v>10580025</v>
      </c>
      <c r="D858" s="92" t="s">
        <v>1066</v>
      </c>
      <c r="E858" s="93" t="s">
        <v>270</v>
      </c>
      <c r="F858" s="93" t="s">
        <v>230</v>
      </c>
      <c r="G858" s="109">
        <v>874.91000000000008</v>
      </c>
      <c r="H858" s="109">
        <v>39117.78</v>
      </c>
      <c r="I858" s="95">
        <v>0</v>
      </c>
      <c r="J858" s="95">
        <v>0</v>
      </c>
      <c r="K858" s="95">
        <v>0</v>
      </c>
      <c r="L858" s="95">
        <v>0</v>
      </c>
      <c r="M858" s="96">
        <v>0</v>
      </c>
      <c r="N858" s="97">
        <v>0</v>
      </c>
      <c r="O858" s="98">
        <v>0</v>
      </c>
      <c r="P858" s="33"/>
      <c r="Q858" s="99" t="s">
        <v>1198</v>
      </c>
      <c r="R858" s="100"/>
      <c r="S858" s="101">
        <v>-4.9979574505506476E-2</v>
      </c>
      <c r="T858" s="102">
        <v>10</v>
      </c>
      <c r="U858" s="103">
        <v>0</v>
      </c>
      <c r="V858" s="103">
        <v>0</v>
      </c>
      <c r="W858" s="104">
        <v>0</v>
      </c>
      <c r="X858" s="19"/>
      <c r="Y858" s="103">
        <v>0</v>
      </c>
      <c r="Z858" s="103">
        <v>0</v>
      </c>
      <c r="AA858" s="105">
        <v>0</v>
      </c>
      <c r="AB858" s="106">
        <v>0</v>
      </c>
      <c r="AC858" s="105">
        <v>0</v>
      </c>
      <c r="AD858" s="104">
        <v>0</v>
      </c>
      <c r="AE858" s="104">
        <v>0</v>
      </c>
      <c r="AF858" s="107">
        <v>46265</v>
      </c>
    </row>
    <row r="859" spans="1:32" x14ac:dyDescent="0.25">
      <c r="A859" s="90">
        <v>1058</v>
      </c>
      <c r="B859" s="91" t="s">
        <v>1186</v>
      </c>
      <c r="C859" s="29">
        <v>10580026</v>
      </c>
      <c r="D859" s="92" t="s">
        <v>1067</v>
      </c>
      <c r="E859" s="93" t="s">
        <v>270</v>
      </c>
      <c r="F859" s="93" t="s">
        <v>230</v>
      </c>
      <c r="G859" s="109">
        <v>67.16</v>
      </c>
      <c r="H859" s="109">
        <v>2821.76</v>
      </c>
      <c r="I859" s="95">
        <v>0</v>
      </c>
      <c r="J859" s="95">
        <v>0</v>
      </c>
      <c r="K859" s="95">
        <v>0</v>
      </c>
      <c r="L859" s="95">
        <v>0</v>
      </c>
      <c r="M859" s="96">
        <v>0</v>
      </c>
      <c r="N859" s="97">
        <v>0</v>
      </c>
      <c r="O859" s="98">
        <v>0</v>
      </c>
      <c r="P859" s="33"/>
      <c r="Q859" s="99" t="s">
        <v>1198</v>
      </c>
      <c r="R859" s="100"/>
      <c r="S859" s="101">
        <v>-7.2072040145157751E-2</v>
      </c>
      <c r="T859" s="102">
        <v>1</v>
      </c>
      <c r="U859" s="103">
        <v>0</v>
      </c>
      <c r="V859" s="103">
        <v>0</v>
      </c>
      <c r="W859" s="104">
        <v>0</v>
      </c>
      <c r="X859" s="19"/>
      <c r="Y859" s="103">
        <v>0</v>
      </c>
      <c r="Z859" s="103">
        <v>0</v>
      </c>
      <c r="AA859" s="105">
        <v>0</v>
      </c>
      <c r="AB859" s="106">
        <v>0</v>
      </c>
      <c r="AC859" s="105">
        <v>0</v>
      </c>
      <c r="AD859" s="104">
        <v>0</v>
      </c>
      <c r="AE859" s="104">
        <v>0</v>
      </c>
      <c r="AF859" s="107">
        <v>46265</v>
      </c>
    </row>
    <row r="860" spans="1:32" x14ac:dyDescent="0.25">
      <c r="A860" s="90">
        <v>1058</v>
      </c>
      <c r="B860" s="91" t="s">
        <v>1186</v>
      </c>
      <c r="C860" s="29">
        <v>10580027</v>
      </c>
      <c r="D860" s="92" t="s">
        <v>1068</v>
      </c>
      <c r="E860" s="93" t="s">
        <v>270</v>
      </c>
      <c r="F860" s="93" t="s">
        <v>230</v>
      </c>
      <c r="G860" s="109">
        <v>99.47999999999999</v>
      </c>
      <c r="H860" s="109">
        <v>4124.7699999999995</v>
      </c>
      <c r="I860" s="95">
        <v>0</v>
      </c>
      <c r="J860" s="95">
        <v>0</v>
      </c>
      <c r="K860" s="95">
        <v>0</v>
      </c>
      <c r="L860" s="95">
        <v>0</v>
      </c>
      <c r="M860" s="96">
        <v>0</v>
      </c>
      <c r="N860" s="97">
        <v>0</v>
      </c>
      <c r="O860" s="98">
        <v>0</v>
      </c>
      <c r="P860" s="33"/>
      <c r="Q860" s="99" t="s">
        <v>1198</v>
      </c>
      <c r="R860" s="100"/>
      <c r="S860" s="101">
        <v>-1.5028716752691615E-2</v>
      </c>
      <c r="T860" s="102">
        <v>1</v>
      </c>
      <c r="U860" s="103">
        <v>0</v>
      </c>
      <c r="V860" s="103">
        <v>0</v>
      </c>
      <c r="W860" s="104">
        <v>0</v>
      </c>
      <c r="X860" s="19"/>
      <c r="Y860" s="103">
        <v>0</v>
      </c>
      <c r="Z860" s="103">
        <v>0</v>
      </c>
      <c r="AA860" s="105">
        <v>0</v>
      </c>
      <c r="AB860" s="106">
        <v>0</v>
      </c>
      <c r="AC860" s="105">
        <v>0</v>
      </c>
      <c r="AD860" s="104">
        <v>0</v>
      </c>
      <c r="AE860" s="104">
        <v>0</v>
      </c>
      <c r="AF860" s="107">
        <v>46265</v>
      </c>
    </row>
    <row r="861" spans="1:32" x14ac:dyDescent="0.25">
      <c r="A861" s="90">
        <v>1058</v>
      </c>
      <c r="B861" s="91" t="s">
        <v>1186</v>
      </c>
      <c r="C861" s="29">
        <v>10580028</v>
      </c>
      <c r="D861" s="92" t="s">
        <v>1069</v>
      </c>
      <c r="E861" s="93" t="s">
        <v>270</v>
      </c>
      <c r="F861" s="93" t="s">
        <v>230</v>
      </c>
      <c r="G861" s="109">
        <v>355.03</v>
      </c>
      <c r="H861" s="109">
        <v>14871.28</v>
      </c>
      <c r="I861" s="95">
        <v>0</v>
      </c>
      <c r="J861" s="95">
        <v>0</v>
      </c>
      <c r="K861" s="95">
        <v>0</v>
      </c>
      <c r="L861" s="95">
        <v>0</v>
      </c>
      <c r="M861" s="96">
        <v>75</v>
      </c>
      <c r="N861" s="97">
        <v>0</v>
      </c>
      <c r="O861" s="98">
        <v>-1</v>
      </c>
      <c r="P861" s="33"/>
      <c r="Q861" s="99" t="s">
        <v>1198</v>
      </c>
      <c r="R861" s="100"/>
      <c r="S861" s="101">
        <v>5.1185910022540628E-3</v>
      </c>
      <c r="T861" s="102">
        <v>2</v>
      </c>
      <c r="U861" s="103">
        <v>0</v>
      </c>
      <c r="V861" s="103">
        <v>0</v>
      </c>
      <c r="W861" s="104">
        <v>0</v>
      </c>
      <c r="X861" s="19"/>
      <c r="Y861" s="103">
        <v>0</v>
      </c>
      <c r="Z861" s="103">
        <v>0</v>
      </c>
      <c r="AA861" s="105">
        <v>0</v>
      </c>
      <c r="AB861" s="106">
        <v>0</v>
      </c>
      <c r="AC861" s="105">
        <v>0</v>
      </c>
      <c r="AD861" s="104">
        <v>0</v>
      </c>
      <c r="AE861" s="104">
        <v>0</v>
      </c>
      <c r="AF861" s="107">
        <v>46265</v>
      </c>
    </row>
    <row r="862" spans="1:32" x14ac:dyDescent="0.25">
      <c r="A862" s="90">
        <v>1058</v>
      </c>
      <c r="B862" s="91" t="s">
        <v>1186</v>
      </c>
      <c r="C862" s="29">
        <v>10580029</v>
      </c>
      <c r="D862" s="92" t="s">
        <v>1019</v>
      </c>
      <c r="E862" s="93" t="s">
        <v>270</v>
      </c>
      <c r="F862" s="93" t="s">
        <v>230</v>
      </c>
      <c r="G862" s="109">
        <v>197.86</v>
      </c>
      <c r="H862" s="109">
        <v>8964.59</v>
      </c>
      <c r="I862" s="95">
        <v>0</v>
      </c>
      <c r="J862" s="95">
        <v>0</v>
      </c>
      <c r="K862" s="95">
        <v>0</v>
      </c>
      <c r="L862" s="95">
        <v>0</v>
      </c>
      <c r="M862" s="96">
        <v>8965</v>
      </c>
      <c r="N862" s="97" t="s">
        <v>285</v>
      </c>
      <c r="O862" s="98">
        <v>8965</v>
      </c>
      <c r="P862" s="33" t="s">
        <v>286</v>
      </c>
      <c r="Q862" s="99" t="s">
        <v>1198</v>
      </c>
      <c r="R862" s="100"/>
      <c r="S862" s="101">
        <v>-0.11563830582324452</v>
      </c>
      <c r="T862" s="102">
        <v>10</v>
      </c>
      <c r="U862" s="103">
        <v>0</v>
      </c>
      <c r="V862" s="103">
        <v>0</v>
      </c>
      <c r="W862" s="104">
        <v>0</v>
      </c>
      <c r="X862" s="19"/>
      <c r="Y862" s="103">
        <v>0</v>
      </c>
      <c r="Z862" s="103">
        <v>0</v>
      </c>
      <c r="AA862" s="105">
        <v>0</v>
      </c>
      <c r="AB862" s="106">
        <v>0</v>
      </c>
      <c r="AC862" s="105">
        <v>0</v>
      </c>
      <c r="AD862" s="104">
        <v>0</v>
      </c>
      <c r="AE862" s="104">
        <v>0</v>
      </c>
      <c r="AF862" s="107">
        <v>46265</v>
      </c>
    </row>
    <row r="863" spans="1:32" x14ac:dyDescent="0.25">
      <c r="A863" s="90">
        <v>1058</v>
      </c>
      <c r="B863" s="91" t="s">
        <v>1186</v>
      </c>
      <c r="C863" s="29">
        <v>10580036</v>
      </c>
      <c r="D863" s="92" t="s">
        <v>1070</v>
      </c>
      <c r="E863" s="93" t="s">
        <v>270</v>
      </c>
      <c r="F863" s="93" t="s">
        <v>230</v>
      </c>
      <c r="G863" s="109">
        <v>242.40000000000003</v>
      </c>
      <c r="H863" s="109">
        <v>10901.37</v>
      </c>
      <c r="I863" s="95">
        <v>0</v>
      </c>
      <c r="J863" s="95">
        <v>0</v>
      </c>
      <c r="K863" s="95">
        <v>0</v>
      </c>
      <c r="L863" s="95">
        <v>0</v>
      </c>
      <c r="M863" s="96">
        <v>184</v>
      </c>
      <c r="N863" s="97">
        <v>0</v>
      </c>
      <c r="O863" s="98">
        <v>0</v>
      </c>
      <c r="P863" s="33"/>
      <c r="Q863" s="99" t="s">
        <v>1198</v>
      </c>
      <c r="R863" s="100"/>
      <c r="S863" s="101">
        <v>1.6896958822606598E-2</v>
      </c>
      <c r="T863" s="102">
        <v>1</v>
      </c>
      <c r="U863" s="103">
        <v>0</v>
      </c>
      <c r="V863" s="103">
        <v>0</v>
      </c>
      <c r="W863" s="104">
        <v>0</v>
      </c>
      <c r="X863" s="19"/>
      <c r="Y863" s="103">
        <v>0</v>
      </c>
      <c r="Z863" s="103">
        <v>0</v>
      </c>
      <c r="AA863" s="105">
        <v>0</v>
      </c>
      <c r="AB863" s="106">
        <v>0</v>
      </c>
      <c r="AC863" s="105">
        <v>0</v>
      </c>
      <c r="AD863" s="104">
        <v>0</v>
      </c>
      <c r="AE863" s="104">
        <v>0</v>
      </c>
      <c r="AF863" s="107">
        <v>46265</v>
      </c>
    </row>
    <row r="864" spans="1:32" x14ac:dyDescent="0.25">
      <c r="A864" s="90">
        <v>1059</v>
      </c>
      <c r="B864" s="91" t="s">
        <v>159</v>
      </c>
      <c r="C864" s="29">
        <v>10590001</v>
      </c>
      <c r="D864" s="92" t="s">
        <v>194</v>
      </c>
      <c r="E864" s="93" t="s">
        <v>270</v>
      </c>
      <c r="F864" s="93" t="s">
        <v>230</v>
      </c>
      <c r="G864" s="109">
        <v>577.09999999999991</v>
      </c>
      <c r="H864" s="109">
        <v>27134.539999999994</v>
      </c>
      <c r="I864" s="95">
        <v>0</v>
      </c>
      <c r="J864" s="95">
        <v>4050</v>
      </c>
      <c r="K864" s="95">
        <v>0</v>
      </c>
      <c r="L864" s="95">
        <v>0</v>
      </c>
      <c r="M864" s="96">
        <v>0</v>
      </c>
      <c r="N864" s="97">
        <v>0</v>
      </c>
      <c r="O864" s="98">
        <v>0</v>
      </c>
      <c r="P864" s="33"/>
      <c r="Q864" s="99" t="s">
        <v>1198</v>
      </c>
      <c r="R864" s="100"/>
      <c r="S864" s="101">
        <v>-0.14902740197548989</v>
      </c>
      <c r="T864" s="102">
        <v>2</v>
      </c>
      <c r="U864" s="103">
        <v>0</v>
      </c>
      <c r="V864" s="103">
        <v>0</v>
      </c>
      <c r="W864" s="104">
        <v>0</v>
      </c>
      <c r="X864" s="19"/>
      <c r="Y864" s="103">
        <v>0</v>
      </c>
      <c r="Z864" s="103">
        <v>0</v>
      </c>
      <c r="AA864" s="105">
        <v>0</v>
      </c>
      <c r="AB864" s="106">
        <v>0</v>
      </c>
      <c r="AC864" s="105">
        <v>0</v>
      </c>
      <c r="AD864" s="104">
        <v>0</v>
      </c>
      <c r="AE864" s="104">
        <v>0</v>
      </c>
      <c r="AF864" s="107">
        <v>46265</v>
      </c>
    </row>
    <row r="865" spans="1:32" x14ac:dyDescent="0.25">
      <c r="A865" s="90">
        <v>1059</v>
      </c>
      <c r="B865" s="91" t="s">
        <v>159</v>
      </c>
      <c r="C865" s="29">
        <v>10590002</v>
      </c>
      <c r="D865" s="92" t="s">
        <v>1071</v>
      </c>
      <c r="E865" s="93" t="s">
        <v>270</v>
      </c>
      <c r="F865" s="93" t="s">
        <v>230</v>
      </c>
      <c r="G865" s="109">
        <v>54.9</v>
      </c>
      <c r="H865" s="109">
        <v>3411.3</v>
      </c>
      <c r="I865" s="95">
        <v>0</v>
      </c>
      <c r="J865" s="95">
        <v>0</v>
      </c>
      <c r="K865" s="95">
        <v>500</v>
      </c>
      <c r="L865" s="95">
        <v>0</v>
      </c>
      <c r="M865" s="96">
        <v>0</v>
      </c>
      <c r="N865" s="97">
        <v>0</v>
      </c>
      <c r="O865" s="98">
        <v>0</v>
      </c>
      <c r="P865" s="33"/>
      <c r="Q865" s="99" t="s">
        <v>1198</v>
      </c>
      <c r="R865" s="100"/>
      <c r="S865" s="101">
        <v>0</v>
      </c>
      <c r="T865" s="102">
        <v>1</v>
      </c>
      <c r="U865" s="103">
        <v>0</v>
      </c>
      <c r="V865" s="103">
        <v>0</v>
      </c>
      <c r="W865" s="104">
        <v>0</v>
      </c>
      <c r="X865" s="19"/>
      <c r="Y865" s="103">
        <v>500</v>
      </c>
      <c r="Z865" s="103">
        <v>0</v>
      </c>
      <c r="AA865" s="105">
        <v>0</v>
      </c>
      <c r="AB865" s="106">
        <v>500</v>
      </c>
      <c r="AC865" s="105">
        <v>500</v>
      </c>
      <c r="AD865" s="104">
        <v>0</v>
      </c>
      <c r="AE865" s="104">
        <v>0</v>
      </c>
      <c r="AF865" s="107">
        <v>46265</v>
      </c>
    </row>
    <row r="866" spans="1:32" x14ac:dyDescent="0.25">
      <c r="A866" s="90">
        <v>1059</v>
      </c>
      <c r="B866" s="91" t="s">
        <v>159</v>
      </c>
      <c r="C866" s="29">
        <v>10590004</v>
      </c>
      <c r="D866" s="92" t="s">
        <v>181</v>
      </c>
      <c r="E866" s="93" t="s">
        <v>270</v>
      </c>
      <c r="F866" s="93" t="s">
        <v>230</v>
      </c>
      <c r="G866" s="109">
        <v>950.59999999999991</v>
      </c>
      <c r="H866" s="109">
        <v>36161.660000000003</v>
      </c>
      <c r="I866" s="95">
        <v>0</v>
      </c>
      <c r="J866" s="95">
        <v>6750</v>
      </c>
      <c r="K866" s="95">
        <v>0</v>
      </c>
      <c r="L866" s="95">
        <v>0</v>
      </c>
      <c r="M866" s="96">
        <v>150</v>
      </c>
      <c r="N866" s="97">
        <v>0</v>
      </c>
      <c r="O866" s="98">
        <v>0</v>
      </c>
      <c r="P866" s="33"/>
      <c r="Q866" s="99" t="s">
        <v>1198</v>
      </c>
      <c r="R866" s="100"/>
      <c r="S866" s="101">
        <v>4.1320005774072742E-3</v>
      </c>
      <c r="T866" s="102">
        <v>2</v>
      </c>
      <c r="U866" s="103">
        <v>0</v>
      </c>
      <c r="V866" s="103">
        <v>0</v>
      </c>
      <c r="W866" s="104">
        <v>0</v>
      </c>
      <c r="X866" s="19"/>
      <c r="Y866" s="103">
        <v>0</v>
      </c>
      <c r="Z866" s="103">
        <v>0</v>
      </c>
      <c r="AA866" s="105">
        <v>0</v>
      </c>
      <c r="AB866" s="106">
        <v>0</v>
      </c>
      <c r="AC866" s="105">
        <v>0</v>
      </c>
      <c r="AD866" s="104">
        <v>0</v>
      </c>
      <c r="AE866" s="104">
        <v>0</v>
      </c>
      <c r="AF866" s="107">
        <v>46265</v>
      </c>
    </row>
    <row r="867" spans="1:32" x14ac:dyDescent="0.25">
      <c r="A867" s="90">
        <v>1059</v>
      </c>
      <c r="B867" s="91" t="s">
        <v>159</v>
      </c>
      <c r="C867" s="29">
        <v>10590006</v>
      </c>
      <c r="D867" s="92" t="s">
        <v>1072</v>
      </c>
      <c r="E867" s="93" t="s">
        <v>270</v>
      </c>
      <c r="F867" s="93" t="s">
        <v>230</v>
      </c>
      <c r="G867" s="109">
        <v>1108.6999999999998</v>
      </c>
      <c r="H867" s="109">
        <v>51666.600000000006</v>
      </c>
      <c r="I867" s="95">
        <v>0</v>
      </c>
      <c r="J867" s="95">
        <v>0</v>
      </c>
      <c r="K867" s="95">
        <v>0</v>
      </c>
      <c r="L867" s="95">
        <v>0</v>
      </c>
      <c r="M867" s="96">
        <v>36</v>
      </c>
      <c r="N867" s="97">
        <v>0</v>
      </c>
      <c r="O867" s="98">
        <v>1</v>
      </c>
      <c r="P867" s="33"/>
      <c r="Q867" s="99" t="s">
        <v>1198</v>
      </c>
      <c r="R867" s="100"/>
      <c r="S867" s="101">
        <v>6.6290408116627462E-4</v>
      </c>
      <c r="T867" s="102">
        <v>18</v>
      </c>
      <c r="U867" s="103">
        <v>0</v>
      </c>
      <c r="V867" s="103">
        <v>0</v>
      </c>
      <c r="W867" s="104">
        <v>0</v>
      </c>
      <c r="X867" s="19"/>
      <c r="Y867" s="103">
        <v>0</v>
      </c>
      <c r="Z867" s="103">
        <v>0</v>
      </c>
      <c r="AA867" s="105">
        <v>0</v>
      </c>
      <c r="AB867" s="106">
        <v>0</v>
      </c>
      <c r="AC867" s="105">
        <v>0</v>
      </c>
      <c r="AD867" s="104">
        <v>0</v>
      </c>
      <c r="AE867" s="104">
        <v>0</v>
      </c>
      <c r="AF867" s="107">
        <v>46265</v>
      </c>
    </row>
    <row r="868" spans="1:32" x14ac:dyDescent="0.25">
      <c r="A868" s="90">
        <v>1059</v>
      </c>
      <c r="B868" s="91" t="s">
        <v>159</v>
      </c>
      <c r="C868" s="29">
        <v>10590007</v>
      </c>
      <c r="D868" s="92" t="s">
        <v>352</v>
      </c>
      <c r="E868" s="93" t="s">
        <v>270</v>
      </c>
      <c r="F868" s="93" t="s">
        <v>230</v>
      </c>
      <c r="G868" s="109">
        <v>235.7</v>
      </c>
      <c r="H868" s="109">
        <v>11148.710000000001</v>
      </c>
      <c r="I868" s="95">
        <v>0</v>
      </c>
      <c r="J868" s="95">
        <v>0</v>
      </c>
      <c r="K868" s="95">
        <v>0</v>
      </c>
      <c r="L868" s="95">
        <v>0</v>
      </c>
      <c r="M868" s="96">
        <v>0</v>
      </c>
      <c r="N868" s="97">
        <v>0</v>
      </c>
      <c r="O868" s="98">
        <v>0</v>
      </c>
      <c r="P868" s="33"/>
      <c r="Q868" s="99" t="s">
        <v>1198</v>
      </c>
      <c r="R868" s="100"/>
      <c r="S868" s="101">
        <v>-5.6392174520640322E-3</v>
      </c>
      <c r="T868" s="102">
        <v>1</v>
      </c>
      <c r="U868" s="103">
        <v>0</v>
      </c>
      <c r="V868" s="103">
        <v>0</v>
      </c>
      <c r="W868" s="104">
        <v>0</v>
      </c>
      <c r="X868" s="19"/>
      <c r="Y868" s="103">
        <v>0</v>
      </c>
      <c r="Z868" s="103">
        <v>0</v>
      </c>
      <c r="AA868" s="105">
        <v>0</v>
      </c>
      <c r="AB868" s="106">
        <v>0</v>
      </c>
      <c r="AC868" s="105">
        <v>0</v>
      </c>
      <c r="AD868" s="104">
        <v>0</v>
      </c>
      <c r="AE868" s="104">
        <v>0</v>
      </c>
      <c r="AF868" s="107">
        <v>46265</v>
      </c>
    </row>
    <row r="869" spans="1:32" x14ac:dyDescent="0.25">
      <c r="A869" s="90">
        <v>1059</v>
      </c>
      <c r="B869" s="91" t="s">
        <v>159</v>
      </c>
      <c r="C869" s="29">
        <v>10590008</v>
      </c>
      <c r="D869" s="92" t="s">
        <v>1073</v>
      </c>
      <c r="E869" s="93" t="s">
        <v>270</v>
      </c>
      <c r="F869" s="93" t="s">
        <v>230</v>
      </c>
      <c r="G869" s="109">
        <v>334.79999999999995</v>
      </c>
      <c r="H869" s="109">
        <v>15503.739999999998</v>
      </c>
      <c r="I869" s="95">
        <v>0</v>
      </c>
      <c r="J869" s="95">
        <v>0</v>
      </c>
      <c r="K869" s="95">
        <v>0</v>
      </c>
      <c r="L869" s="95">
        <v>0</v>
      </c>
      <c r="M869" s="96">
        <v>0</v>
      </c>
      <c r="N869" s="97">
        <v>0</v>
      </c>
      <c r="O869" s="98">
        <v>0</v>
      </c>
      <c r="P869" s="33"/>
      <c r="Q869" s="99" t="s">
        <v>1198</v>
      </c>
      <c r="R869" s="100"/>
      <c r="S869" s="101">
        <v>-2.8418949234184461E-3</v>
      </c>
      <c r="T869" s="102">
        <v>1</v>
      </c>
      <c r="U869" s="103">
        <v>0</v>
      </c>
      <c r="V869" s="103">
        <v>0</v>
      </c>
      <c r="W869" s="104">
        <v>0</v>
      </c>
      <c r="X869" s="19"/>
      <c r="Y869" s="103">
        <v>0</v>
      </c>
      <c r="Z869" s="103">
        <v>0</v>
      </c>
      <c r="AA869" s="105">
        <v>0</v>
      </c>
      <c r="AB869" s="106">
        <v>0</v>
      </c>
      <c r="AC869" s="105">
        <v>0</v>
      </c>
      <c r="AD869" s="104">
        <v>0</v>
      </c>
      <c r="AE869" s="104">
        <v>0</v>
      </c>
      <c r="AF869" s="107">
        <v>46265</v>
      </c>
    </row>
    <row r="870" spans="1:32" x14ac:dyDescent="0.25">
      <c r="A870" s="90">
        <v>1059</v>
      </c>
      <c r="B870" s="91" t="s">
        <v>159</v>
      </c>
      <c r="C870" s="29">
        <v>10590009</v>
      </c>
      <c r="D870" s="92" t="s">
        <v>195</v>
      </c>
      <c r="E870" s="93" t="s">
        <v>270</v>
      </c>
      <c r="F870" s="93" t="s">
        <v>230</v>
      </c>
      <c r="G870" s="109">
        <v>723.99999999999977</v>
      </c>
      <c r="H870" s="109">
        <v>38091.220000000008</v>
      </c>
      <c r="I870" s="95">
        <v>0</v>
      </c>
      <c r="J870" s="95">
        <v>2700</v>
      </c>
      <c r="K870" s="95">
        <v>0</v>
      </c>
      <c r="L870" s="95">
        <v>0</v>
      </c>
      <c r="M870" s="96">
        <v>0</v>
      </c>
      <c r="N870" s="97">
        <v>0</v>
      </c>
      <c r="O870" s="98">
        <v>0</v>
      </c>
      <c r="P870" s="33"/>
      <c r="Q870" s="99" t="s">
        <v>1198</v>
      </c>
      <c r="R870" s="100"/>
      <c r="S870" s="101">
        <v>-5.2886203172276911E-3</v>
      </c>
      <c r="T870" s="102">
        <v>1</v>
      </c>
      <c r="U870" s="103">
        <v>0</v>
      </c>
      <c r="V870" s="103">
        <v>0</v>
      </c>
      <c r="W870" s="104">
        <v>0</v>
      </c>
      <c r="X870" s="19"/>
      <c r="Y870" s="103">
        <v>0</v>
      </c>
      <c r="Z870" s="103">
        <v>0</v>
      </c>
      <c r="AA870" s="105">
        <v>0</v>
      </c>
      <c r="AB870" s="106">
        <v>0</v>
      </c>
      <c r="AC870" s="105">
        <v>0</v>
      </c>
      <c r="AD870" s="104">
        <v>0</v>
      </c>
      <c r="AE870" s="104">
        <v>0</v>
      </c>
      <c r="AF870" s="107">
        <v>46265</v>
      </c>
    </row>
    <row r="871" spans="1:32" x14ac:dyDescent="0.25">
      <c r="A871" s="90">
        <v>1059</v>
      </c>
      <c r="B871" s="91" t="s">
        <v>159</v>
      </c>
      <c r="C871" s="29">
        <v>10590010</v>
      </c>
      <c r="D871" s="92" t="s">
        <v>1074</v>
      </c>
      <c r="E871" s="93" t="s">
        <v>270</v>
      </c>
      <c r="F871" s="93" t="s">
        <v>230</v>
      </c>
      <c r="G871" s="109">
        <v>1107</v>
      </c>
      <c r="H871" s="109">
        <v>53741.120000000003</v>
      </c>
      <c r="I871" s="95">
        <v>0</v>
      </c>
      <c r="J871" s="95">
        <v>0</v>
      </c>
      <c r="K871" s="95">
        <v>0</v>
      </c>
      <c r="L871" s="95">
        <v>0</v>
      </c>
      <c r="M871" s="96">
        <v>0</v>
      </c>
      <c r="N871" s="97">
        <v>0</v>
      </c>
      <c r="O871" s="98">
        <v>0</v>
      </c>
      <c r="P871" s="33"/>
      <c r="Q871" s="99" t="s">
        <v>1198</v>
      </c>
      <c r="R871" s="100"/>
      <c r="S871" s="101">
        <v>-1.2500669878111874E-2</v>
      </c>
      <c r="T871" s="102">
        <v>3</v>
      </c>
      <c r="U871" s="103">
        <v>0</v>
      </c>
      <c r="V871" s="103">
        <v>0</v>
      </c>
      <c r="W871" s="104">
        <v>0</v>
      </c>
      <c r="X871" s="19"/>
      <c r="Y871" s="103">
        <v>0</v>
      </c>
      <c r="Z871" s="103">
        <v>0</v>
      </c>
      <c r="AA871" s="105">
        <v>0</v>
      </c>
      <c r="AB871" s="106">
        <v>0</v>
      </c>
      <c r="AC871" s="105">
        <v>0</v>
      </c>
      <c r="AD871" s="104">
        <v>0</v>
      </c>
      <c r="AE871" s="104">
        <v>0</v>
      </c>
      <c r="AF871" s="107">
        <v>46265</v>
      </c>
    </row>
    <row r="872" spans="1:32" x14ac:dyDescent="0.25">
      <c r="A872" s="90">
        <v>1059</v>
      </c>
      <c r="B872" s="91" t="s">
        <v>159</v>
      </c>
      <c r="C872" s="29">
        <v>10590011</v>
      </c>
      <c r="D872" s="92" t="s">
        <v>1075</v>
      </c>
      <c r="E872" s="93" t="s">
        <v>270</v>
      </c>
      <c r="F872" s="93" t="s">
        <v>230</v>
      </c>
      <c r="G872" s="109">
        <v>323.5</v>
      </c>
      <c r="H872" s="109">
        <v>12785.460000000001</v>
      </c>
      <c r="I872" s="95">
        <v>0</v>
      </c>
      <c r="J872" s="95">
        <v>0</v>
      </c>
      <c r="K872" s="95">
        <v>0</v>
      </c>
      <c r="L872" s="95">
        <v>0</v>
      </c>
      <c r="M872" s="96">
        <v>0</v>
      </c>
      <c r="N872" s="97">
        <v>0</v>
      </c>
      <c r="O872" s="98">
        <v>0</v>
      </c>
      <c r="P872" s="33"/>
      <c r="Q872" s="99" t="s">
        <v>1198</v>
      </c>
      <c r="R872" s="100"/>
      <c r="S872" s="101">
        <v>-0.19844808086685956</v>
      </c>
      <c r="T872" s="102">
        <v>5</v>
      </c>
      <c r="U872" s="103">
        <v>0</v>
      </c>
      <c r="V872" s="103">
        <v>0</v>
      </c>
      <c r="W872" s="104">
        <v>0</v>
      </c>
      <c r="X872" s="19"/>
      <c r="Y872" s="103">
        <v>0</v>
      </c>
      <c r="Z872" s="103">
        <v>0</v>
      </c>
      <c r="AA872" s="105">
        <v>0</v>
      </c>
      <c r="AB872" s="106">
        <v>0</v>
      </c>
      <c r="AC872" s="105">
        <v>0</v>
      </c>
      <c r="AD872" s="104">
        <v>0</v>
      </c>
      <c r="AE872" s="104">
        <v>0</v>
      </c>
      <c r="AF872" s="107">
        <v>46265</v>
      </c>
    </row>
    <row r="873" spans="1:32" x14ac:dyDescent="0.25">
      <c r="A873" s="90">
        <v>1059</v>
      </c>
      <c r="B873" s="91" t="s">
        <v>159</v>
      </c>
      <c r="C873" s="29">
        <v>10590012</v>
      </c>
      <c r="D873" s="92" t="s">
        <v>180</v>
      </c>
      <c r="E873" s="93" t="s">
        <v>270</v>
      </c>
      <c r="F873" s="93" t="s">
        <v>230</v>
      </c>
      <c r="G873" s="109">
        <v>1222.5</v>
      </c>
      <c r="H873" s="109">
        <v>51863.950000000012</v>
      </c>
      <c r="I873" s="95">
        <v>0</v>
      </c>
      <c r="J873" s="95">
        <v>1350</v>
      </c>
      <c r="K873" s="95">
        <v>0</v>
      </c>
      <c r="L873" s="95">
        <v>0</v>
      </c>
      <c r="M873" s="96">
        <v>0</v>
      </c>
      <c r="N873" s="97">
        <v>0</v>
      </c>
      <c r="O873" s="98">
        <v>0</v>
      </c>
      <c r="P873" s="33"/>
      <c r="Q873" s="99" t="s">
        <v>1198</v>
      </c>
      <c r="R873" s="100"/>
      <c r="S873" s="101">
        <v>-7.3871542757541389E-2</v>
      </c>
      <c r="T873" s="102">
        <v>2</v>
      </c>
      <c r="U873" s="103">
        <v>0</v>
      </c>
      <c r="V873" s="103">
        <v>0</v>
      </c>
      <c r="W873" s="104">
        <v>0</v>
      </c>
      <c r="X873" s="19"/>
      <c r="Y873" s="103">
        <v>0</v>
      </c>
      <c r="Z873" s="103">
        <v>0</v>
      </c>
      <c r="AA873" s="105">
        <v>0</v>
      </c>
      <c r="AB873" s="106">
        <v>0</v>
      </c>
      <c r="AC873" s="105">
        <v>0</v>
      </c>
      <c r="AD873" s="104">
        <v>0</v>
      </c>
      <c r="AE873" s="104">
        <v>0</v>
      </c>
      <c r="AF873" s="107">
        <v>46265</v>
      </c>
    </row>
    <row r="874" spans="1:32" x14ac:dyDescent="0.25">
      <c r="A874" s="90">
        <v>1059</v>
      </c>
      <c r="B874" s="91" t="s">
        <v>159</v>
      </c>
      <c r="C874" s="29">
        <v>10590013</v>
      </c>
      <c r="D874" s="92" t="s">
        <v>196</v>
      </c>
      <c r="E874" s="93" t="s">
        <v>270</v>
      </c>
      <c r="F874" s="93" t="s">
        <v>230</v>
      </c>
      <c r="G874" s="109">
        <v>494.49999999999994</v>
      </c>
      <c r="H874" s="109">
        <v>24294.58</v>
      </c>
      <c r="I874" s="95">
        <v>0</v>
      </c>
      <c r="J874" s="95">
        <v>1350</v>
      </c>
      <c r="K874" s="95">
        <v>0</v>
      </c>
      <c r="L874" s="95">
        <v>0</v>
      </c>
      <c r="M874" s="96">
        <v>670</v>
      </c>
      <c r="N874" s="97">
        <v>0</v>
      </c>
      <c r="O874" s="98">
        <v>0</v>
      </c>
      <c r="P874" s="33"/>
      <c r="Q874" s="99" t="s">
        <v>1198</v>
      </c>
      <c r="R874" s="100"/>
      <c r="S874" s="101">
        <v>2.7548943015273251E-2</v>
      </c>
      <c r="T874" s="102">
        <v>1</v>
      </c>
      <c r="U874" s="103">
        <v>0</v>
      </c>
      <c r="V874" s="103">
        <v>0</v>
      </c>
      <c r="W874" s="104">
        <v>0</v>
      </c>
      <c r="X874" s="19"/>
      <c r="Y874" s="103">
        <v>0</v>
      </c>
      <c r="Z874" s="103">
        <v>0</v>
      </c>
      <c r="AA874" s="105">
        <v>0</v>
      </c>
      <c r="AB874" s="106">
        <v>0</v>
      </c>
      <c r="AC874" s="105">
        <v>0</v>
      </c>
      <c r="AD874" s="104">
        <v>0</v>
      </c>
      <c r="AE874" s="104">
        <v>0</v>
      </c>
      <c r="AF874" s="107">
        <v>46265</v>
      </c>
    </row>
    <row r="875" spans="1:32" x14ac:dyDescent="0.25">
      <c r="A875" s="90">
        <v>1059</v>
      </c>
      <c r="B875" s="91" t="s">
        <v>159</v>
      </c>
      <c r="C875" s="29">
        <v>10590014</v>
      </c>
      <c r="D875" s="92" t="s">
        <v>1076</v>
      </c>
      <c r="E875" s="93" t="s">
        <v>270</v>
      </c>
      <c r="F875" s="93" t="s">
        <v>230</v>
      </c>
      <c r="G875" s="109">
        <v>595.59999999999991</v>
      </c>
      <c r="H875" s="109">
        <v>28642.65</v>
      </c>
      <c r="I875" s="95">
        <v>0</v>
      </c>
      <c r="J875" s="95">
        <v>0</v>
      </c>
      <c r="K875" s="95">
        <v>0</v>
      </c>
      <c r="L875" s="95">
        <v>0</v>
      </c>
      <c r="M875" s="96">
        <v>8</v>
      </c>
      <c r="N875" s="97">
        <v>0</v>
      </c>
      <c r="O875" s="98">
        <v>0</v>
      </c>
      <c r="P875" s="33"/>
      <c r="Q875" s="99" t="s">
        <v>1198</v>
      </c>
      <c r="R875" s="100"/>
      <c r="S875" s="101">
        <v>2.8244593290089373E-4</v>
      </c>
      <c r="T875" s="102">
        <v>1</v>
      </c>
      <c r="U875" s="103">
        <v>0</v>
      </c>
      <c r="V875" s="103">
        <v>0</v>
      </c>
      <c r="W875" s="104">
        <v>0</v>
      </c>
      <c r="X875" s="19"/>
      <c r="Y875" s="103">
        <v>0</v>
      </c>
      <c r="Z875" s="103">
        <v>0</v>
      </c>
      <c r="AA875" s="105">
        <v>0</v>
      </c>
      <c r="AB875" s="106">
        <v>0</v>
      </c>
      <c r="AC875" s="105">
        <v>0</v>
      </c>
      <c r="AD875" s="104">
        <v>0</v>
      </c>
      <c r="AE875" s="104">
        <v>0</v>
      </c>
      <c r="AF875" s="107">
        <v>46265</v>
      </c>
    </row>
    <row r="876" spans="1:32" x14ac:dyDescent="0.25">
      <c r="A876" s="90">
        <v>1059</v>
      </c>
      <c r="B876" s="91" t="s">
        <v>159</v>
      </c>
      <c r="C876" s="29">
        <v>10590015</v>
      </c>
      <c r="D876" s="92" t="s">
        <v>1077</v>
      </c>
      <c r="E876" s="93" t="s">
        <v>275</v>
      </c>
      <c r="F876" s="93" t="s">
        <v>230</v>
      </c>
      <c r="G876" s="109">
        <v>45.5</v>
      </c>
      <c r="H876" s="109">
        <v>1513.59</v>
      </c>
      <c r="I876" s="95">
        <v>0</v>
      </c>
      <c r="J876" s="95">
        <v>0</v>
      </c>
      <c r="K876" s="95">
        <v>0</v>
      </c>
      <c r="L876" s="95">
        <v>0</v>
      </c>
      <c r="M876" s="96">
        <v>0</v>
      </c>
      <c r="N876" s="97">
        <v>0</v>
      </c>
      <c r="O876" s="98">
        <v>0</v>
      </c>
      <c r="P876" s="33"/>
      <c r="Q876" s="99" t="s">
        <v>1198</v>
      </c>
      <c r="R876" s="100"/>
      <c r="S876" s="101">
        <v>-1.5022144401273268E-16</v>
      </c>
      <c r="T876" s="102">
        <v>1</v>
      </c>
      <c r="U876" s="103">
        <v>0</v>
      </c>
      <c r="V876" s="103">
        <v>0</v>
      </c>
      <c r="W876" s="104">
        <v>0</v>
      </c>
      <c r="X876" s="19"/>
      <c r="Y876" s="103">
        <v>0</v>
      </c>
      <c r="Z876" s="103">
        <v>0</v>
      </c>
      <c r="AA876" s="105">
        <v>0</v>
      </c>
      <c r="AB876" s="106">
        <v>0</v>
      </c>
      <c r="AC876" s="105">
        <v>0</v>
      </c>
      <c r="AD876" s="104">
        <v>0</v>
      </c>
      <c r="AE876" s="104">
        <v>0</v>
      </c>
      <c r="AF876" s="107">
        <v>46265</v>
      </c>
    </row>
    <row r="877" spans="1:32" x14ac:dyDescent="0.25">
      <c r="A877" s="90">
        <v>1059</v>
      </c>
      <c r="B877" s="91" t="s">
        <v>159</v>
      </c>
      <c r="C877" s="29">
        <v>10590016</v>
      </c>
      <c r="D877" s="92" t="s">
        <v>1078</v>
      </c>
      <c r="E877" s="93" t="s">
        <v>275</v>
      </c>
      <c r="F877" s="93" t="s">
        <v>231</v>
      </c>
      <c r="G877" s="109">
        <v>326.3</v>
      </c>
      <c r="H877" s="109">
        <v>17601.230000000003</v>
      </c>
      <c r="I877" s="95">
        <v>0</v>
      </c>
      <c r="J877" s="95">
        <v>0</v>
      </c>
      <c r="K877" s="95">
        <v>0</v>
      </c>
      <c r="L877" s="95">
        <v>0</v>
      </c>
      <c r="M877" s="96">
        <v>0</v>
      </c>
      <c r="N877" s="97">
        <v>0</v>
      </c>
      <c r="O877" s="98">
        <v>0</v>
      </c>
      <c r="P877" s="33"/>
      <c r="Q877" s="99" t="s">
        <v>1198</v>
      </c>
      <c r="R877" s="100"/>
      <c r="S877" s="101">
        <v>0</v>
      </c>
      <c r="T877" s="102">
        <v>0</v>
      </c>
      <c r="U877" s="103">
        <v>0</v>
      </c>
      <c r="V877" s="103">
        <v>0</v>
      </c>
      <c r="W877" s="104">
        <v>0</v>
      </c>
      <c r="X877" s="19"/>
      <c r="Y877" s="103">
        <v>0</v>
      </c>
      <c r="Z877" s="103">
        <v>0</v>
      </c>
      <c r="AA877" s="105">
        <v>0</v>
      </c>
      <c r="AB877" s="106">
        <v>0</v>
      </c>
      <c r="AC877" s="105">
        <v>0</v>
      </c>
      <c r="AD877" s="104">
        <v>0</v>
      </c>
      <c r="AE877" s="104">
        <v>0</v>
      </c>
      <c r="AF877" s="107">
        <v>46265</v>
      </c>
    </row>
    <row r="878" spans="1:32" x14ac:dyDescent="0.25">
      <c r="A878" s="90">
        <v>1014</v>
      </c>
      <c r="B878" s="91" t="s">
        <v>132</v>
      </c>
      <c r="C878" s="29">
        <v>10600001</v>
      </c>
      <c r="D878" s="92" t="s">
        <v>1079</v>
      </c>
      <c r="E878" s="93" t="s">
        <v>270</v>
      </c>
      <c r="F878" s="93" t="s">
        <v>230</v>
      </c>
      <c r="G878" s="109">
        <v>45.7</v>
      </c>
      <c r="H878" s="109">
        <v>1775.8</v>
      </c>
      <c r="I878" s="95">
        <v>0</v>
      </c>
      <c r="J878" s="95">
        <v>0</v>
      </c>
      <c r="K878" s="95">
        <v>0</v>
      </c>
      <c r="L878" s="95">
        <v>0</v>
      </c>
      <c r="M878" s="96">
        <v>0</v>
      </c>
      <c r="N878" s="97">
        <v>0</v>
      </c>
      <c r="O878" s="98">
        <v>0</v>
      </c>
      <c r="P878" s="33"/>
      <c r="Q878" s="99" t="s">
        <v>1198</v>
      </c>
      <c r="R878" s="100"/>
      <c r="S878" s="101">
        <v>-1.8020047302620584E-4</v>
      </c>
      <c r="T878" s="102">
        <v>2</v>
      </c>
      <c r="U878" s="103">
        <v>0</v>
      </c>
      <c r="V878" s="103">
        <v>0</v>
      </c>
      <c r="W878" s="104">
        <v>0</v>
      </c>
      <c r="X878" s="19"/>
      <c r="Y878" s="103">
        <v>0</v>
      </c>
      <c r="Z878" s="103">
        <v>0</v>
      </c>
      <c r="AA878" s="105">
        <v>0</v>
      </c>
      <c r="AB878" s="106">
        <v>0</v>
      </c>
      <c r="AC878" s="105">
        <v>0</v>
      </c>
      <c r="AD878" s="104">
        <v>0</v>
      </c>
      <c r="AE878" s="104">
        <v>0</v>
      </c>
      <c r="AF878" s="107">
        <v>46265</v>
      </c>
    </row>
    <row r="879" spans="1:32" x14ac:dyDescent="0.25">
      <c r="A879" s="90">
        <v>1014</v>
      </c>
      <c r="B879" s="91" t="s">
        <v>132</v>
      </c>
      <c r="C879" s="29">
        <v>10600002</v>
      </c>
      <c r="D879" s="92" t="s">
        <v>1080</v>
      </c>
      <c r="E879" s="93" t="s">
        <v>270</v>
      </c>
      <c r="F879" s="93" t="s">
        <v>230</v>
      </c>
      <c r="G879" s="109">
        <v>425.20000000000005</v>
      </c>
      <c r="H879" s="109">
        <v>16958.200000000004</v>
      </c>
      <c r="I879" s="95">
        <v>0</v>
      </c>
      <c r="J879" s="95">
        <v>0</v>
      </c>
      <c r="K879" s="95">
        <v>0</v>
      </c>
      <c r="L879" s="95">
        <v>0</v>
      </c>
      <c r="M879" s="96">
        <v>0</v>
      </c>
      <c r="N879" s="97">
        <v>0</v>
      </c>
      <c r="O879" s="98">
        <v>0</v>
      </c>
      <c r="P879" s="33"/>
      <c r="Q879" s="99" t="s">
        <v>1198</v>
      </c>
      <c r="R879" s="100"/>
      <c r="S879" s="101">
        <v>-4.7850007665907753E-2</v>
      </c>
      <c r="T879" s="102">
        <v>1</v>
      </c>
      <c r="U879" s="103">
        <v>0</v>
      </c>
      <c r="V879" s="103">
        <v>0</v>
      </c>
      <c r="W879" s="104">
        <v>0</v>
      </c>
      <c r="X879" s="19"/>
      <c r="Y879" s="103">
        <v>0</v>
      </c>
      <c r="Z879" s="103">
        <v>0</v>
      </c>
      <c r="AA879" s="105">
        <v>0</v>
      </c>
      <c r="AB879" s="106">
        <v>0</v>
      </c>
      <c r="AC879" s="105">
        <v>0</v>
      </c>
      <c r="AD879" s="104">
        <v>0</v>
      </c>
      <c r="AE879" s="104">
        <v>0</v>
      </c>
      <c r="AF879" s="107">
        <v>46265</v>
      </c>
    </row>
    <row r="880" spans="1:32" x14ac:dyDescent="0.25">
      <c r="A880" s="90">
        <v>1014</v>
      </c>
      <c r="B880" s="91" t="s">
        <v>132</v>
      </c>
      <c r="C880" s="29">
        <v>10600004</v>
      </c>
      <c r="D880" s="92" t="s">
        <v>1081</v>
      </c>
      <c r="E880" s="93" t="s">
        <v>270</v>
      </c>
      <c r="F880" s="93" t="s">
        <v>230</v>
      </c>
      <c r="G880" s="109">
        <v>70.899999999999991</v>
      </c>
      <c r="H880" s="109">
        <v>2949.23</v>
      </c>
      <c r="I880" s="95">
        <v>0</v>
      </c>
      <c r="J880" s="95">
        <v>1330</v>
      </c>
      <c r="K880" s="95">
        <v>0</v>
      </c>
      <c r="L880" s="95">
        <v>0</v>
      </c>
      <c r="M880" s="96">
        <v>-728</v>
      </c>
      <c r="N880" s="97" t="s">
        <v>331</v>
      </c>
      <c r="O880" s="98">
        <v>-728</v>
      </c>
      <c r="P880" s="33" t="s">
        <v>1082</v>
      </c>
      <c r="Q880" s="99" t="s">
        <v>1198</v>
      </c>
      <c r="R880" s="100"/>
      <c r="S880" s="101">
        <v>-0.56185851900326511</v>
      </c>
      <c r="T880" s="102">
        <v>2</v>
      </c>
      <c r="U880" s="103">
        <v>0</v>
      </c>
      <c r="V880" s="103">
        <v>0</v>
      </c>
      <c r="W880" s="104">
        <v>0</v>
      </c>
      <c r="X880" s="19"/>
      <c r="Y880" s="103">
        <v>0</v>
      </c>
      <c r="Z880" s="103">
        <v>0</v>
      </c>
      <c r="AA880" s="105">
        <v>0</v>
      </c>
      <c r="AB880" s="106">
        <v>0</v>
      </c>
      <c r="AC880" s="105">
        <v>0</v>
      </c>
      <c r="AD880" s="104">
        <v>0</v>
      </c>
      <c r="AE880" s="104">
        <v>-728</v>
      </c>
      <c r="AF880" s="107">
        <v>46265</v>
      </c>
    </row>
    <row r="881" spans="1:32" x14ac:dyDescent="0.25">
      <c r="A881" s="90">
        <v>1014</v>
      </c>
      <c r="B881" s="91" t="s">
        <v>132</v>
      </c>
      <c r="C881" s="29">
        <v>10600005</v>
      </c>
      <c r="D881" s="92" t="s">
        <v>1083</v>
      </c>
      <c r="E881" s="93" t="s">
        <v>270</v>
      </c>
      <c r="F881" s="93" t="s">
        <v>230</v>
      </c>
      <c r="G881" s="109">
        <v>32.900000000000006</v>
      </c>
      <c r="H881" s="109">
        <v>1341.2699999999998</v>
      </c>
      <c r="I881" s="95">
        <v>0</v>
      </c>
      <c r="J881" s="95">
        <v>1330</v>
      </c>
      <c r="K881" s="95">
        <v>0</v>
      </c>
      <c r="L881" s="95">
        <v>0</v>
      </c>
      <c r="M881" s="96">
        <v>3</v>
      </c>
      <c r="N881" s="97">
        <v>0</v>
      </c>
      <c r="O881" s="98">
        <v>0</v>
      </c>
      <c r="P881" s="33"/>
      <c r="Q881" s="99" t="s">
        <v>1198</v>
      </c>
      <c r="R881" s="100"/>
      <c r="S881" s="101">
        <v>2.6914789714223633E-3</v>
      </c>
      <c r="T881" s="102">
        <v>1</v>
      </c>
      <c r="U881" s="103">
        <v>0</v>
      </c>
      <c r="V881" s="103">
        <v>0</v>
      </c>
      <c r="W881" s="104">
        <v>0</v>
      </c>
      <c r="X881" s="19"/>
      <c r="Y881" s="103">
        <v>0</v>
      </c>
      <c r="Z881" s="103">
        <v>0</v>
      </c>
      <c r="AA881" s="105">
        <v>0</v>
      </c>
      <c r="AB881" s="106">
        <v>0</v>
      </c>
      <c r="AC881" s="105">
        <v>0</v>
      </c>
      <c r="AD881" s="104">
        <v>0</v>
      </c>
      <c r="AE881" s="104">
        <v>0</v>
      </c>
      <c r="AF881" s="107">
        <v>46265</v>
      </c>
    </row>
    <row r="882" spans="1:32" x14ac:dyDescent="0.25">
      <c r="A882" s="90">
        <v>1014</v>
      </c>
      <c r="B882" s="91" t="s">
        <v>132</v>
      </c>
      <c r="C882" s="29">
        <v>10600008</v>
      </c>
      <c r="D882" s="92" t="s">
        <v>1084</v>
      </c>
      <c r="E882" s="93" t="s">
        <v>270</v>
      </c>
      <c r="F882" s="93" t="s">
        <v>230</v>
      </c>
      <c r="G882" s="109">
        <v>40.200000000000003</v>
      </c>
      <c r="H882" s="109">
        <v>1386.56</v>
      </c>
      <c r="I882" s="95">
        <v>0</v>
      </c>
      <c r="J882" s="95">
        <v>0</v>
      </c>
      <c r="K882" s="95">
        <v>500</v>
      </c>
      <c r="L882" s="95">
        <v>0</v>
      </c>
      <c r="M882" s="96">
        <v>3</v>
      </c>
      <c r="N882" s="97">
        <v>0</v>
      </c>
      <c r="O882" s="98">
        <v>0</v>
      </c>
      <c r="P882" s="33"/>
      <c r="Q882" s="99" t="s">
        <v>1198</v>
      </c>
      <c r="R882" s="100"/>
      <c r="S882" s="101">
        <v>1.5145395799676243E-3</v>
      </c>
      <c r="T882" s="102">
        <v>1</v>
      </c>
      <c r="U882" s="103">
        <v>0</v>
      </c>
      <c r="V882" s="103">
        <v>0</v>
      </c>
      <c r="W882" s="104">
        <v>0</v>
      </c>
      <c r="X882" s="19"/>
      <c r="Y882" s="103">
        <v>500</v>
      </c>
      <c r="Z882" s="103">
        <v>0</v>
      </c>
      <c r="AA882" s="105">
        <v>0</v>
      </c>
      <c r="AB882" s="106">
        <v>500</v>
      </c>
      <c r="AC882" s="105">
        <v>500</v>
      </c>
      <c r="AD882" s="104">
        <v>0</v>
      </c>
      <c r="AE882" s="104">
        <v>0</v>
      </c>
      <c r="AF882" s="107">
        <v>46265</v>
      </c>
    </row>
    <row r="883" spans="1:32" x14ac:dyDescent="0.25">
      <c r="A883" s="90">
        <v>1014</v>
      </c>
      <c r="B883" s="91" t="s">
        <v>132</v>
      </c>
      <c r="C883" s="29">
        <v>10600009</v>
      </c>
      <c r="D883" s="92" t="s">
        <v>1085</v>
      </c>
      <c r="E883" s="93" t="s">
        <v>270</v>
      </c>
      <c r="F883" s="93" t="s">
        <v>230</v>
      </c>
      <c r="G883" s="109">
        <v>24.599999999999998</v>
      </c>
      <c r="H883" s="109">
        <v>952.72</v>
      </c>
      <c r="I883" s="95">
        <v>0</v>
      </c>
      <c r="J883" s="95">
        <v>0</v>
      </c>
      <c r="K883" s="95">
        <v>0</v>
      </c>
      <c r="L883" s="95">
        <v>0</v>
      </c>
      <c r="M883" s="96">
        <v>0</v>
      </c>
      <c r="N883" s="97">
        <v>0</v>
      </c>
      <c r="O883" s="98">
        <v>0</v>
      </c>
      <c r="P883" s="33"/>
      <c r="Q883" s="99" t="s">
        <v>1198</v>
      </c>
      <c r="R883" s="100"/>
      <c r="S883" s="101">
        <v>-0.29037912503148866</v>
      </c>
      <c r="T883" s="102">
        <v>1</v>
      </c>
      <c r="U883" s="103">
        <v>0</v>
      </c>
      <c r="V883" s="103">
        <v>0</v>
      </c>
      <c r="W883" s="104">
        <v>0</v>
      </c>
      <c r="X883" s="19"/>
      <c r="Y883" s="103">
        <v>0</v>
      </c>
      <c r="Z883" s="103">
        <v>0</v>
      </c>
      <c r="AA883" s="105">
        <v>0</v>
      </c>
      <c r="AB883" s="106">
        <v>0</v>
      </c>
      <c r="AC883" s="105">
        <v>0</v>
      </c>
      <c r="AD883" s="104">
        <v>0</v>
      </c>
      <c r="AE883" s="104">
        <v>0</v>
      </c>
      <c r="AF883" s="107">
        <v>46265</v>
      </c>
    </row>
    <row r="884" spans="1:32" x14ac:dyDescent="0.25">
      <c r="A884" s="90">
        <v>1061</v>
      </c>
      <c r="B884" s="91" t="s">
        <v>29</v>
      </c>
      <c r="C884" s="29">
        <v>10610001</v>
      </c>
      <c r="D884" s="92" t="s">
        <v>1086</v>
      </c>
      <c r="E884" s="93" t="s">
        <v>270</v>
      </c>
      <c r="F884" s="93" t="s">
        <v>230</v>
      </c>
      <c r="G884" s="109">
        <v>661.59999999999991</v>
      </c>
      <c r="H884" s="109">
        <v>32060.010000000002</v>
      </c>
      <c r="I884" s="95">
        <v>0</v>
      </c>
      <c r="J884" s="95">
        <v>10475</v>
      </c>
      <c r="K884" s="95">
        <v>0</v>
      </c>
      <c r="L884" s="95">
        <v>0</v>
      </c>
      <c r="M884" s="96">
        <v>876</v>
      </c>
      <c r="N884" s="97" t="s">
        <v>331</v>
      </c>
      <c r="O884" s="98">
        <v>1</v>
      </c>
      <c r="P884" s="33" t="s">
        <v>332</v>
      </c>
      <c r="Q884" s="99" t="s">
        <v>1198</v>
      </c>
      <c r="R884" s="100"/>
      <c r="S884" s="101">
        <v>2.7298182377360692E-2</v>
      </c>
      <c r="T884" s="102">
        <v>9</v>
      </c>
      <c r="U884" s="103">
        <v>13169.800000000001</v>
      </c>
      <c r="V884" s="103">
        <v>10475</v>
      </c>
      <c r="W884" s="104">
        <v>2694.8000000000011</v>
      </c>
      <c r="X884" s="19"/>
      <c r="Y884" s="103">
        <v>0</v>
      </c>
      <c r="Z884" s="103">
        <v>0</v>
      </c>
      <c r="AA884" s="105">
        <v>0</v>
      </c>
      <c r="AB884" s="106">
        <v>0</v>
      </c>
      <c r="AC884" s="105">
        <v>0</v>
      </c>
      <c r="AD884" s="104">
        <v>0</v>
      </c>
      <c r="AE884" s="104">
        <v>0</v>
      </c>
      <c r="AF884" s="107">
        <v>46265</v>
      </c>
    </row>
    <row r="885" spans="1:32" x14ac:dyDescent="0.25">
      <c r="A885" s="90">
        <v>1061</v>
      </c>
      <c r="B885" s="91" t="s">
        <v>29</v>
      </c>
      <c r="C885" s="29">
        <v>10610002</v>
      </c>
      <c r="D885" s="92" t="s">
        <v>1087</v>
      </c>
      <c r="E885" s="93" t="s">
        <v>270</v>
      </c>
      <c r="F885" s="93" t="s">
        <v>230</v>
      </c>
      <c r="G885" s="109">
        <v>475.8</v>
      </c>
      <c r="H885" s="109">
        <v>22164.640000000003</v>
      </c>
      <c r="I885" s="95">
        <v>0</v>
      </c>
      <c r="J885" s="95">
        <v>0</v>
      </c>
      <c r="K885" s="95">
        <v>0</v>
      </c>
      <c r="L885" s="95">
        <v>0</v>
      </c>
      <c r="M885" s="96">
        <v>0</v>
      </c>
      <c r="N885" s="97">
        <v>0</v>
      </c>
      <c r="O885" s="98">
        <v>0</v>
      </c>
      <c r="P885" s="33"/>
      <c r="Q885" s="99" t="s">
        <v>1198</v>
      </c>
      <c r="R885" s="100"/>
      <c r="S885" s="101">
        <v>-5.7545261281031455E-2</v>
      </c>
      <c r="T885" s="102">
        <v>10</v>
      </c>
      <c r="U885" s="103">
        <v>0</v>
      </c>
      <c r="V885" s="103">
        <v>0</v>
      </c>
      <c r="W885" s="104">
        <v>0</v>
      </c>
      <c r="X885" s="19"/>
      <c r="Y885" s="103">
        <v>0</v>
      </c>
      <c r="Z885" s="103">
        <v>0</v>
      </c>
      <c r="AA885" s="105">
        <v>0</v>
      </c>
      <c r="AB885" s="106">
        <v>0</v>
      </c>
      <c r="AC885" s="105">
        <v>0</v>
      </c>
      <c r="AD885" s="104">
        <v>0</v>
      </c>
      <c r="AE885" s="104">
        <v>0</v>
      </c>
      <c r="AF885" s="107">
        <v>46265</v>
      </c>
    </row>
    <row r="886" spans="1:32" x14ac:dyDescent="0.25">
      <c r="A886" s="90">
        <v>1061</v>
      </c>
      <c r="B886" s="91" t="s">
        <v>29</v>
      </c>
      <c r="C886" s="29">
        <v>10610003</v>
      </c>
      <c r="D886" s="92" t="s">
        <v>1088</v>
      </c>
      <c r="E886" s="93" t="s">
        <v>270</v>
      </c>
      <c r="F886" s="93" t="s">
        <v>230</v>
      </c>
      <c r="G886" s="109">
        <v>216.1</v>
      </c>
      <c r="H886" s="109">
        <v>8305.7100000000009</v>
      </c>
      <c r="I886" s="95">
        <v>0</v>
      </c>
      <c r="J886" s="95">
        <v>0</v>
      </c>
      <c r="K886" s="95">
        <v>0</v>
      </c>
      <c r="L886" s="95">
        <v>0</v>
      </c>
      <c r="M886" s="96">
        <v>103</v>
      </c>
      <c r="N886" s="97">
        <v>0</v>
      </c>
      <c r="O886" s="98">
        <v>0</v>
      </c>
      <c r="P886" s="33"/>
      <c r="Q886" s="99" t="s">
        <v>1198</v>
      </c>
      <c r="R886" s="100"/>
      <c r="S886" s="101">
        <v>1.2313215847892646E-2</v>
      </c>
      <c r="T886" s="102">
        <v>3</v>
      </c>
      <c r="U886" s="103">
        <v>0</v>
      </c>
      <c r="V886" s="103">
        <v>0</v>
      </c>
      <c r="W886" s="104">
        <v>0</v>
      </c>
      <c r="X886" s="19"/>
      <c r="Y886" s="103">
        <v>0</v>
      </c>
      <c r="Z886" s="103">
        <v>0</v>
      </c>
      <c r="AA886" s="105">
        <v>0</v>
      </c>
      <c r="AB886" s="106">
        <v>0</v>
      </c>
      <c r="AC886" s="105">
        <v>0</v>
      </c>
      <c r="AD886" s="104">
        <v>0</v>
      </c>
      <c r="AE886" s="104">
        <v>0</v>
      </c>
      <c r="AF886" s="107">
        <v>46265</v>
      </c>
    </row>
    <row r="887" spans="1:32" x14ac:dyDescent="0.25">
      <c r="A887" s="90">
        <v>1061</v>
      </c>
      <c r="B887" s="91" t="s">
        <v>29</v>
      </c>
      <c r="C887" s="29">
        <v>10610004</v>
      </c>
      <c r="D887" s="92" t="s">
        <v>1089</v>
      </c>
      <c r="E887" s="93" t="s">
        <v>270</v>
      </c>
      <c r="F887" s="93" t="s">
        <v>230</v>
      </c>
      <c r="G887" s="109">
        <v>339.1</v>
      </c>
      <c r="H887" s="109">
        <v>15060.26</v>
      </c>
      <c r="I887" s="95">
        <v>0</v>
      </c>
      <c r="J887" s="95">
        <v>1665</v>
      </c>
      <c r="K887" s="95">
        <v>0</v>
      </c>
      <c r="L887" s="95">
        <v>0</v>
      </c>
      <c r="M887" s="96">
        <v>0</v>
      </c>
      <c r="N887" s="97" t="s">
        <v>331</v>
      </c>
      <c r="O887" s="98">
        <v>0</v>
      </c>
      <c r="P887" s="33" t="s">
        <v>332</v>
      </c>
      <c r="Q887" s="99" t="s">
        <v>1198</v>
      </c>
      <c r="R887" s="100"/>
      <c r="S887" s="101">
        <v>-1.7013650494745625E-2</v>
      </c>
      <c r="T887" s="102">
        <v>9</v>
      </c>
      <c r="U887" s="103">
        <v>1665.3</v>
      </c>
      <c r="V887" s="103">
        <v>1665</v>
      </c>
      <c r="W887" s="104">
        <v>0.29999999999995453</v>
      </c>
      <c r="X887" s="19"/>
      <c r="Y887" s="103">
        <v>0</v>
      </c>
      <c r="Z887" s="103">
        <v>0</v>
      </c>
      <c r="AA887" s="105">
        <v>0</v>
      </c>
      <c r="AB887" s="106">
        <v>0</v>
      </c>
      <c r="AC887" s="105">
        <v>0</v>
      </c>
      <c r="AD887" s="104">
        <v>0</v>
      </c>
      <c r="AE887" s="104">
        <v>0</v>
      </c>
      <c r="AF887" s="107">
        <v>46265</v>
      </c>
    </row>
    <row r="888" spans="1:32" x14ac:dyDescent="0.25">
      <c r="A888" s="90">
        <v>1061</v>
      </c>
      <c r="B888" s="91" t="s">
        <v>29</v>
      </c>
      <c r="C888" s="29">
        <v>10610005</v>
      </c>
      <c r="D888" s="92" t="s">
        <v>28</v>
      </c>
      <c r="E888" s="93" t="s">
        <v>270</v>
      </c>
      <c r="F888" s="93" t="s">
        <v>230</v>
      </c>
      <c r="G888" s="109">
        <v>1221.3000000000006</v>
      </c>
      <c r="H888" s="109">
        <v>55515.520000000004</v>
      </c>
      <c r="I888" s="95">
        <v>0</v>
      </c>
      <c r="J888" s="95">
        <v>3100</v>
      </c>
      <c r="K888" s="95">
        <v>0</v>
      </c>
      <c r="L888" s="95">
        <v>0</v>
      </c>
      <c r="M888" s="96">
        <v>0</v>
      </c>
      <c r="N888" s="97">
        <v>0</v>
      </c>
      <c r="O888" s="98">
        <v>0</v>
      </c>
      <c r="P888" s="33"/>
      <c r="Q888" s="99" t="s">
        <v>1198</v>
      </c>
      <c r="R888" s="100"/>
      <c r="S888" s="101">
        <v>-4.9811656271975563E-2</v>
      </c>
      <c r="T888" s="102">
        <v>8</v>
      </c>
      <c r="U888" s="103">
        <v>0</v>
      </c>
      <c r="V888" s="103">
        <v>0</v>
      </c>
      <c r="W888" s="104">
        <v>0</v>
      </c>
      <c r="X888" s="19"/>
      <c r="Y888" s="103">
        <v>0</v>
      </c>
      <c r="Z888" s="103">
        <v>0</v>
      </c>
      <c r="AA888" s="105">
        <v>0</v>
      </c>
      <c r="AB888" s="106">
        <v>0</v>
      </c>
      <c r="AC888" s="105">
        <v>0</v>
      </c>
      <c r="AD888" s="104">
        <v>0</v>
      </c>
      <c r="AE888" s="104">
        <v>0</v>
      </c>
      <c r="AF888" s="107">
        <v>46265</v>
      </c>
    </row>
    <row r="889" spans="1:32" x14ac:dyDescent="0.25">
      <c r="A889" s="90">
        <v>1061</v>
      </c>
      <c r="B889" s="91" t="s">
        <v>29</v>
      </c>
      <c r="C889" s="29">
        <v>10610006</v>
      </c>
      <c r="D889" s="92" t="s">
        <v>1090</v>
      </c>
      <c r="E889" s="93" t="s">
        <v>270</v>
      </c>
      <c r="F889" s="93" t="s">
        <v>230</v>
      </c>
      <c r="G889" s="109">
        <v>315</v>
      </c>
      <c r="H889" s="109">
        <v>16419.37</v>
      </c>
      <c r="I889" s="95">
        <v>0</v>
      </c>
      <c r="J889" s="95">
        <v>0</v>
      </c>
      <c r="K889" s="95">
        <v>0</v>
      </c>
      <c r="L889" s="95">
        <v>0</v>
      </c>
      <c r="M889" s="96">
        <v>469</v>
      </c>
      <c r="N889" s="97">
        <v>0</v>
      </c>
      <c r="O889" s="98">
        <v>1</v>
      </c>
      <c r="P889" s="33"/>
      <c r="Q889" s="99" t="s">
        <v>1198</v>
      </c>
      <c r="R889" s="100"/>
      <c r="S889" s="101">
        <v>2.8512665224061685E-2</v>
      </c>
      <c r="T889" s="102">
        <v>9</v>
      </c>
      <c r="U889" s="103">
        <v>0</v>
      </c>
      <c r="V889" s="103">
        <v>0</v>
      </c>
      <c r="W889" s="104">
        <v>0</v>
      </c>
      <c r="X889" s="19"/>
      <c r="Y889" s="103">
        <v>0</v>
      </c>
      <c r="Z889" s="103">
        <v>0</v>
      </c>
      <c r="AA889" s="105">
        <v>0</v>
      </c>
      <c r="AB889" s="106">
        <v>0</v>
      </c>
      <c r="AC889" s="105">
        <v>0</v>
      </c>
      <c r="AD889" s="104">
        <v>0</v>
      </c>
      <c r="AE889" s="104">
        <v>0</v>
      </c>
      <c r="AF889" s="107">
        <v>46265</v>
      </c>
    </row>
    <row r="890" spans="1:32" x14ac:dyDescent="0.25">
      <c r="A890" s="90">
        <v>1061</v>
      </c>
      <c r="B890" s="91" t="s">
        <v>29</v>
      </c>
      <c r="C890" s="29">
        <v>10610008</v>
      </c>
      <c r="D890" s="92" t="s">
        <v>1091</v>
      </c>
      <c r="E890" s="93" t="s">
        <v>270</v>
      </c>
      <c r="F890" s="93" t="s">
        <v>230</v>
      </c>
      <c r="G890" s="109">
        <v>312.19999999999993</v>
      </c>
      <c r="H890" s="109">
        <v>15000.269999999999</v>
      </c>
      <c r="I890" s="95">
        <v>0</v>
      </c>
      <c r="J890" s="95">
        <v>0</v>
      </c>
      <c r="K890" s="95">
        <v>0</v>
      </c>
      <c r="L890" s="95">
        <v>0</v>
      </c>
      <c r="M890" s="96">
        <v>236</v>
      </c>
      <c r="N890" s="97">
        <v>0</v>
      </c>
      <c r="O890" s="98">
        <v>0</v>
      </c>
      <c r="P890" s="33"/>
      <c r="Q890" s="99" t="s">
        <v>1198</v>
      </c>
      <c r="R890" s="100"/>
      <c r="S890" s="101">
        <v>1.5740383339766469E-2</v>
      </c>
      <c r="T890" s="102">
        <v>2</v>
      </c>
      <c r="U890" s="103">
        <v>0</v>
      </c>
      <c r="V890" s="103">
        <v>0</v>
      </c>
      <c r="W890" s="104">
        <v>0</v>
      </c>
      <c r="X890" s="19"/>
      <c r="Y890" s="103">
        <v>0</v>
      </c>
      <c r="Z890" s="103">
        <v>0</v>
      </c>
      <c r="AA890" s="105">
        <v>0</v>
      </c>
      <c r="AB890" s="106">
        <v>0</v>
      </c>
      <c r="AC890" s="105">
        <v>0</v>
      </c>
      <c r="AD890" s="104">
        <v>0</v>
      </c>
      <c r="AE890" s="104">
        <v>0</v>
      </c>
      <c r="AF890" s="107">
        <v>46265</v>
      </c>
    </row>
    <row r="891" spans="1:32" x14ac:dyDescent="0.25">
      <c r="A891" s="90">
        <v>1061</v>
      </c>
      <c r="B891" s="91" t="s">
        <v>29</v>
      </c>
      <c r="C891" s="29">
        <v>10610009</v>
      </c>
      <c r="D891" s="92" t="s">
        <v>91</v>
      </c>
      <c r="E891" s="93" t="s">
        <v>270</v>
      </c>
      <c r="F891" s="93" t="s">
        <v>230</v>
      </c>
      <c r="G891" s="109">
        <v>1322.3000000000002</v>
      </c>
      <c r="H891" s="109">
        <v>63154.029999999984</v>
      </c>
      <c r="I891" s="95">
        <v>0</v>
      </c>
      <c r="J891" s="95">
        <v>50</v>
      </c>
      <c r="K891" s="95">
        <v>0</v>
      </c>
      <c r="L891" s="95">
        <v>0</v>
      </c>
      <c r="M891" s="96">
        <v>0</v>
      </c>
      <c r="N891" s="97" t="s">
        <v>331</v>
      </c>
      <c r="O891" s="98">
        <v>0</v>
      </c>
      <c r="P891" s="33" t="s">
        <v>332</v>
      </c>
      <c r="Q891" s="99" t="s">
        <v>1198</v>
      </c>
      <c r="R891" s="100"/>
      <c r="S891" s="101">
        <v>-1.9830721808252211E-2</v>
      </c>
      <c r="T891" s="102">
        <v>28</v>
      </c>
      <c r="U891" s="103">
        <v>50</v>
      </c>
      <c r="V891" s="103">
        <v>50</v>
      </c>
      <c r="W891" s="104">
        <v>0</v>
      </c>
      <c r="X891" s="19"/>
      <c r="Y891" s="103">
        <v>0</v>
      </c>
      <c r="Z891" s="103">
        <v>0</v>
      </c>
      <c r="AA891" s="105">
        <v>0</v>
      </c>
      <c r="AB891" s="106">
        <v>0</v>
      </c>
      <c r="AC891" s="105">
        <v>0</v>
      </c>
      <c r="AD891" s="104">
        <v>0</v>
      </c>
      <c r="AE891" s="104">
        <v>0</v>
      </c>
      <c r="AF891" s="107">
        <v>46265</v>
      </c>
    </row>
    <row r="892" spans="1:32" x14ac:dyDescent="0.25">
      <c r="A892" s="90">
        <v>1061</v>
      </c>
      <c r="B892" s="91" t="s">
        <v>29</v>
      </c>
      <c r="C892" s="29">
        <v>10610010</v>
      </c>
      <c r="D892" s="92" t="s">
        <v>1092</v>
      </c>
      <c r="E892" s="93" t="s">
        <v>270</v>
      </c>
      <c r="F892" s="93" t="s">
        <v>230</v>
      </c>
      <c r="G892" s="109">
        <v>424.69999999999993</v>
      </c>
      <c r="H892" s="109">
        <v>20735.230000000003</v>
      </c>
      <c r="I892" s="95">
        <v>0</v>
      </c>
      <c r="J892" s="95">
        <v>0</v>
      </c>
      <c r="K892" s="95">
        <v>0</v>
      </c>
      <c r="L892" s="95">
        <v>0</v>
      </c>
      <c r="M892" s="96">
        <v>0</v>
      </c>
      <c r="N892" s="97">
        <v>0</v>
      </c>
      <c r="O892" s="98">
        <v>0</v>
      </c>
      <c r="P892" s="33"/>
      <c r="Q892" s="99" t="s">
        <v>1198</v>
      </c>
      <c r="R892" s="100"/>
      <c r="S892" s="101">
        <v>-1.73424649738629E-3</v>
      </c>
      <c r="T892" s="102">
        <v>18</v>
      </c>
      <c r="U892" s="103">
        <v>0</v>
      </c>
      <c r="V892" s="103">
        <v>0</v>
      </c>
      <c r="W892" s="104">
        <v>0</v>
      </c>
      <c r="X892" s="19"/>
      <c r="Y892" s="103">
        <v>0</v>
      </c>
      <c r="Z892" s="103">
        <v>0</v>
      </c>
      <c r="AA892" s="105">
        <v>0</v>
      </c>
      <c r="AB892" s="106">
        <v>0</v>
      </c>
      <c r="AC892" s="105">
        <v>0</v>
      </c>
      <c r="AD892" s="104">
        <v>0</v>
      </c>
      <c r="AE892" s="104">
        <v>0</v>
      </c>
      <c r="AF892" s="107">
        <v>46265</v>
      </c>
    </row>
    <row r="893" spans="1:32" x14ac:dyDescent="0.25">
      <c r="A893" s="90">
        <v>1061</v>
      </c>
      <c r="B893" s="91" t="s">
        <v>29</v>
      </c>
      <c r="C893" s="29">
        <v>10610011</v>
      </c>
      <c r="D893" s="92" t="s">
        <v>1093</v>
      </c>
      <c r="E893" s="93" t="s">
        <v>275</v>
      </c>
      <c r="F893" s="93" t="s">
        <v>231</v>
      </c>
      <c r="G893" s="109">
        <v>253.70000000000002</v>
      </c>
      <c r="H893" s="109">
        <v>10145.34</v>
      </c>
      <c r="I893" s="95">
        <v>0</v>
      </c>
      <c r="J893" s="95">
        <v>0</v>
      </c>
      <c r="K893" s="95">
        <v>0</v>
      </c>
      <c r="L893" s="95">
        <v>0</v>
      </c>
      <c r="M893" s="96">
        <v>0</v>
      </c>
      <c r="N893" s="97">
        <v>0</v>
      </c>
      <c r="O893" s="98">
        <v>0</v>
      </c>
      <c r="P893" s="33"/>
      <c r="Q893" s="99" t="s">
        <v>1198</v>
      </c>
      <c r="R893" s="100"/>
      <c r="S893" s="101">
        <v>0</v>
      </c>
      <c r="T893" s="102">
        <v>0</v>
      </c>
      <c r="U893" s="103">
        <v>0</v>
      </c>
      <c r="V893" s="103">
        <v>0</v>
      </c>
      <c r="W893" s="104">
        <v>0</v>
      </c>
      <c r="X893" s="19"/>
      <c r="Y893" s="103">
        <v>0</v>
      </c>
      <c r="Z893" s="103">
        <v>0</v>
      </c>
      <c r="AA893" s="105">
        <v>0</v>
      </c>
      <c r="AB893" s="106">
        <v>0</v>
      </c>
      <c r="AC893" s="105">
        <v>0</v>
      </c>
      <c r="AD893" s="104">
        <v>0</v>
      </c>
      <c r="AE893" s="104">
        <v>0</v>
      </c>
      <c r="AF893" s="107">
        <v>46265</v>
      </c>
    </row>
    <row r="894" spans="1:32" x14ac:dyDescent="0.25">
      <c r="A894" s="90">
        <v>1061</v>
      </c>
      <c r="B894" s="91" t="s">
        <v>29</v>
      </c>
      <c r="C894" s="29">
        <v>10610013</v>
      </c>
      <c r="D894" s="92" t="s">
        <v>1094</v>
      </c>
      <c r="E894" s="93" t="s">
        <v>275</v>
      </c>
      <c r="F894" s="93" t="s">
        <v>231</v>
      </c>
      <c r="G894" s="109">
        <v>22.2</v>
      </c>
      <c r="H894" s="109">
        <v>928.85</v>
      </c>
      <c r="I894" s="95">
        <v>0</v>
      </c>
      <c r="J894" s="95">
        <v>0</v>
      </c>
      <c r="K894" s="95">
        <v>0</v>
      </c>
      <c r="L894" s="95">
        <v>0</v>
      </c>
      <c r="M894" s="96">
        <v>0</v>
      </c>
      <c r="N894" s="97">
        <v>0</v>
      </c>
      <c r="O894" s="98">
        <v>0</v>
      </c>
      <c r="P894" s="33"/>
      <c r="Q894" s="99" t="s">
        <v>1198</v>
      </c>
      <c r="R894" s="100"/>
      <c r="S894" s="101">
        <v>0</v>
      </c>
      <c r="T894" s="102">
        <v>0</v>
      </c>
      <c r="U894" s="103">
        <v>0</v>
      </c>
      <c r="V894" s="103">
        <v>0</v>
      </c>
      <c r="W894" s="104">
        <v>0</v>
      </c>
      <c r="X894" s="19"/>
      <c r="Y894" s="103">
        <v>0</v>
      </c>
      <c r="Z894" s="103">
        <v>0</v>
      </c>
      <c r="AA894" s="105">
        <v>0</v>
      </c>
      <c r="AB894" s="106">
        <v>0</v>
      </c>
      <c r="AC894" s="105">
        <v>0</v>
      </c>
      <c r="AD894" s="104">
        <v>0</v>
      </c>
      <c r="AE894" s="104">
        <v>0</v>
      </c>
      <c r="AF894" s="107">
        <v>46265</v>
      </c>
    </row>
    <row r="895" spans="1:32" x14ac:dyDescent="0.25">
      <c r="A895" s="90">
        <v>1061</v>
      </c>
      <c r="B895" s="91" t="s">
        <v>29</v>
      </c>
      <c r="C895" s="29">
        <v>10610017</v>
      </c>
      <c r="D895" s="92" t="s">
        <v>1095</v>
      </c>
      <c r="E895" s="93" t="s">
        <v>270</v>
      </c>
      <c r="F895" s="93" t="s">
        <v>230</v>
      </c>
      <c r="G895" s="109">
        <v>251.10000000000002</v>
      </c>
      <c r="H895" s="109">
        <v>11639.420000000002</v>
      </c>
      <c r="I895" s="95">
        <v>0</v>
      </c>
      <c r="J895" s="95">
        <v>0</v>
      </c>
      <c r="K895" s="95">
        <v>0</v>
      </c>
      <c r="L895" s="95">
        <v>0</v>
      </c>
      <c r="M895" s="96">
        <v>118</v>
      </c>
      <c r="N895" s="97">
        <v>0</v>
      </c>
      <c r="O895" s="113">
        <v>-1</v>
      </c>
      <c r="P895" s="33"/>
      <c r="Q895" s="99" t="s">
        <v>1198</v>
      </c>
      <c r="R895" s="100"/>
      <c r="S895" s="101">
        <v>1.0221299686754249E-2</v>
      </c>
      <c r="T895" s="102">
        <v>10</v>
      </c>
      <c r="U895" s="103">
        <v>0</v>
      </c>
      <c r="V895" s="103">
        <v>0</v>
      </c>
      <c r="W895" s="104">
        <v>0</v>
      </c>
      <c r="X895" s="19"/>
      <c r="Y895" s="103">
        <v>0</v>
      </c>
      <c r="Z895" s="103">
        <v>0</v>
      </c>
      <c r="AA895" s="105">
        <v>0</v>
      </c>
      <c r="AB895" s="106">
        <v>0</v>
      </c>
      <c r="AC895" s="105">
        <v>0</v>
      </c>
      <c r="AD895" s="104">
        <v>0</v>
      </c>
      <c r="AE895" s="104">
        <v>0</v>
      </c>
      <c r="AF895" s="107">
        <v>46265</v>
      </c>
    </row>
    <row r="896" spans="1:32" x14ac:dyDescent="0.25">
      <c r="A896" s="90">
        <v>1061</v>
      </c>
      <c r="B896" s="91" t="s">
        <v>29</v>
      </c>
      <c r="C896" s="29">
        <v>10610018</v>
      </c>
      <c r="D896" s="92" t="s">
        <v>114</v>
      </c>
      <c r="E896" s="93" t="s">
        <v>270</v>
      </c>
      <c r="F896" s="93" t="s">
        <v>230</v>
      </c>
      <c r="G896" s="109">
        <v>608.5</v>
      </c>
      <c r="H896" s="109">
        <v>27075.639999999996</v>
      </c>
      <c r="I896" s="95">
        <v>0</v>
      </c>
      <c r="J896" s="95">
        <v>8157</v>
      </c>
      <c r="K896" s="95">
        <v>0</v>
      </c>
      <c r="L896" s="95">
        <v>0</v>
      </c>
      <c r="M896" s="96">
        <v>298</v>
      </c>
      <c r="N896" s="97">
        <v>0</v>
      </c>
      <c r="O896" s="98">
        <v>-1</v>
      </c>
      <c r="P896" s="33"/>
      <c r="Q896" s="99" t="s">
        <v>1198</v>
      </c>
      <c r="R896" s="100"/>
      <c r="S896" s="101">
        <v>1.1016175425585526E-2</v>
      </c>
      <c r="T896" s="102">
        <v>17</v>
      </c>
      <c r="U896" s="103">
        <v>0</v>
      </c>
      <c r="V896" s="103">
        <v>0</v>
      </c>
      <c r="W896" s="104">
        <v>0</v>
      </c>
      <c r="X896" s="19"/>
      <c r="Y896" s="103">
        <v>0</v>
      </c>
      <c r="Z896" s="103">
        <v>0</v>
      </c>
      <c r="AA896" s="105">
        <v>0</v>
      </c>
      <c r="AB896" s="106">
        <v>0</v>
      </c>
      <c r="AC896" s="105">
        <v>0</v>
      </c>
      <c r="AD896" s="104">
        <v>0</v>
      </c>
      <c r="AE896" s="104">
        <v>0</v>
      </c>
      <c r="AF896" s="107">
        <v>46265</v>
      </c>
    </row>
    <row r="897" spans="1:32" x14ac:dyDescent="0.25">
      <c r="A897" s="90">
        <v>1061</v>
      </c>
      <c r="B897" s="91" t="s">
        <v>29</v>
      </c>
      <c r="C897" s="29">
        <v>10610019</v>
      </c>
      <c r="D897" s="92" t="s">
        <v>1096</v>
      </c>
      <c r="E897" s="93" t="s">
        <v>270</v>
      </c>
      <c r="F897" s="93" t="s">
        <v>230</v>
      </c>
      <c r="G897" s="109">
        <v>88.09999999999998</v>
      </c>
      <c r="H897" s="109">
        <v>4225.4799999999996</v>
      </c>
      <c r="I897" s="95">
        <v>0</v>
      </c>
      <c r="J897" s="95">
        <v>0</v>
      </c>
      <c r="K897" s="95">
        <v>0</v>
      </c>
      <c r="L897" s="95">
        <v>0</v>
      </c>
      <c r="M897" s="96">
        <v>0</v>
      </c>
      <c r="N897" s="97">
        <v>0</v>
      </c>
      <c r="O897" s="98">
        <v>0</v>
      </c>
      <c r="P897" s="33"/>
      <c r="Q897" s="99" t="s">
        <v>1198</v>
      </c>
      <c r="R897" s="100"/>
      <c r="S897" s="101">
        <v>-1.6211176008407008E-3</v>
      </c>
      <c r="T897" s="102">
        <v>1</v>
      </c>
      <c r="U897" s="103">
        <v>0</v>
      </c>
      <c r="V897" s="103">
        <v>0</v>
      </c>
      <c r="W897" s="104">
        <v>0</v>
      </c>
      <c r="X897" s="19"/>
      <c r="Y897" s="103">
        <v>0</v>
      </c>
      <c r="Z897" s="103">
        <v>0</v>
      </c>
      <c r="AA897" s="105">
        <v>0</v>
      </c>
      <c r="AB897" s="106">
        <v>0</v>
      </c>
      <c r="AC897" s="105">
        <v>0</v>
      </c>
      <c r="AD897" s="104">
        <v>0</v>
      </c>
      <c r="AE897" s="104">
        <v>0</v>
      </c>
      <c r="AF897" s="107">
        <v>46265</v>
      </c>
    </row>
    <row r="898" spans="1:32" x14ac:dyDescent="0.25">
      <c r="A898" s="90">
        <v>1061</v>
      </c>
      <c r="B898" s="91" t="s">
        <v>29</v>
      </c>
      <c r="C898" s="29">
        <v>10610020</v>
      </c>
      <c r="D898" s="92" t="s">
        <v>1097</v>
      </c>
      <c r="E898" s="93" t="s">
        <v>270</v>
      </c>
      <c r="F898" s="93" t="s">
        <v>230</v>
      </c>
      <c r="G898" s="109">
        <v>291.8</v>
      </c>
      <c r="H898" s="109">
        <v>12806.82</v>
      </c>
      <c r="I898" s="95">
        <v>0</v>
      </c>
      <c r="J898" s="95">
        <v>0</v>
      </c>
      <c r="K898" s="95">
        <v>0</v>
      </c>
      <c r="L898" s="95">
        <v>0</v>
      </c>
      <c r="M898" s="96">
        <v>128</v>
      </c>
      <c r="N898" s="97">
        <v>0</v>
      </c>
      <c r="O898" s="98">
        <v>-1</v>
      </c>
      <c r="P898" s="33"/>
      <c r="Q898" s="99" t="s">
        <v>1198</v>
      </c>
      <c r="R898" s="100"/>
      <c r="S898" s="101">
        <v>1.0035278078398746E-2</v>
      </c>
      <c r="T898" s="102">
        <v>11</v>
      </c>
      <c r="U898" s="103">
        <v>0</v>
      </c>
      <c r="V898" s="103">
        <v>0</v>
      </c>
      <c r="W898" s="104">
        <v>0</v>
      </c>
      <c r="X898" s="19"/>
      <c r="Y898" s="103">
        <v>0</v>
      </c>
      <c r="Z898" s="103">
        <v>0</v>
      </c>
      <c r="AA898" s="105">
        <v>0</v>
      </c>
      <c r="AB898" s="106">
        <v>0</v>
      </c>
      <c r="AC898" s="105">
        <v>0</v>
      </c>
      <c r="AD898" s="104">
        <v>0</v>
      </c>
      <c r="AE898" s="104">
        <v>0</v>
      </c>
      <c r="AF898" s="107">
        <v>46265</v>
      </c>
    </row>
    <row r="899" spans="1:32" x14ac:dyDescent="0.25">
      <c r="A899" s="90">
        <v>1061</v>
      </c>
      <c r="B899" s="91" t="s">
        <v>29</v>
      </c>
      <c r="C899" s="29">
        <v>10610022</v>
      </c>
      <c r="D899" s="92" t="s">
        <v>1098</v>
      </c>
      <c r="E899" s="93" t="s">
        <v>270</v>
      </c>
      <c r="F899" s="93" t="s">
        <v>230</v>
      </c>
      <c r="G899" s="109">
        <v>219.6</v>
      </c>
      <c r="H899" s="109">
        <v>11086.109999999999</v>
      </c>
      <c r="I899" s="95">
        <v>0</v>
      </c>
      <c r="J899" s="95">
        <v>0</v>
      </c>
      <c r="K899" s="95">
        <v>0</v>
      </c>
      <c r="L899" s="95">
        <v>0</v>
      </c>
      <c r="M899" s="96">
        <v>0</v>
      </c>
      <c r="N899" s="97">
        <v>0</v>
      </c>
      <c r="O899" s="98">
        <v>0</v>
      </c>
      <c r="P899" s="33"/>
      <c r="Q899" s="99" t="s">
        <v>1198</v>
      </c>
      <c r="R899" s="100"/>
      <c r="S899" s="101">
        <v>-1.9186170802925695E-3</v>
      </c>
      <c r="T899" s="102">
        <v>5</v>
      </c>
      <c r="U899" s="103">
        <v>0</v>
      </c>
      <c r="V899" s="103">
        <v>0</v>
      </c>
      <c r="W899" s="104">
        <v>0</v>
      </c>
      <c r="X899" s="19"/>
      <c r="Y899" s="103">
        <v>0</v>
      </c>
      <c r="Z899" s="103">
        <v>0</v>
      </c>
      <c r="AA899" s="105">
        <v>0</v>
      </c>
      <c r="AB899" s="106">
        <v>0</v>
      </c>
      <c r="AC899" s="105">
        <v>0</v>
      </c>
      <c r="AD899" s="104">
        <v>0</v>
      </c>
      <c r="AE899" s="104">
        <v>0</v>
      </c>
      <c r="AF899" s="107">
        <v>46265</v>
      </c>
    </row>
    <row r="900" spans="1:32" x14ac:dyDescent="0.25">
      <c r="A900" s="90">
        <v>1061</v>
      </c>
      <c r="B900" s="91" t="s">
        <v>29</v>
      </c>
      <c r="C900" s="29">
        <v>10610024</v>
      </c>
      <c r="D900" s="92" t="s">
        <v>1099</v>
      </c>
      <c r="E900" s="93" t="s">
        <v>270</v>
      </c>
      <c r="F900" s="93" t="s">
        <v>230</v>
      </c>
      <c r="G900" s="109">
        <v>241.59999999999997</v>
      </c>
      <c r="H900" s="109">
        <v>9948.9500000000007</v>
      </c>
      <c r="I900" s="95">
        <v>0</v>
      </c>
      <c r="J900" s="95">
        <v>0</v>
      </c>
      <c r="K900" s="95">
        <v>0</v>
      </c>
      <c r="L900" s="95">
        <v>0</v>
      </c>
      <c r="M900" s="96">
        <v>258</v>
      </c>
      <c r="N900" s="97">
        <v>0</v>
      </c>
      <c r="O900" s="98">
        <v>0</v>
      </c>
      <c r="P900" s="33"/>
      <c r="Q900" s="99" t="s">
        <v>1198</v>
      </c>
      <c r="R900" s="100"/>
      <c r="S900" s="101">
        <v>2.5937410480502892E-2</v>
      </c>
      <c r="T900" s="102">
        <v>9</v>
      </c>
      <c r="U900" s="103">
        <v>0</v>
      </c>
      <c r="V900" s="103">
        <v>0</v>
      </c>
      <c r="W900" s="104">
        <v>0</v>
      </c>
      <c r="X900" s="19"/>
      <c r="Y900" s="103">
        <v>0</v>
      </c>
      <c r="Z900" s="103">
        <v>0</v>
      </c>
      <c r="AA900" s="105">
        <v>0</v>
      </c>
      <c r="AB900" s="106">
        <v>0</v>
      </c>
      <c r="AC900" s="105">
        <v>0</v>
      </c>
      <c r="AD900" s="104">
        <v>0</v>
      </c>
      <c r="AE900" s="104">
        <v>0</v>
      </c>
      <c r="AF900" s="107">
        <v>46265</v>
      </c>
    </row>
    <row r="901" spans="1:32" x14ac:dyDescent="0.25">
      <c r="A901" s="90">
        <v>1061</v>
      </c>
      <c r="B901" s="91" t="s">
        <v>29</v>
      </c>
      <c r="C901" s="29">
        <v>10610026</v>
      </c>
      <c r="D901" s="92" t="s">
        <v>1100</v>
      </c>
      <c r="E901" s="93" t="s">
        <v>270</v>
      </c>
      <c r="F901" s="93" t="s">
        <v>230</v>
      </c>
      <c r="G901" s="109">
        <v>231.00000000000003</v>
      </c>
      <c r="H901" s="109">
        <v>11199.46</v>
      </c>
      <c r="I901" s="95">
        <v>0</v>
      </c>
      <c r="J901" s="95">
        <v>0</v>
      </c>
      <c r="K901" s="95">
        <v>0</v>
      </c>
      <c r="L901" s="95">
        <v>0</v>
      </c>
      <c r="M901" s="96">
        <v>155</v>
      </c>
      <c r="N901" s="97">
        <v>0</v>
      </c>
      <c r="O901" s="98">
        <v>-1</v>
      </c>
      <c r="P901" s="33"/>
      <c r="Q901" s="99" t="s">
        <v>1198</v>
      </c>
      <c r="R901" s="100"/>
      <c r="S901" s="101">
        <v>1.4013175635253889E-2</v>
      </c>
      <c r="T901" s="102">
        <v>7</v>
      </c>
      <c r="U901" s="103">
        <v>0</v>
      </c>
      <c r="V901" s="103">
        <v>0</v>
      </c>
      <c r="W901" s="104">
        <v>0</v>
      </c>
      <c r="X901" s="19"/>
      <c r="Y901" s="103">
        <v>0</v>
      </c>
      <c r="Z901" s="103">
        <v>0</v>
      </c>
      <c r="AA901" s="105">
        <v>0</v>
      </c>
      <c r="AB901" s="106">
        <v>0</v>
      </c>
      <c r="AC901" s="105">
        <v>0</v>
      </c>
      <c r="AD901" s="104">
        <v>0</v>
      </c>
      <c r="AE901" s="104">
        <v>0</v>
      </c>
      <c r="AF901" s="107">
        <v>46265</v>
      </c>
    </row>
    <row r="902" spans="1:32" x14ac:dyDescent="0.25">
      <c r="A902" s="90">
        <v>1061</v>
      </c>
      <c r="B902" s="91" t="s">
        <v>29</v>
      </c>
      <c r="C902" s="29">
        <v>10610027</v>
      </c>
      <c r="D902" s="92" t="s">
        <v>1101</v>
      </c>
      <c r="E902" s="93" t="s">
        <v>275</v>
      </c>
      <c r="F902" s="93" t="s">
        <v>231</v>
      </c>
      <c r="G902" s="109">
        <v>1094.1000000000001</v>
      </c>
      <c r="H902" s="109">
        <v>39370.480000000003</v>
      </c>
      <c r="I902" s="95">
        <v>0</v>
      </c>
      <c r="J902" s="95">
        <v>0</v>
      </c>
      <c r="K902" s="95">
        <v>0</v>
      </c>
      <c r="L902" s="95">
        <v>0</v>
      </c>
      <c r="M902" s="96">
        <v>0</v>
      </c>
      <c r="N902" s="97">
        <v>0</v>
      </c>
      <c r="O902" s="98">
        <v>0</v>
      </c>
      <c r="P902" s="33"/>
      <c r="Q902" s="99" t="s">
        <v>1198</v>
      </c>
      <c r="R902" s="100"/>
      <c r="S902" s="101">
        <v>0</v>
      </c>
      <c r="T902" s="102">
        <v>0</v>
      </c>
      <c r="U902" s="103">
        <v>0</v>
      </c>
      <c r="V902" s="103">
        <v>0</v>
      </c>
      <c r="W902" s="104">
        <v>0</v>
      </c>
      <c r="X902" s="19"/>
      <c r="Y902" s="103">
        <v>0</v>
      </c>
      <c r="Z902" s="103">
        <v>0</v>
      </c>
      <c r="AA902" s="105">
        <v>0</v>
      </c>
      <c r="AB902" s="106">
        <v>0</v>
      </c>
      <c r="AC902" s="105">
        <v>0</v>
      </c>
      <c r="AD902" s="104">
        <v>0</v>
      </c>
      <c r="AE902" s="104">
        <v>0</v>
      </c>
      <c r="AF902" s="107">
        <v>46265</v>
      </c>
    </row>
    <row r="903" spans="1:32" x14ac:dyDescent="0.25">
      <c r="A903" s="90">
        <v>1061</v>
      </c>
      <c r="B903" s="91" t="s">
        <v>29</v>
      </c>
      <c r="C903" s="29">
        <v>10610028</v>
      </c>
      <c r="D903" s="92" t="s">
        <v>1102</v>
      </c>
      <c r="E903" s="93" t="s">
        <v>275</v>
      </c>
      <c r="F903" s="93" t="s">
        <v>231</v>
      </c>
      <c r="G903" s="109">
        <v>138.89999999999998</v>
      </c>
      <c r="H903" s="109">
        <v>5334.4699999999993</v>
      </c>
      <c r="I903" s="95">
        <v>0</v>
      </c>
      <c r="J903" s="95">
        <v>0</v>
      </c>
      <c r="K903" s="95">
        <v>0</v>
      </c>
      <c r="L903" s="95">
        <v>0</v>
      </c>
      <c r="M903" s="96">
        <v>0</v>
      </c>
      <c r="N903" s="97">
        <v>0</v>
      </c>
      <c r="O903" s="98">
        <v>0</v>
      </c>
      <c r="P903" s="33"/>
      <c r="Q903" s="99" t="s">
        <v>1198</v>
      </c>
      <c r="R903" s="100"/>
      <c r="S903" s="101">
        <v>0</v>
      </c>
      <c r="T903" s="102">
        <v>0</v>
      </c>
      <c r="U903" s="103">
        <v>0</v>
      </c>
      <c r="V903" s="103">
        <v>0</v>
      </c>
      <c r="W903" s="104">
        <v>0</v>
      </c>
      <c r="X903" s="19"/>
      <c r="Y903" s="103">
        <v>0</v>
      </c>
      <c r="Z903" s="103">
        <v>0</v>
      </c>
      <c r="AA903" s="105">
        <v>0</v>
      </c>
      <c r="AB903" s="106">
        <v>0</v>
      </c>
      <c r="AC903" s="105">
        <v>0</v>
      </c>
      <c r="AD903" s="104">
        <v>0</v>
      </c>
      <c r="AE903" s="104">
        <v>0</v>
      </c>
      <c r="AF903" s="107">
        <v>46265</v>
      </c>
    </row>
    <row r="904" spans="1:32" x14ac:dyDescent="0.25">
      <c r="A904" s="90">
        <v>1061</v>
      </c>
      <c r="B904" s="91" t="s">
        <v>29</v>
      </c>
      <c r="C904" s="29">
        <v>10610031</v>
      </c>
      <c r="D904" s="92" t="s">
        <v>1103</v>
      </c>
      <c r="E904" s="93" t="s">
        <v>275</v>
      </c>
      <c r="F904" s="93" t="s">
        <v>231</v>
      </c>
      <c r="G904" s="109">
        <v>208.29999999999998</v>
      </c>
      <c r="H904" s="109">
        <v>8023.1900000000005</v>
      </c>
      <c r="I904" s="95">
        <v>0</v>
      </c>
      <c r="J904" s="95">
        <v>0</v>
      </c>
      <c r="K904" s="95">
        <v>0</v>
      </c>
      <c r="L904" s="95">
        <v>0</v>
      </c>
      <c r="M904" s="96">
        <v>0</v>
      </c>
      <c r="N904" s="97">
        <v>0</v>
      </c>
      <c r="O904" s="98">
        <v>0</v>
      </c>
      <c r="P904" s="33"/>
      <c r="Q904" s="99" t="s">
        <v>1198</v>
      </c>
      <c r="R904" s="100"/>
      <c r="S904" s="101">
        <v>0</v>
      </c>
      <c r="T904" s="102">
        <v>0</v>
      </c>
      <c r="U904" s="103">
        <v>0</v>
      </c>
      <c r="V904" s="103">
        <v>0</v>
      </c>
      <c r="W904" s="104">
        <v>0</v>
      </c>
      <c r="X904" s="19"/>
      <c r="Y904" s="103">
        <v>0</v>
      </c>
      <c r="Z904" s="103">
        <v>0</v>
      </c>
      <c r="AA904" s="105">
        <v>0</v>
      </c>
      <c r="AB904" s="106">
        <v>0</v>
      </c>
      <c r="AC904" s="105">
        <v>0</v>
      </c>
      <c r="AD904" s="104">
        <v>0</v>
      </c>
      <c r="AE904" s="104">
        <v>0</v>
      </c>
      <c r="AF904" s="107">
        <v>46265</v>
      </c>
    </row>
    <row r="905" spans="1:32" x14ac:dyDescent="0.25">
      <c r="A905" s="90">
        <v>1061</v>
      </c>
      <c r="B905" s="91" t="s">
        <v>29</v>
      </c>
      <c r="C905" s="29">
        <v>10610032</v>
      </c>
      <c r="D905" s="92" t="s">
        <v>1104</v>
      </c>
      <c r="E905" s="93" t="s">
        <v>275</v>
      </c>
      <c r="F905" s="93" t="s">
        <v>231</v>
      </c>
      <c r="G905" s="109">
        <v>217.3</v>
      </c>
      <c r="H905" s="109">
        <v>9142.27</v>
      </c>
      <c r="I905" s="95">
        <v>0</v>
      </c>
      <c r="J905" s="95">
        <v>0</v>
      </c>
      <c r="K905" s="95">
        <v>0</v>
      </c>
      <c r="L905" s="95">
        <v>0</v>
      </c>
      <c r="M905" s="96">
        <v>0</v>
      </c>
      <c r="N905" s="97">
        <v>0</v>
      </c>
      <c r="O905" s="98">
        <v>0</v>
      </c>
      <c r="P905" s="33"/>
      <c r="Q905" s="99" t="s">
        <v>1198</v>
      </c>
      <c r="R905" s="100"/>
      <c r="S905" s="101">
        <v>0</v>
      </c>
      <c r="T905" s="102">
        <v>0</v>
      </c>
      <c r="U905" s="103">
        <v>0</v>
      </c>
      <c r="V905" s="103">
        <v>0</v>
      </c>
      <c r="W905" s="104">
        <v>0</v>
      </c>
      <c r="X905" s="19"/>
      <c r="Y905" s="103">
        <v>0</v>
      </c>
      <c r="Z905" s="103">
        <v>0</v>
      </c>
      <c r="AA905" s="105">
        <v>0</v>
      </c>
      <c r="AB905" s="106">
        <v>0</v>
      </c>
      <c r="AC905" s="105">
        <v>0</v>
      </c>
      <c r="AD905" s="104">
        <v>0</v>
      </c>
      <c r="AE905" s="104">
        <v>0</v>
      </c>
      <c r="AF905" s="107">
        <v>46265</v>
      </c>
    </row>
    <row r="906" spans="1:32" x14ac:dyDescent="0.25">
      <c r="A906" s="90">
        <v>1061</v>
      </c>
      <c r="B906" s="91" t="s">
        <v>29</v>
      </c>
      <c r="C906" s="29">
        <v>10610034</v>
      </c>
      <c r="D906" s="92" t="s">
        <v>1105</v>
      </c>
      <c r="E906" s="93" t="s">
        <v>275</v>
      </c>
      <c r="F906" s="93" t="s">
        <v>231</v>
      </c>
      <c r="G906" s="109">
        <v>471.30000000000007</v>
      </c>
      <c r="H906" s="109">
        <v>18630.550000000003</v>
      </c>
      <c r="I906" s="95">
        <v>0</v>
      </c>
      <c r="J906" s="95">
        <v>0</v>
      </c>
      <c r="K906" s="95">
        <v>0</v>
      </c>
      <c r="L906" s="95">
        <v>0</v>
      </c>
      <c r="M906" s="96">
        <v>0</v>
      </c>
      <c r="N906" s="97">
        <v>0</v>
      </c>
      <c r="O906" s="98">
        <v>0</v>
      </c>
      <c r="P906" s="33"/>
      <c r="Q906" s="99" t="s">
        <v>1198</v>
      </c>
      <c r="R906" s="100"/>
      <c r="S906" s="101">
        <v>0</v>
      </c>
      <c r="T906" s="102">
        <v>0</v>
      </c>
      <c r="U906" s="103">
        <v>0</v>
      </c>
      <c r="V906" s="103">
        <v>0</v>
      </c>
      <c r="W906" s="104">
        <v>0</v>
      </c>
      <c r="X906" s="19"/>
      <c r="Y906" s="103">
        <v>0</v>
      </c>
      <c r="Z906" s="103">
        <v>0</v>
      </c>
      <c r="AA906" s="105">
        <v>0</v>
      </c>
      <c r="AB906" s="106">
        <v>0</v>
      </c>
      <c r="AC906" s="105">
        <v>0</v>
      </c>
      <c r="AD906" s="104">
        <v>0</v>
      </c>
      <c r="AE906" s="104">
        <v>0</v>
      </c>
      <c r="AF906" s="107">
        <v>46265</v>
      </c>
    </row>
    <row r="907" spans="1:32" x14ac:dyDescent="0.25">
      <c r="A907" s="90">
        <v>1061</v>
      </c>
      <c r="B907" s="91" t="s">
        <v>29</v>
      </c>
      <c r="C907" s="29">
        <v>10610035</v>
      </c>
      <c r="D907" s="92" t="s">
        <v>1106</v>
      </c>
      <c r="E907" s="93" t="s">
        <v>275</v>
      </c>
      <c r="F907" s="93" t="s">
        <v>231</v>
      </c>
      <c r="G907" s="109">
        <v>312.10000000000002</v>
      </c>
      <c r="H907" s="109">
        <v>10489.84</v>
      </c>
      <c r="I907" s="95">
        <v>0</v>
      </c>
      <c r="J907" s="95">
        <v>0</v>
      </c>
      <c r="K907" s="95">
        <v>0</v>
      </c>
      <c r="L907" s="95">
        <v>0</v>
      </c>
      <c r="M907" s="96">
        <v>0</v>
      </c>
      <c r="N907" s="97">
        <v>0</v>
      </c>
      <c r="O907" s="98">
        <v>0</v>
      </c>
      <c r="P907" s="33"/>
      <c r="Q907" s="99" t="s">
        <v>1198</v>
      </c>
      <c r="R907" s="100"/>
      <c r="S907" s="101">
        <v>0</v>
      </c>
      <c r="T907" s="102">
        <v>0</v>
      </c>
      <c r="U907" s="103">
        <v>0</v>
      </c>
      <c r="V907" s="103">
        <v>0</v>
      </c>
      <c r="W907" s="104">
        <v>0</v>
      </c>
      <c r="X907" s="19"/>
      <c r="Y907" s="103">
        <v>0</v>
      </c>
      <c r="Z907" s="103">
        <v>0</v>
      </c>
      <c r="AA907" s="105">
        <v>0</v>
      </c>
      <c r="AB907" s="106">
        <v>0</v>
      </c>
      <c r="AC907" s="105">
        <v>0</v>
      </c>
      <c r="AD907" s="104">
        <v>0</v>
      </c>
      <c r="AE907" s="104">
        <v>0</v>
      </c>
      <c r="AF907" s="107">
        <v>46265</v>
      </c>
    </row>
    <row r="908" spans="1:32" x14ac:dyDescent="0.25">
      <c r="A908" s="90">
        <v>1061</v>
      </c>
      <c r="B908" s="91" t="s">
        <v>29</v>
      </c>
      <c r="C908" s="29">
        <v>10610036</v>
      </c>
      <c r="D908" s="92" t="s">
        <v>1107</v>
      </c>
      <c r="E908" s="93" t="s">
        <v>275</v>
      </c>
      <c r="F908" s="93" t="s">
        <v>231</v>
      </c>
      <c r="G908" s="109">
        <v>372.20000000000005</v>
      </c>
      <c r="H908" s="109">
        <v>13779.15</v>
      </c>
      <c r="I908" s="95">
        <v>0</v>
      </c>
      <c r="J908" s="95">
        <v>0</v>
      </c>
      <c r="K908" s="95">
        <v>0</v>
      </c>
      <c r="L908" s="95">
        <v>0</v>
      </c>
      <c r="M908" s="96">
        <v>0</v>
      </c>
      <c r="N908" s="97">
        <v>0</v>
      </c>
      <c r="O908" s="98">
        <v>0</v>
      </c>
      <c r="P908" s="33"/>
      <c r="Q908" s="99" t="s">
        <v>1198</v>
      </c>
      <c r="R908" s="100"/>
      <c r="S908" s="101">
        <v>0</v>
      </c>
      <c r="T908" s="102">
        <v>0</v>
      </c>
      <c r="U908" s="103">
        <v>0</v>
      </c>
      <c r="V908" s="103">
        <v>0</v>
      </c>
      <c r="W908" s="104">
        <v>0</v>
      </c>
      <c r="X908" s="19"/>
      <c r="Y908" s="103">
        <v>0</v>
      </c>
      <c r="Z908" s="103">
        <v>0</v>
      </c>
      <c r="AA908" s="105">
        <v>0</v>
      </c>
      <c r="AB908" s="106">
        <v>0</v>
      </c>
      <c r="AC908" s="105">
        <v>0</v>
      </c>
      <c r="AD908" s="104">
        <v>0</v>
      </c>
      <c r="AE908" s="104">
        <v>0</v>
      </c>
      <c r="AF908" s="107">
        <v>46265</v>
      </c>
    </row>
    <row r="909" spans="1:32" x14ac:dyDescent="0.25">
      <c r="A909" s="90">
        <v>1061</v>
      </c>
      <c r="B909" s="91" t="s">
        <v>29</v>
      </c>
      <c r="C909" s="29">
        <v>10610038</v>
      </c>
      <c r="D909" s="92" t="s">
        <v>1108</v>
      </c>
      <c r="E909" s="93" t="s">
        <v>275</v>
      </c>
      <c r="F909" s="93" t="s">
        <v>231</v>
      </c>
      <c r="G909" s="109">
        <v>198.60000000000002</v>
      </c>
      <c r="H909" s="109">
        <v>6960.2300000000005</v>
      </c>
      <c r="I909" s="95">
        <v>0</v>
      </c>
      <c r="J909" s="95">
        <v>0</v>
      </c>
      <c r="K909" s="95">
        <v>0</v>
      </c>
      <c r="L909" s="95">
        <v>0</v>
      </c>
      <c r="M909" s="96">
        <v>0</v>
      </c>
      <c r="N909" s="97">
        <v>0</v>
      </c>
      <c r="O909" s="98">
        <v>0</v>
      </c>
      <c r="P909" s="33"/>
      <c r="Q909" s="99" t="s">
        <v>1198</v>
      </c>
      <c r="R909" s="100"/>
      <c r="S909" s="101">
        <v>0</v>
      </c>
      <c r="T909" s="102">
        <v>0</v>
      </c>
      <c r="U909" s="103">
        <v>0</v>
      </c>
      <c r="V909" s="103">
        <v>0</v>
      </c>
      <c r="W909" s="104">
        <v>0</v>
      </c>
      <c r="X909" s="19"/>
      <c r="Y909" s="103">
        <v>0</v>
      </c>
      <c r="Z909" s="103">
        <v>0</v>
      </c>
      <c r="AA909" s="105">
        <v>0</v>
      </c>
      <c r="AB909" s="106">
        <v>0</v>
      </c>
      <c r="AC909" s="105">
        <v>0</v>
      </c>
      <c r="AD909" s="104">
        <v>0</v>
      </c>
      <c r="AE909" s="104">
        <v>0</v>
      </c>
      <c r="AF909" s="107">
        <v>46265</v>
      </c>
    </row>
    <row r="910" spans="1:32" x14ac:dyDescent="0.25">
      <c r="A910" s="90">
        <v>1061</v>
      </c>
      <c r="B910" s="91" t="s">
        <v>29</v>
      </c>
      <c r="C910" s="29">
        <v>10610045</v>
      </c>
      <c r="D910" s="92" t="s">
        <v>1109</v>
      </c>
      <c r="E910" s="93" t="s">
        <v>275</v>
      </c>
      <c r="F910" s="93" t="s">
        <v>231</v>
      </c>
      <c r="G910" s="109">
        <v>51.599999999999994</v>
      </c>
      <c r="H910" s="109">
        <v>1847.6100000000001</v>
      </c>
      <c r="I910" s="95">
        <v>0</v>
      </c>
      <c r="J910" s="95">
        <v>0</v>
      </c>
      <c r="K910" s="95">
        <v>0</v>
      </c>
      <c r="L910" s="95">
        <v>0</v>
      </c>
      <c r="M910" s="96">
        <v>0</v>
      </c>
      <c r="N910" s="97">
        <v>0</v>
      </c>
      <c r="O910" s="98">
        <v>0</v>
      </c>
      <c r="P910" s="33"/>
      <c r="Q910" s="99" t="s">
        <v>1198</v>
      </c>
      <c r="R910" s="100"/>
      <c r="S910" s="101">
        <v>0</v>
      </c>
      <c r="T910" s="102">
        <v>0</v>
      </c>
      <c r="U910" s="103">
        <v>0</v>
      </c>
      <c r="V910" s="103">
        <v>0</v>
      </c>
      <c r="W910" s="104">
        <v>0</v>
      </c>
      <c r="X910" s="19"/>
      <c r="Y910" s="103">
        <v>0</v>
      </c>
      <c r="Z910" s="103">
        <v>0</v>
      </c>
      <c r="AA910" s="105">
        <v>0</v>
      </c>
      <c r="AB910" s="106">
        <v>0</v>
      </c>
      <c r="AC910" s="105">
        <v>0</v>
      </c>
      <c r="AD910" s="104">
        <v>0</v>
      </c>
      <c r="AE910" s="104">
        <v>0</v>
      </c>
      <c r="AF910" s="107">
        <v>46265</v>
      </c>
    </row>
    <row r="911" spans="1:32" x14ac:dyDescent="0.25">
      <c r="A911" s="90">
        <v>1061</v>
      </c>
      <c r="B911" s="91" t="s">
        <v>29</v>
      </c>
      <c r="C911" s="29">
        <v>10610050</v>
      </c>
      <c r="D911" s="92" t="s">
        <v>1110</v>
      </c>
      <c r="E911" s="93" t="s">
        <v>275</v>
      </c>
      <c r="F911" s="93" t="s">
        <v>231</v>
      </c>
      <c r="G911" s="109">
        <v>486.6</v>
      </c>
      <c r="H911" s="109">
        <v>20290.509999999998</v>
      </c>
      <c r="I911" s="95">
        <v>0</v>
      </c>
      <c r="J911" s="95">
        <v>7750</v>
      </c>
      <c r="K911" s="95">
        <v>0</v>
      </c>
      <c r="L911" s="95">
        <v>0</v>
      </c>
      <c r="M911" s="96">
        <v>0</v>
      </c>
      <c r="N911" s="97">
        <v>0</v>
      </c>
      <c r="O911" s="98">
        <v>0</v>
      </c>
      <c r="P911" s="33"/>
      <c r="Q911" s="99" t="s">
        <v>1198</v>
      </c>
      <c r="R911" s="100"/>
      <c r="S911" s="101">
        <v>0</v>
      </c>
      <c r="T911" s="102">
        <v>0</v>
      </c>
      <c r="U911" s="110">
        <v>7750</v>
      </c>
      <c r="V911" s="103">
        <v>7750</v>
      </c>
      <c r="W911" s="104">
        <v>0</v>
      </c>
      <c r="X911" s="19"/>
      <c r="Y911" s="103">
        <v>0</v>
      </c>
      <c r="Z911" s="103">
        <v>0</v>
      </c>
      <c r="AA911" s="105">
        <v>0</v>
      </c>
      <c r="AB911" s="106">
        <v>0</v>
      </c>
      <c r="AC911" s="105">
        <v>0</v>
      </c>
      <c r="AD911" s="104">
        <v>0</v>
      </c>
      <c r="AE911" s="104">
        <v>0</v>
      </c>
      <c r="AF911" s="107">
        <v>46265</v>
      </c>
    </row>
    <row r="912" spans="1:32" x14ac:dyDescent="0.25">
      <c r="A912" s="90">
        <v>1061</v>
      </c>
      <c r="B912" s="91" t="s">
        <v>29</v>
      </c>
      <c r="C912" s="29">
        <v>10610051</v>
      </c>
      <c r="D912" s="92" t="s">
        <v>1111</v>
      </c>
      <c r="E912" s="93" t="s">
        <v>275</v>
      </c>
      <c r="F912" s="93" t="s">
        <v>231</v>
      </c>
      <c r="G912" s="109">
        <v>102.99999999999999</v>
      </c>
      <c r="H912" s="109">
        <v>4276.76</v>
      </c>
      <c r="I912" s="95">
        <v>0</v>
      </c>
      <c r="J912" s="95">
        <v>0</v>
      </c>
      <c r="K912" s="95">
        <v>0</v>
      </c>
      <c r="L912" s="95">
        <v>0</v>
      </c>
      <c r="M912" s="96">
        <v>0</v>
      </c>
      <c r="N912" s="97">
        <v>0</v>
      </c>
      <c r="O912" s="98">
        <v>0</v>
      </c>
      <c r="P912" s="33"/>
      <c r="Q912" s="99" t="s">
        <v>1198</v>
      </c>
      <c r="R912" s="100"/>
      <c r="S912" s="101">
        <v>0</v>
      </c>
      <c r="T912" s="102">
        <v>0</v>
      </c>
      <c r="U912" s="103">
        <v>0</v>
      </c>
      <c r="V912" s="103">
        <v>0</v>
      </c>
      <c r="W912" s="104">
        <v>0</v>
      </c>
      <c r="X912" s="19"/>
      <c r="Y912" s="103">
        <v>0</v>
      </c>
      <c r="Z912" s="103">
        <v>0</v>
      </c>
      <c r="AA912" s="105">
        <v>0</v>
      </c>
      <c r="AB912" s="106">
        <v>0</v>
      </c>
      <c r="AC912" s="105">
        <v>0</v>
      </c>
      <c r="AD912" s="104">
        <v>0</v>
      </c>
      <c r="AE912" s="104">
        <v>0</v>
      </c>
      <c r="AF912" s="107">
        <v>46265</v>
      </c>
    </row>
    <row r="913" spans="1:32" x14ac:dyDescent="0.25">
      <c r="A913" s="90">
        <v>1061</v>
      </c>
      <c r="B913" s="91" t="s">
        <v>29</v>
      </c>
      <c r="C913" s="29">
        <v>10610052</v>
      </c>
      <c r="D913" s="92" t="s">
        <v>1112</v>
      </c>
      <c r="E913" s="93" t="s">
        <v>275</v>
      </c>
      <c r="F913" s="93" t="s">
        <v>231</v>
      </c>
      <c r="G913" s="109">
        <v>487.7</v>
      </c>
      <c r="H913" s="109">
        <v>19001.77</v>
      </c>
      <c r="I913" s="95">
        <v>0</v>
      </c>
      <c r="J913" s="95">
        <v>0</v>
      </c>
      <c r="K913" s="95">
        <v>0</v>
      </c>
      <c r="L913" s="95">
        <v>0</v>
      </c>
      <c r="M913" s="96">
        <v>0</v>
      </c>
      <c r="N913" s="97">
        <v>0</v>
      </c>
      <c r="O913" s="98">
        <v>0</v>
      </c>
      <c r="P913" s="33"/>
      <c r="Q913" s="99" t="s">
        <v>1198</v>
      </c>
      <c r="R913" s="100"/>
      <c r="S913" s="101">
        <v>0</v>
      </c>
      <c r="T913" s="102">
        <v>0</v>
      </c>
      <c r="U913" s="103">
        <v>0</v>
      </c>
      <c r="V913" s="103">
        <v>0</v>
      </c>
      <c r="W913" s="104">
        <v>0</v>
      </c>
      <c r="X913" s="19"/>
      <c r="Y913" s="103">
        <v>0</v>
      </c>
      <c r="Z913" s="103">
        <v>0</v>
      </c>
      <c r="AA913" s="105">
        <v>0</v>
      </c>
      <c r="AB913" s="106">
        <v>0</v>
      </c>
      <c r="AC913" s="105">
        <v>0</v>
      </c>
      <c r="AD913" s="104">
        <v>0</v>
      </c>
      <c r="AE913" s="104">
        <v>0</v>
      </c>
      <c r="AF913" s="107">
        <v>46265</v>
      </c>
    </row>
    <row r="914" spans="1:32" x14ac:dyDescent="0.25">
      <c r="A914" s="90">
        <v>1061</v>
      </c>
      <c r="B914" s="91" t="s">
        <v>29</v>
      </c>
      <c r="C914" s="29">
        <v>10610054</v>
      </c>
      <c r="D914" s="92" t="s">
        <v>1113</v>
      </c>
      <c r="E914" s="93" t="s">
        <v>270</v>
      </c>
      <c r="F914" s="93" t="s">
        <v>230</v>
      </c>
      <c r="G914" s="109">
        <v>549.79999999999995</v>
      </c>
      <c r="H914" s="109">
        <v>21336.829999999998</v>
      </c>
      <c r="I914" s="95">
        <v>0</v>
      </c>
      <c r="J914" s="95">
        <v>0</v>
      </c>
      <c r="K914" s="95">
        <v>0</v>
      </c>
      <c r="L914" s="95">
        <v>0</v>
      </c>
      <c r="M914" s="96">
        <v>468</v>
      </c>
      <c r="N914" s="97">
        <v>0</v>
      </c>
      <c r="O914" s="98">
        <v>0</v>
      </c>
      <c r="P914" s="33"/>
      <c r="Q914" s="99" t="s">
        <v>1198</v>
      </c>
      <c r="R914" s="100"/>
      <c r="S914" s="101">
        <v>2.1905315831826914E-2</v>
      </c>
      <c r="T914" s="102">
        <v>5</v>
      </c>
      <c r="U914" s="103">
        <v>0</v>
      </c>
      <c r="V914" s="103">
        <v>0</v>
      </c>
      <c r="W914" s="104">
        <v>0</v>
      </c>
      <c r="X914" s="19"/>
      <c r="Y914" s="103">
        <v>0</v>
      </c>
      <c r="Z914" s="103">
        <v>0</v>
      </c>
      <c r="AA914" s="105">
        <v>0</v>
      </c>
      <c r="AB914" s="106">
        <v>0</v>
      </c>
      <c r="AC914" s="105">
        <v>0</v>
      </c>
      <c r="AD914" s="104">
        <v>0</v>
      </c>
      <c r="AE914" s="104">
        <v>0</v>
      </c>
      <c r="AF914" s="107">
        <v>46265</v>
      </c>
    </row>
    <row r="915" spans="1:32" x14ac:dyDescent="0.25">
      <c r="A915" s="90">
        <v>1061</v>
      </c>
      <c r="B915" s="91" t="s">
        <v>29</v>
      </c>
      <c r="C915" s="29">
        <v>10610055</v>
      </c>
      <c r="D915" s="92" t="s">
        <v>1114</v>
      </c>
      <c r="E915" s="93" t="s">
        <v>270</v>
      </c>
      <c r="F915" s="93" t="s">
        <v>230</v>
      </c>
      <c r="G915" s="109">
        <v>246.7</v>
      </c>
      <c r="H915" s="109">
        <v>12677.56</v>
      </c>
      <c r="I915" s="95">
        <v>0</v>
      </c>
      <c r="J915" s="95">
        <v>588</v>
      </c>
      <c r="K915" s="95">
        <v>0</v>
      </c>
      <c r="L915" s="95">
        <v>0</v>
      </c>
      <c r="M915" s="96">
        <v>0</v>
      </c>
      <c r="N915" s="97" t="s">
        <v>331</v>
      </c>
      <c r="O915" s="98">
        <v>0</v>
      </c>
      <c r="P915" s="33" t="s">
        <v>332</v>
      </c>
      <c r="Q915" s="99" t="s">
        <v>1198</v>
      </c>
      <c r="R915" s="100"/>
      <c r="S915" s="101">
        <v>-1.5715169165044344E-2</v>
      </c>
      <c r="T915" s="102">
        <v>13</v>
      </c>
      <c r="U915" s="103">
        <v>588</v>
      </c>
      <c r="V915" s="103">
        <v>588</v>
      </c>
      <c r="W915" s="104">
        <v>0</v>
      </c>
      <c r="X915" s="19"/>
      <c r="Y915" s="103">
        <v>0</v>
      </c>
      <c r="Z915" s="103">
        <v>0</v>
      </c>
      <c r="AA915" s="105">
        <v>0</v>
      </c>
      <c r="AB915" s="106">
        <v>0</v>
      </c>
      <c r="AC915" s="105">
        <v>0</v>
      </c>
      <c r="AD915" s="104">
        <v>0</v>
      </c>
      <c r="AE915" s="104">
        <v>0</v>
      </c>
      <c r="AF915" s="107">
        <v>46265</v>
      </c>
    </row>
    <row r="916" spans="1:32" x14ac:dyDescent="0.25">
      <c r="A916" s="90">
        <v>1061</v>
      </c>
      <c r="B916" s="91" t="s">
        <v>29</v>
      </c>
      <c r="C916" s="29">
        <v>10610056</v>
      </c>
      <c r="D916" s="92" t="s">
        <v>1115</v>
      </c>
      <c r="E916" s="93" t="s">
        <v>275</v>
      </c>
      <c r="F916" s="93" t="s">
        <v>231</v>
      </c>
      <c r="G916" s="109">
        <v>1244.4000000000001</v>
      </c>
      <c r="H916" s="109">
        <v>48654.97</v>
      </c>
      <c r="I916" s="95">
        <v>0</v>
      </c>
      <c r="J916" s="95">
        <v>0</v>
      </c>
      <c r="K916" s="95">
        <v>0</v>
      </c>
      <c r="L916" s="95">
        <v>0</v>
      </c>
      <c r="M916" s="96">
        <v>0</v>
      </c>
      <c r="N916" s="97">
        <v>0</v>
      </c>
      <c r="O916" s="98">
        <v>0</v>
      </c>
      <c r="P916" s="33"/>
      <c r="Q916" s="99" t="s">
        <v>1198</v>
      </c>
      <c r="R916" s="100"/>
      <c r="S916" s="101">
        <v>0</v>
      </c>
      <c r="T916" s="102">
        <v>0</v>
      </c>
      <c r="U916" s="103">
        <v>0</v>
      </c>
      <c r="V916" s="103">
        <v>0</v>
      </c>
      <c r="W916" s="104">
        <v>0</v>
      </c>
      <c r="X916" s="19"/>
      <c r="Y916" s="103">
        <v>0</v>
      </c>
      <c r="Z916" s="103">
        <v>0</v>
      </c>
      <c r="AA916" s="105">
        <v>0</v>
      </c>
      <c r="AB916" s="106">
        <v>0</v>
      </c>
      <c r="AC916" s="105">
        <v>0</v>
      </c>
      <c r="AD916" s="104">
        <v>0</v>
      </c>
      <c r="AE916" s="104">
        <v>0</v>
      </c>
      <c r="AF916" s="107">
        <v>46265</v>
      </c>
    </row>
    <row r="917" spans="1:32" x14ac:dyDescent="0.25">
      <c r="A917" s="90">
        <v>1061</v>
      </c>
      <c r="B917" s="91" t="s">
        <v>29</v>
      </c>
      <c r="C917" s="29">
        <v>10610064</v>
      </c>
      <c r="D917" s="92" t="s">
        <v>1116</v>
      </c>
      <c r="E917" s="93" t="s">
        <v>275</v>
      </c>
      <c r="F917" s="93" t="s">
        <v>231</v>
      </c>
      <c r="G917" s="109">
        <v>1199.8</v>
      </c>
      <c r="H917" s="109">
        <v>51316.920000000006</v>
      </c>
      <c r="I917" s="95">
        <v>0</v>
      </c>
      <c r="J917" s="95">
        <v>0</v>
      </c>
      <c r="K917" s="95">
        <v>0</v>
      </c>
      <c r="L917" s="95">
        <v>0</v>
      </c>
      <c r="M917" s="96">
        <v>0</v>
      </c>
      <c r="N917" s="97">
        <v>0</v>
      </c>
      <c r="O917" s="98">
        <v>0</v>
      </c>
      <c r="P917" s="33"/>
      <c r="Q917" s="99" t="s">
        <v>1198</v>
      </c>
      <c r="R917" s="100"/>
      <c r="S917" s="101">
        <v>0</v>
      </c>
      <c r="T917" s="102">
        <v>0</v>
      </c>
      <c r="U917" s="103">
        <v>0</v>
      </c>
      <c r="V917" s="103">
        <v>0</v>
      </c>
      <c r="W917" s="104">
        <v>0</v>
      </c>
      <c r="X917" s="19"/>
      <c r="Y917" s="103">
        <v>0</v>
      </c>
      <c r="Z917" s="103">
        <v>0</v>
      </c>
      <c r="AA917" s="105">
        <v>0</v>
      </c>
      <c r="AB917" s="106">
        <v>0</v>
      </c>
      <c r="AC917" s="105">
        <v>0</v>
      </c>
      <c r="AD917" s="104">
        <v>0</v>
      </c>
      <c r="AE917" s="104">
        <v>0</v>
      </c>
      <c r="AF917" s="107">
        <v>46265</v>
      </c>
    </row>
    <row r="918" spans="1:32" x14ac:dyDescent="0.25">
      <c r="A918" s="90">
        <v>1061</v>
      </c>
      <c r="B918" s="91" t="s">
        <v>29</v>
      </c>
      <c r="C918" s="29">
        <v>10610072</v>
      </c>
      <c r="D918" s="92" t="s">
        <v>1117</v>
      </c>
      <c r="E918" s="93" t="s">
        <v>275</v>
      </c>
      <c r="F918" s="93" t="s">
        <v>231</v>
      </c>
      <c r="G918" s="109">
        <v>50</v>
      </c>
      <c r="H918" s="109">
        <v>1702.16</v>
      </c>
      <c r="I918" s="95">
        <v>0</v>
      </c>
      <c r="J918" s="95">
        <v>0</v>
      </c>
      <c r="K918" s="95">
        <v>0</v>
      </c>
      <c r="L918" s="95">
        <v>0</v>
      </c>
      <c r="M918" s="96">
        <v>0</v>
      </c>
      <c r="N918" s="97">
        <v>0</v>
      </c>
      <c r="O918" s="98">
        <v>0</v>
      </c>
      <c r="P918" s="33"/>
      <c r="Q918" s="99" t="s">
        <v>1198</v>
      </c>
      <c r="R918" s="100"/>
      <c r="S918" s="101">
        <v>0</v>
      </c>
      <c r="T918" s="102">
        <v>0</v>
      </c>
      <c r="U918" s="103">
        <v>0</v>
      </c>
      <c r="V918" s="103">
        <v>0</v>
      </c>
      <c r="W918" s="104">
        <v>0</v>
      </c>
      <c r="X918" s="19"/>
      <c r="Y918" s="103">
        <v>0</v>
      </c>
      <c r="Z918" s="103">
        <v>0</v>
      </c>
      <c r="AA918" s="105">
        <v>0</v>
      </c>
      <c r="AB918" s="106">
        <v>0</v>
      </c>
      <c r="AC918" s="105">
        <v>0</v>
      </c>
      <c r="AD918" s="104">
        <v>0</v>
      </c>
      <c r="AE918" s="104">
        <v>0</v>
      </c>
      <c r="AF918" s="107">
        <v>46265</v>
      </c>
    </row>
    <row r="919" spans="1:32" x14ac:dyDescent="0.25">
      <c r="A919" s="90">
        <v>1061</v>
      </c>
      <c r="B919" s="91" t="s">
        <v>29</v>
      </c>
      <c r="C919" s="29">
        <v>10610073</v>
      </c>
      <c r="D919" s="92" t="s">
        <v>1118</v>
      </c>
      <c r="E919" s="93" t="s">
        <v>275</v>
      </c>
      <c r="F919" s="93" t="s">
        <v>231</v>
      </c>
      <c r="G919" s="109">
        <v>500.5</v>
      </c>
      <c r="H919" s="109">
        <v>20302.22</v>
      </c>
      <c r="I919" s="95">
        <v>0</v>
      </c>
      <c r="J919" s="95">
        <v>0</v>
      </c>
      <c r="K919" s="95">
        <v>0</v>
      </c>
      <c r="L919" s="95">
        <v>0</v>
      </c>
      <c r="M919" s="96">
        <v>0</v>
      </c>
      <c r="N919" s="97">
        <v>0</v>
      </c>
      <c r="O919" s="98">
        <v>0</v>
      </c>
      <c r="P919" s="33"/>
      <c r="Q919" s="99" t="s">
        <v>1198</v>
      </c>
      <c r="R919" s="100"/>
      <c r="S919" s="101">
        <v>0</v>
      </c>
      <c r="T919" s="102">
        <v>0</v>
      </c>
      <c r="U919" s="103">
        <v>0</v>
      </c>
      <c r="V919" s="103">
        <v>0</v>
      </c>
      <c r="W919" s="104">
        <v>0</v>
      </c>
      <c r="X919" s="19"/>
      <c r="Y919" s="103">
        <v>0</v>
      </c>
      <c r="Z919" s="103">
        <v>0</v>
      </c>
      <c r="AA919" s="105">
        <v>0</v>
      </c>
      <c r="AB919" s="106">
        <v>0</v>
      </c>
      <c r="AC919" s="105">
        <v>0</v>
      </c>
      <c r="AD919" s="104">
        <v>0</v>
      </c>
      <c r="AE919" s="104">
        <v>0</v>
      </c>
      <c r="AF919" s="107">
        <v>46265</v>
      </c>
    </row>
    <row r="920" spans="1:32" x14ac:dyDescent="0.25">
      <c r="A920" s="90">
        <v>1061</v>
      </c>
      <c r="B920" s="91" t="s">
        <v>29</v>
      </c>
      <c r="C920" s="29">
        <v>10610074</v>
      </c>
      <c r="D920" s="92" t="s">
        <v>1119</v>
      </c>
      <c r="E920" s="93" t="s">
        <v>275</v>
      </c>
      <c r="F920" s="93" t="s">
        <v>231</v>
      </c>
      <c r="G920" s="109">
        <v>1420.4999999999998</v>
      </c>
      <c r="H920" s="109">
        <v>63184.37000000001</v>
      </c>
      <c r="I920" s="95">
        <v>0</v>
      </c>
      <c r="J920" s="95">
        <v>0</v>
      </c>
      <c r="K920" s="95">
        <v>0</v>
      </c>
      <c r="L920" s="95">
        <v>0</v>
      </c>
      <c r="M920" s="96">
        <v>0</v>
      </c>
      <c r="N920" s="97">
        <v>0</v>
      </c>
      <c r="O920" s="98">
        <v>0</v>
      </c>
      <c r="P920" s="33"/>
      <c r="Q920" s="99" t="s">
        <v>1198</v>
      </c>
      <c r="R920" s="100"/>
      <c r="S920" s="101">
        <v>0</v>
      </c>
      <c r="T920" s="102">
        <v>0</v>
      </c>
      <c r="U920" s="103">
        <v>0</v>
      </c>
      <c r="V920" s="103">
        <v>0</v>
      </c>
      <c r="W920" s="104">
        <v>0</v>
      </c>
      <c r="X920" s="19"/>
      <c r="Y920" s="103">
        <v>0</v>
      </c>
      <c r="Z920" s="103">
        <v>0</v>
      </c>
      <c r="AA920" s="105">
        <v>0</v>
      </c>
      <c r="AB920" s="106">
        <v>0</v>
      </c>
      <c r="AC920" s="105">
        <v>0</v>
      </c>
      <c r="AD920" s="104">
        <v>0</v>
      </c>
      <c r="AE920" s="104">
        <v>0</v>
      </c>
      <c r="AF920" s="107">
        <v>46265</v>
      </c>
    </row>
    <row r="921" spans="1:32" x14ac:dyDescent="0.25">
      <c r="A921" s="90">
        <v>1061</v>
      </c>
      <c r="B921" s="91" t="s">
        <v>29</v>
      </c>
      <c r="C921" s="29">
        <v>10610076</v>
      </c>
      <c r="D921" s="92" t="s">
        <v>1120</v>
      </c>
      <c r="E921" s="93" t="s">
        <v>275</v>
      </c>
      <c r="F921" s="93" t="s">
        <v>231</v>
      </c>
      <c r="G921" s="109">
        <v>292.89999999999998</v>
      </c>
      <c r="H921" s="109">
        <v>11792.33</v>
      </c>
      <c r="I921" s="95">
        <v>0</v>
      </c>
      <c r="J921" s="95">
        <v>0</v>
      </c>
      <c r="K921" s="95">
        <v>0</v>
      </c>
      <c r="L921" s="95">
        <v>0</v>
      </c>
      <c r="M921" s="96">
        <v>0</v>
      </c>
      <c r="N921" s="97">
        <v>0</v>
      </c>
      <c r="O921" s="98">
        <v>0</v>
      </c>
      <c r="P921" s="33"/>
      <c r="Q921" s="99" t="s">
        <v>1198</v>
      </c>
      <c r="R921" s="100"/>
      <c r="S921" s="101">
        <v>0</v>
      </c>
      <c r="T921" s="102">
        <v>0</v>
      </c>
      <c r="U921" s="103">
        <v>0</v>
      </c>
      <c r="V921" s="103">
        <v>0</v>
      </c>
      <c r="W921" s="104">
        <v>0</v>
      </c>
      <c r="X921" s="19"/>
      <c r="Y921" s="103">
        <v>0</v>
      </c>
      <c r="Z921" s="103">
        <v>0</v>
      </c>
      <c r="AA921" s="105">
        <v>0</v>
      </c>
      <c r="AB921" s="106">
        <v>0</v>
      </c>
      <c r="AC921" s="105">
        <v>0</v>
      </c>
      <c r="AD921" s="104">
        <v>0</v>
      </c>
      <c r="AE921" s="104">
        <v>0</v>
      </c>
      <c r="AF921" s="107">
        <v>46265</v>
      </c>
    </row>
    <row r="922" spans="1:32" x14ac:dyDescent="0.25">
      <c r="A922" s="90">
        <v>1061</v>
      </c>
      <c r="B922" s="91" t="s">
        <v>29</v>
      </c>
      <c r="C922" s="29">
        <v>10610077</v>
      </c>
      <c r="D922" s="92" t="s">
        <v>1121</v>
      </c>
      <c r="E922" s="93" t="s">
        <v>275</v>
      </c>
      <c r="F922" s="93" t="s">
        <v>231</v>
      </c>
      <c r="G922" s="109">
        <v>124.6</v>
      </c>
      <c r="H922" s="109">
        <v>5705</v>
      </c>
      <c r="I922" s="95">
        <v>0</v>
      </c>
      <c r="J922" s="95">
        <v>0</v>
      </c>
      <c r="K922" s="95">
        <v>0</v>
      </c>
      <c r="L922" s="95">
        <v>0</v>
      </c>
      <c r="M922" s="96">
        <v>0</v>
      </c>
      <c r="N922" s="97">
        <v>0</v>
      </c>
      <c r="O922" s="98">
        <v>0</v>
      </c>
      <c r="P922" s="33"/>
      <c r="Q922" s="99" t="s">
        <v>1198</v>
      </c>
      <c r="R922" s="100"/>
      <c r="S922" s="101">
        <v>0</v>
      </c>
      <c r="T922" s="102">
        <v>0</v>
      </c>
      <c r="U922" s="103">
        <v>0</v>
      </c>
      <c r="V922" s="103">
        <v>0</v>
      </c>
      <c r="W922" s="104">
        <v>0</v>
      </c>
      <c r="X922" s="19"/>
      <c r="Y922" s="103">
        <v>0</v>
      </c>
      <c r="Z922" s="103">
        <v>0</v>
      </c>
      <c r="AA922" s="105">
        <v>0</v>
      </c>
      <c r="AB922" s="106">
        <v>0</v>
      </c>
      <c r="AC922" s="105">
        <v>0</v>
      </c>
      <c r="AD922" s="104">
        <v>0</v>
      </c>
      <c r="AE922" s="104">
        <v>0</v>
      </c>
      <c r="AF922" s="107">
        <v>46265</v>
      </c>
    </row>
    <row r="923" spans="1:32" x14ac:dyDescent="0.25">
      <c r="A923" s="90">
        <v>1057</v>
      </c>
      <c r="B923" s="91" t="s">
        <v>1197</v>
      </c>
      <c r="C923" s="29">
        <v>10630002</v>
      </c>
      <c r="D923" s="92" t="s">
        <v>1122</v>
      </c>
      <c r="E923" s="93" t="s">
        <v>270</v>
      </c>
      <c r="F923" s="93" t="s">
        <v>230</v>
      </c>
      <c r="G923" s="109">
        <v>166.90000000000003</v>
      </c>
      <c r="H923" s="109">
        <v>7319.7099999999991</v>
      </c>
      <c r="I923" s="95">
        <v>0</v>
      </c>
      <c r="J923" s="95">
        <v>0</v>
      </c>
      <c r="K923" s="95">
        <v>0</v>
      </c>
      <c r="L923" s="95">
        <v>0</v>
      </c>
      <c r="M923" s="96">
        <v>63</v>
      </c>
      <c r="N923" s="97">
        <v>0</v>
      </c>
      <c r="O923" s="98">
        <v>0</v>
      </c>
      <c r="P923" s="33"/>
      <c r="Q923" s="99" t="s">
        <v>1198</v>
      </c>
      <c r="R923" s="100"/>
      <c r="S923" s="101">
        <v>8.6260248015289434E-3</v>
      </c>
      <c r="T923" s="102">
        <v>11</v>
      </c>
      <c r="U923" s="103">
        <v>0</v>
      </c>
      <c r="V923" s="103">
        <v>0</v>
      </c>
      <c r="W923" s="104">
        <v>0</v>
      </c>
      <c r="X923" s="19"/>
      <c r="Y923" s="103">
        <v>0</v>
      </c>
      <c r="Z923" s="103">
        <v>0</v>
      </c>
      <c r="AA923" s="105">
        <v>0</v>
      </c>
      <c r="AB923" s="106">
        <v>0</v>
      </c>
      <c r="AC923" s="105">
        <v>0</v>
      </c>
      <c r="AD923" s="104">
        <v>0</v>
      </c>
      <c r="AE923" s="104">
        <v>0</v>
      </c>
      <c r="AF923" s="107">
        <v>46265</v>
      </c>
    </row>
    <row r="924" spans="1:32" x14ac:dyDescent="0.25">
      <c r="A924" s="90">
        <v>1063</v>
      </c>
      <c r="B924" s="91" t="s">
        <v>1196</v>
      </c>
      <c r="C924" s="29">
        <v>10630004</v>
      </c>
      <c r="D924" s="92" t="s">
        <v>1123</v>
      </c>
      <c r="E924" s="93" t="s">
        <v>270</v>
      </c>
      <c r="F924" s="93" t="s">
        <v>230</v>
      </c>
      <c r="G924" s="109">
        <v>269.90000000000003</v>
      </c>
      <c r="H924" s="109">
        <v>11582.31</v>
      </c>
      <c r="I924" s="95">
        <v>0</v>
      </c>
      <c r="J924" s="95">
        <v>0</v>
      </c>
      <c r="K924" s="95">
        <v>0</v>
      </c>
      <c r="L924" s="95">
        <v>0</v>
      </c>
      <c r="M924" s="96">
        <v>5</v>
      </c>
      <c r="N924" s="97">
        <v>0</v>
      </c>
      <c r="O924" s="98">
        <v>-1</v>
      </c>
      <c r="P924" s="33"/>
      <c r="Q924" s="99" t="s">
        <v>1198</v>
      </c>
      <c r="R924" s="100"/>
      <c r="S924" s="101">
        <v>4.878128801594532E-4</v>
      </c>
      <c r="T924" s="102">
        <v>4</v>
      </c>
      <c r="U924" s="103">
        <v>0</v>
      </c>
      <c r="V924" s="103">
        <v>0</v>
      </c>
      <c r="W924" s="104">
        <v>0</v>
      </c>
      <c r="X924" s="19"/>
      <c r="Y924" s="103">
        <v>0</v>
      </c>
      <c r="Z924" s="103">
        <v>0</v>
      </c>
      <c r="AA924" s="105">
        <v>0</v>
      </c>
      <c r="AB924" s="106">
        <v>0</v>
      </c>
      <c r="AC924" s="105">
        <v>0</v>
      </c>
      <c r="AD924" s="104">
        <v>0</v>
      </c>
      <c r="AE924" s="104">
        <v>0</v>
      </c>
      <c r="AF924" s="107">
        <v>46265</v>
      </c>
    </row>
    <row r="925" spans="1:32" x14ac:dyDescent="0.25">
      <c r="A925" s="90">
        <v>1063</v>
      </c>
      <c r="B925" s="91" t="s">
        <v>1196</v>
      </c>
      <c r="C925" s="29">
        <v>10630009</v>
      </c>
      <c r="D925" s="92" t="s">
        <v>1124</v>
      </c>
      <c r="E925" s="93" t="s">
        <v>270</v>
      </c>
      <c r="F925" s="93" t="s">
        <v>230</v>
      </c>
      <c r="G925" s="109">
        <v>1683.2</v>
      </c>
      <c r="H925" s="109">
        <v>68826.58</v>
      </c>
      <c r="I925" s="95">
        <v>0</v>
      </c>
      <c r="J925" s="95">
        <v>0</v>
      </c>
      <c r="K925" s="95">
        <v>0</v>
      </c>
      <c r="L925" s="95">
        <v>0</v>
      </c>
      <c r="M925" s="96">
        <v>10</v>
      </c>
      <c r="N925" s="97">
        <v>0</v>
      </c>
      <c r="O925" s="98">
        <v>0</v>
      </c>
      <c r="P925" s="33"/>
      <c r="Q925" s="99" t="s">
        <v>1198</v>
      </c>
      <c r="R925" s="100"/>
      <c r="S925" s="101">
        <v>1.5604436541820382E-4</v>
      </c>
      <c r="T925" s="102">
        <v>6</v>
      </c>
      <c r="U925" s="103">
        <v>0</v>
      </c>
      <c r="V925" s="103">
        <v>0</v>
      </c>
      <c r="W925" s="104">
        <v>0</v>
      </c>
      <c r="X925" s="19"/>
      <c r="Y925" s="103">
        <v>0</v>
      </c>
      <c r="Z925" s="103">
        <v>0</v>
      </c>
      <c r="AA925" s="105">
        <v>0</v>
      </c>
      <c r="AB925" s="106">
        <v>0</v>
      </c>
      <c r="AC925" s="105">
        <v>0</v>
      </c>
      <c r="AD925" s="104">
        <v>0</v>
      </c>
      <c r="AE925" s="104">
        <v>0</v>
      </c>
      <c r="AF925" s="107">
        <v>46265</v>
      </c>
    </row>
    <row r="926" spans="1:32" x14ac:dyDescent="0.25">
      <c r="A926" s="90">
        <v>1063</v>
      </c>
      <c r="B926" s="91" t="s">
        <v>1196</v>
      </c>
      <c r="C926" s="29">
        <v>10630010</v>
      </c>
      <c r="D926" s="92" t="s">
        <v>1125</v>
      </c>
      <c r="E926" s="93" t="s">
        <v>275</v>
      </c>
      <c r="F926" s="93" t="s">
        <v>231</v>
      </c>
      <c r="G926" s="109">
        <v>193.39999999999998</v>
      </c>
      <c r="H926" s="109">
        <v>7780.0099999999984</v>
      </c>
      <c r="I926" s="95">
        <v>0</v>
      </c>
      <c r="J926" s="95">
        <v>0</v>
      </c>
      <c r="K926" s="95">
        <v>0</v>
      </c>
      <c r="L926" s="95">
        <v>0</v>
      </c>
      <c r="M926" s="96">
        <v>0</v>
      </c>
      <c r="N926" s="97">
        <v>0</v>
      </c>
      <c r="O926" s="98">
        <v>0</v>
      </c>
      <c r="P926" s="33"/>
      <c r="Q926" s="99" t="s">
        <v>1198</v>
      </c>
      <c r="R926" s="100"/>
      <c r="S926" s="101">
        <v>0</v>
      </c>
      <c r="T926" s="102">
        <v>0</v>
      </c>
      <c r="U926" s="103">
        <v>0</v>
      </c>
      <c r="V926" s="103">
        <v>0</v>
      </c>
      <c r="W926" s="104">
        <v>0</v>
      </c>
      <c r="X926" s="19"/>
      <c r="Y926" s="103">
        <v>0</v>
      </c>
      <c r="Z926" s="103">
        <v>0</v>
      </c>
      <c r="AA926" s="105">
        <v>0</v>
      </c>
      <c r="AB926" s="106">
        <v>0</v>
      </c>
      <c r="AC926" s="105">
        <v>0</v>
      </c>
      <c r="AD926" s="104">
        <v>0</v>
      </c>
      <c r="AE926" s="104">
        <v>0</v>
      </c>
      <c r="AF926" s="107">
        <v>46265</v>
      </c>
    </row>
    <row r="927" spans="1:32" x14ac:dyDescent="0.25">
      <c r="A927" s="90">
        <v>1063</v>
      </c>
      <c r="B927" s="91" t="s">
        <v>1196</v>
      </c>
      <c r="C927" s="29">
        <v>10630011</v>
      </c>
      <c r="D927" s="92" t="s">
        <v>1126</v>
      </c>
      <c r="E927" s="93" t="s">
        <v>275</v>
      </c>
      <c r="F927" s="93" t="s">
        <v>231</v>
      </c>
      <c r="G927" s="109">
        <v>105.30000000000001</v>
      </c>
      <c r="H927" s="109">
        <v>3420.4399999999996</v>
      </c>
      <c r="I927" s="95">
        <v>0</v>
      </c>
      <c r="J927" s="95">
        <v>0</v>
      </c>
      <c r="K927" s="95">
        <v>0</v>
      </c>
      <c r="L927" s="95">
        <v>0</v>
      </c>
      <c r="M927" s="96">
        <v>0</v>
      </c>
      <c r="N927" s="97">
        <v>0</v>
      </c>
      <c r="O927" s="98">
        <v>0</v>
      </c>
      <c r="P927" s="33"/>
      <c r="Q927" s="99" t="s">
        <v>1198</v>
      </c>
      <c r="R927" s="100"/>
      <c r="S927" s="101">
        <v>0</v>
      </c>
      <c r="T927" s="102">
        <v>0</v>
      </c>
      <c r="U927" s="103">
        <v>0</v>
      </c>
      <c r="V927" s="103">
        <v>0</v>
      </c>
      <c r="W927" s="104">
        <v>0</v>
      </c>
      <c r="X927" s="19"/>
      <c r="Y927" s="103">
        <v>0</v>
      </c>
      <c r="Z927" s="103">
        <v>0</v>
      </c>
      <c r="AA927" s="105">
        <v>0</v>
      </c>
      <c r="AB927" s="106">
        <v>0</v>
      </c>
      <c r="AC927" s="105">
        <v>0</v>
      </c>
      <c r="AD927" s="104">
        <v>0</v>
      </c>
      <c r="AE927" s="104">
        <v>0</v>
      </c>
      <c r="AF927" s="107">
        <v>46265</v>
      </c>
    </row>
    <row r="928" spans="1:32" x14ac:dyDescent="0.25">
      <c r="A928" s="90">
        <v>1063</v>
      </c>
      <c r="B928" s="91" t="s">
        <v>1196</v>
      </c>
      <c r="C928" s="29">
        <v>10630014</v>
      </c>
      <c r="D928" s="92" t="s">
        <v>1127</v>
      </c>
      <c r="E928" s="93" t="s">
        <v>270</v>
      </c>
      <c r="F928" s="93" t="s">
        <v>230</v>
      </c>
      <c r="G928" s="109">
        <v>456.4</v>
      </c>
      <c r="H928" s="109">
        <v>18129.88</v>
      </c>
      <c r="I928" s="95">
        <v>0</v>
      </c>
      <c r="J928" s="95">
        <v>0</v>
      </c>
      <c r="K928" s="95">
        <v>0</v>
      </c>
      <c r="L928" s="95">
        <v>0</v>
      </c>
      <c r="M928" s="96">
        <v>0</v>
      </c>
      <c r="N928" s="97">
        <v>0</v>
      </c>
      <c r="O928" s="98">
        <v>0</v>
      </c>
      <c r="P928" s="33"/>
      <c r="Q928" s="99" t="s">
        <v>1198</v>
      </c>
      <c r="R928" s="100"/>
      <c r="S928" s="101">
        <v>2.426932776181245E-5</v>
      </c>
      <c r="T928" s="102">
        <v>9</v>
      </c>
      <c r="U928" s="103">
        <v>0</v>
      </c>
      <c r="V928" s="103">
        <v>0</v>
      </c>
      <c r="W928" s="104">
        <v>0</v>
      </c>
      <c r="X928" s="19"/>
      <c r="Y928" s="103">
        <v>0</v>
      </c>
      <c r="Z928" s="103">
        <v>0</v>
      </c>
      <c r="AA928" s="105">
        <v>0</v>
      </c>
      <c r="AB928" s="106">
        <v>0</v>
      </c>
      <c r="AC928" s="105">
        <v>0</v>
      </c>
      <c r="AD928" s="104">
        <v>0</v>
      </c>
      <c r="AE928" s="104">
        <v>0</v>
      </c>
      <c r="AF928" s="107">
        <v>46265</v>
      </c>
    </row>
    <row r="929" spans="1:32" x14ac:dyDescent="0.25">
      <c r="A929" s="90">
        <v>1057</v>
      </c>
      <c r="B929" s="91" t="s">
        <v>1197</v>
      </c>
      <c r="C929" s="29">
        <v>10630016</v>
      </c>
      <c r="D929" s="92" t="s">
        <v>1128</v>
      </c>
      <c r="E929" s="93" t="s">
        <v>275</v>
      </c>
      <c r="F929" s="93" t="s">
        <v>231</v>
      </c>
      <c r="G929" s="109">
        <v>585.5</v>
      </c>
      <c r="H929" s="109">
        <v>22656.32</v>
      </c>
      <c r="I929" s="95">
        <v>0</v>
      </c>
      <c r="J929" s="95">
        <v>0</v>
      </c>
      <c r="K929" s="95">
        <v>0</v>
      </c>
      <c r="L929" s="95">
        <v>0</v>
      </c>
      <c r="M929" s="96">
        <v>0</v>
      </c>
      <c r="N929" s="97">
        <v>0</v>
      </c>
      <c r="O929" s="98">
        <v>0</v>
      </c>
      <c r="P929" s="33"/>
      <c r="Q929" s="99" t="s">
        <v>1198</v>
      </c>
      <c r="R929" s="100"/>
      <c r="S929" s="101">
        <v>0</v>
      </c>
      <c r="T929" s="102">
        <v>0</v>
      </c>
      <c r="U929" s="103">
        <v>0</v>
      </c>
      <c r="V929" s="103">
        <v>0</v>
      </c>
      <c r="W929" s="104">
        <v>0</v>
      </c>
      <c r="X929" s="19"/>
      <c r="Y929" s="103">
        <v>0</v>
      </c>
      <c r="Z929" s="103">
        <v>0</v>
      </c>
      <c r="AA929" s="105">
        <v>0</v>
      </c>
      <c r="AB929" s="106">
        <v>0</v>
      </c>
      <c r="AC929" s="105">
        <v>0</v>
      </c>
      <c r="AD929" s="104">
        <v>0</v>
      </c>
      <c r="AE929" s="104">
        <v>0</v>
      </c>
      <c r="AF929" s="107">
        <v>46265</v>
      </c>
    </row>
    <row r="930" spans="1:32" x14ac:dyDescent="0.25">
      <c r="A930" s="90">
        <v>1063</v>
      </c>
      <c r="B930" s="91" t="s">
        <v>1196</v>
      </c>
      <c r="C930" s="29">
        <v>10630017</v>
      </c>
      <c r="D930" s="92" t="s">
        <v>1129</v>
      </c>
      <c r="E930" s="93" t="s">
        <v>275</v>
      </c>
      <c r="F930" s="93" t="s">
        <v>231</v>
      </c>
      <c r="G930" s="109">
        <v>139.19999999999999</v>
      </c>
      <c r="H930" s="109">
        <v>5708.5599999999995</v>
      </c>
      <c r="I930" s="95">
        <v>0</v>
      </c>
      <c r="J930" s="95">
        <v>0</v>
      </c>
      <c r="K930" s="95">
        <v>0</v>
      </c>
      <c r="L930" s="95">
        <v>0</v>
      </c>
      <c r="M930" s="96">
        <v>0</v>
      </c>
      <c r="N930" s="97">
        <v>0</v>
      </c>
      <c r="O930" s="98">
        <v>0</v>
      </c>
      <c r="P930" s="33"/>
      <c r="Q930" s="99" t="s">
        <v>1198</v>
      </c>
      <c r="R930" s="100"/>
      <c r="S930" s="101">
        <v>0</v>
      </c>
      <c r="T930" s="102">
        <v>0</v>
      </c>
      <c r="U930" s="103">
        <v>0</v>
      </c>
      <c r="V930" s="103">
        <v>0</v>
      </c>
      <c r="W930" s="104">
        <v>0</v>
      </c>
      <c r="X930" s="19"/>
      <c r="Y930" s="103">
        <v>0</v>
      </c>
      <c r="Z930" s="103">
        <v>0</v>
      </c>
      <c r="AA930" s="105">
        <v>0</v>
      </c>
      <c r="AB930" s="106">
        <v>0</v>
      </c>
      <c r="AC930" s="105">
        <v>0</v>
      </c>
      <c r="AD930" s="104">
        <v>0</v>
      </c>
      <c r="AE930" s="104">
        <v>0</v>
      </c>
      <c r="AF930" s="107">
        <v>46265</v>
      </c>
    </row>
    <row r="931" spans="1:32" x14ac:dyDescent="0.25">
      <c r="A931" s="90">
        <v>1063</v>
      </c>
      <c r="B931" s="91" t="s">
        <v>1196</v>
      </c>
      <c r="C931" s="29">
        <v>10630018</v>
      </c>
      <c r="D931" s="92" t="s">
        <v>1130</v>
      </c>
      <c r="E931" s="93" t="s">
        <v>275</v>
      </c>
      <c r="F931" s="93" t="s">
        <v>231</v>
      </c>
      <c r="G931" s="109">
        <v>1095</v>
      </c>
      <c r="H931" s="109">
        <v>41992.079999999994</v>
      </c>
      <c r="I931" s="95">
        <v>0</v>
      </c>
      <c r="J931" s="95">
        <v>0</v>
      </c>
      <c r="K931" s="95">
        <v>0</v>
      </c>
      <c r="L931" s="95">
        <v>0</v>
      </c>
      <c r="M931" s="96">
        <v>0</v>
      </c>
      <c r="N931" s="97">
        <v>0</v>
      </c>
      <c r="O931" s="98">
        <v>0</v>
      </c>
      <c r="P931" s="33"/>
      <c r="Q931" s="99" t="s">
        <v>1198</v>
      </c>
      <c r="R931" s="100"/>
      <c r="S931" s="101">
        <v>0</v>
      </c>
      <c r="T931" s="102">
        <v>0</v>
      </c>
      <c r="U931" s="103">
        <v>0</v>
      </c>
      <c r="V931" s="103">
        <v>0</v>
      </c>
      <c r="W931" s="104">
        <v>0</v>
      </c>
      <c r="X931" s="19"/>
      <c r="Y931" s="103">
        <v>0</v>
      </c>
      <c r="Z931" s="103">
        <v>0</v>
      </c>
      <c r="AA931" s="105">
        <v>0</v>
      </c>
      <c r="AB931" s="106">
        <v>0</v>
      </c>
      <c r="AC931" s="105">
        <v>0</v>
      </c>
      <c r="AD931" s="104">
        <v>0</v>
      </c>
      <c r="AE931" s="104">
        <v>0</v>
      </c>
      <c r="AF931" s="107">
        <v>46265</v>
      </c>
    </row>
    <row r="932" spans="1:32" x14ac:dyDescent="0.25">
      <c r="A932" s="90">
        <v>1063</v>
      </c>
      <c r="B932" s="91" t="s">
        <v>1196</v>
      </c>
      <c r="C932" s="29">
        <v>10630019</v>
      </c>
      <c r="D932" s="92" t="s">
        <v>1131</v>
      </c>
      <c r="E932" s="93" t="s">
        <v>275</v>
      </c>
      <c r="F932" s="93" t="s">
        <v>231</v>
      </c>
      <c r="G932" s="109">
        <v>1085.8</v>
      </c>
      <c r="H932" s="109">
        <v>42415.719999999994</v>
      </c>
      <c r="I932" s="95">
        <v>0</v>
      </c>
      <c r="J932" s="95">
        <v>0</v>
      </c>
      <c r="K932" s="95">
        <v>0</v>
      </c>
      <c r="L932" s="95">
        <v>0</v>
      </c>
      <c r="M932" s="96">
        <v>0</v>
      </c>
      <c r="N932" s="97">
        <v>0</v>
      </c>
      <c r="O932" s="98">
        <v>0</v>
      </c>
      <c r="P932" s="33"/>
      <c r="Q932" s="99" t="s">
        <v>1198</v>
      </c>
      <c r="R932" s="100"/>
      <c r="S932" s="101">
        <v>0</v>
      </c>
      <c r="T932" s="102">
        <v>0</v>
      </c>
      <c r="U932" s="103">
        <v>0</v>
      </c>
      <c r="V932" s="103">
        <v>0</v>
      </c>
      <c r="W932" s="104">
        <v>0</v>
      </c>
      <c r="X932" s="19"/>
      <c r="Y932" s="103">
        <v>0</v>
      </c>
      <c r="Z932" s="103">
        <v>0</v>
      </c>
      <c r="AA932" s="105">
        <v>0</v>
      </c>
      <c r="AB932" s="106">
        <v>0</v>
      </c>
      <c r="AC932" s="105">
        <v>0</v>
      </c>
      <c r="AD932" s="104">
        <v>0</v>
      </c>
      <c r="AE932" s="104">
        <v>0</v>
      </c>
      <c r="AF932" s="107">
        <v>46265</v>
      </c>
    </row>
    <row r="933" spans="1:32" x14ac:dyDescent="0.25">
      <c r="A933" s="90">
        <v>1063</v>
      </c>
      <c r="B933" s="91" t="s">
        <v>1196</v>
      </c>
      <c r="C933" s="29">
        <v>10630022</v>
      </c>
      <c r="D933" s="92" t="s">
        <v>1132</v>
      </c>
      <c r="E933" s="93" t="s">
        <v>275</v>
      </c>
      <c r="F933" s="93" t="s">
        <v>231</v>
      </c>
      <c r="G933" s="109">
        <v>179.50000000000003</v>
      </c>
      <c r="H933" s="109">
        <v>6914.86</v>
      </c>
      <c r="I933" s="95">
        <v>0</v>
      </c>
      <c r="J933" s="95">
        <v>0</v>
      </c>
      <c r="K933" s="95">
        <v>0</v>
      </c>
      <c r="L933" s="95">
        <v>0</v>
      </c>
      <c r="M933" s="96">
        <v>0</v>
      </c>
      <c r="N933" s="97">
        <v>0</v>
      </c>
      <c r="O933" s="98">
        <v>0</v>
      </c>
      <c r="P933" s="33"/>
      <c r="Q933" s="99" t="s">
        <v>1198</v>
      </c>
      <c r="R933" s="100"/>
      <c r="S933" s="101">
        <v>0</v>
      </c>
      <c r="T933" s="102">
        <v>0</v>
      </c>
      <c r="U933" s="103">
        <v>0</v>
      </c>
      <c r="V933" s="103">
        <v>0</v>
      </c>
      <c r="W933" s="104">
        <v>0</v>
      </c>
      <c r="X933" s="19"/>
      <c r="Y933" s="103">
        <v>0</v>
      </c>
      <c r="Z933" s="103">
        <v>0</v>
      </c>
      <c r="AA933" s="105">
        <v>0</v>
      </c>
      <c r="AB933" s="106">
        <v>0</v>
      </c>
      <c r="AC933" s="105">
        <v>0</v>
      </c>
      <c r="AD933" s="104">
        <v>0</v>
      </c>
      <c r="AE933" s="104">
        <v>0</v>
      </c>
      <c r="AF933" s="107">
        <v>46265</v>
      </c>
    </row>
    <row r="934" spans="1:32" x14ac:dyDescent="0.25">
      <c r="A934" s="90">
        <v>1063</v>
      </c>
      <c r="B934" s="91" t="s">
        <v>1196</v>
      </c>
      <c r="C934" s="29">
        <v>10630023</v>
      </c>
      <c r="D934" s="92" t="s">
        <v>1133</v>
      </c>
      <c r="E934" s="93" t="s">
        <v>275</v>
      </c>
      <c r="F934" s="93" t="s">
        <v>231</v>
      </c>
      <c r="G934" s="109">
        <v>7.3</v>
      </c>
      <c r="H934" s="109">
        <v>328.79</v>
      </c>
      <c r="I934" s="95">
        <v>0</v>
      </c>
      <c r="J934" s="95">
        <v>0</v>
      </c>
      <c r="K934" s="95">
        <v>0</v>
      </c>
      <c r="L934" s="95">
        <v>0</v>
      </c>
      <c r="M934" s="96">
        <v>0</v>
      </c>
      <c r="N934" s="97">
        <v>0</v>
      </c>
      <c r="O934" s="98">
        <v>0</v>
      </c>
      <c r="P934" s="33"/>
      <c r="Q934" s="99" t="s">
        <v>1198</v>
      </c>
      <c r="R934" s="100"/>
      <c r="S934" s="101">
        <v>0</v>
      </c>
      <c r="T934" s="102">
        <v>0</v>
      </c>
      <c r="U934" s="103">
        <v>0</v>
      </c>
      <c r="V934" s="103">
        <v>0</v>
      </c>
      <c r="W934" s="104">
        <v>0</v>
      </c>
      <c r="X934" s="19"/>
      <c r="Y934" s="103">
        <v>0</v>
      </c>
      <c r="Z934" s="103">
        <v>0</v>
      </c>
      <c r="AA934" s="105">
        <v>0</v>
      </c>
      <c r="AB934" s="106">
        <v>0</v>
      </c>
      <c r="AC934" s="105">
        <v>0</v>
      </c>
      <c r="AD934" s="104">
        <v>0</v>
      </c>
      <c r="AE934" s="104">
        <v>0</v>
      </c>
      <c r="AF934" s="107">
        <v>46265</v>
      </c>
    </row>
    <row r="935" spans="1:32" x14ac:dyDescent="0.25">
      <c r="A935" s="90">
        <v>1063</v>
      </c>
      <c r="B935" s="91" t="s">
        <v>1196</v>
      </c>
      <c r="C935" s="29">
        <v>10630024</v>
      </c>
      <c r="D935" s="92" t="s">
        <v>1134</v>
      </c>
      <c r="E935" s="93" t="s">
        <v>275</v>
      </c>
      <c r="F935" s="93" t="s">
        <v>230</v>
      </c>
      <c r="G935" s="109">
        <v>144.69999999999999</v>
      </c>
      <c r="H935" s="109">
        <v>6484.11</v>
      </c>
      <c r="I935" s="95">
        <v>0</v>
      </c>
      <c r="J935" s="95">
        <v>0</v>
      </c>
      <c r="K935" s="95">
        <v>0</v>
      </c>
      <c r="L935" s="95">
        <v>0</v>
      </c>
      <c r="M935" s="96">
        <v>1</v>
      </c>
      <c r="N935" s="97">
        <v>0</v>
      </c>
      <c r="O935" s="98">
        <v>0</v>
      </c>
      <c r="P935" s="33"/>
      <c r="Q935" s="99" t="s">
        <v>1198</v>
      </c>
      <c r="R935" s="100"/>
      <c r="S935" s="101">
        <v>1.3571638975912171E-4</v>
      </c>
      <c r="T935" s="102">
        <v>2</v>
      </c>
      <c r="U935" s="103">
        <v>0</v>
      </c>
      <c r="V935" s="103">
        <v>0</v>
      </c>
      <c r="W935" s="104">
        <v>0</v>
      </c>
      <c r="X935" s="19"/>
      <c r="Y935" s="103">
        <v>0</v>
      </c>
      <c r="Z935" s="103">
        <v>0</v>
      </c>
      <c r="AA935" s="105">
        <v>0</v>
      </c>
      <c r="AB935" s="106">
        <v>0</v>
      </c>
      <c r="AC935" s="105">
        <v>0</v>
      </c>
      <c r="AD935" s="104">
        <v>0</v>
      </c>
      <c r="AE935" s="104">
        <v>0</v>
      </c>
      <c r="AF935" s="107">
        <v>46265</v>
      </c>
    </row>
    <row r="936" spans="1:32" x14ac:dyDescent="0.25">
      <c r="A936" s="90">
        <v>1063</v>
      </c>
      <c r="B936" s="91" t="s">
        <v>1196</v>
      </c>
      <c r="C936" s="29">
        <v>10630025</v>
      </c>
      <c r="D936" s="92" t="s">
        <v>1135</v>
      </c>
      <c r="E936" s="93" t="s">
        <v>275</v>
      </c>
      <c r="F936" s="93" t="s">
        <v>230</v>
      </c>
      <c r="G936" s="109">
        <v>259.60000000000002</v>
      </c>
      <c r="H936" s="109">
        <v>10310.48</v>
      </c>
      <c r="I936" s="95">
        <v>0</v>
      </c>
      <c r="J936" s="95">
        <v>0</v>
      </c>
      <c r="K936" s="95">
        <v>0</v>
      </c>
      <c r="L936" s="95">
        <v>0</v>
      </c>
      <c r="M936" s="96">
        <v>1</v>
      </c>
      <c r="N936" s="97">
        <v>0</v>
      </c>
      <c r="O936" s="98">
        <v>0</v>
      </c>
      <c r="P936" s="33"/>
      <c r="Q936" s="99" t="s">
        <v>1198</v>
      </c>
      <c r="R936" s="100"/>
      <c r="S936" s="101">
        <v>4.1705138848867565E-5</v>
      </c>
      <c r="T936" s="102">
        <v>6</v>
      </c>
      <c r="U936" s="103">
        <v>0</v>
      </c>
      <c r="V936" s="103">
        <v>0</v>
      </c>
      <c r="W936" s="104">
        <v>0</v>
      </c>
      <c r="X936" s="19"/>
      <c r="Y936" s="103">
        <v>0</v>
      </c>
      <c r="Z936" s="103">
        <v>0</v>
      </c>
      <c r="AA936" s="105">
        <v>0</v>
      </c>
      <c r="AB936" s="106">
        <v>0</v>
      </c>
      <c r="AC936" s="105">
        <v>0</v>
      </c>
      <c r="AD936" s="104">
        <v>0</v>
      </c>
      <c r="AE936" s="104">
        <v>0</v>
      </c>
      <c r="AF936" s="107">
        <v>46265</v>
      </c>
    </row>
    <row r="937" spans="1:32" x14ac:dyDescent="0.25">
      <c r="A937" s="90">
        <v>1063</v>
      </c>
      <c r="B937" s="91" t="s">
        <v>1196</v>
      </c>
      <c r="C937" s="29">
        <v>10630027</v>
      </c>
      <c r="D937" s="92" t="s">
        <v>1136</v>
      </c>
      <c r="E937" s="93" t="s">
        <v>275</v>
      </c>
      <c r="F937" s="93" t="s">
        <v>230</v>
      </c>
      <c r="G937" s="109">
        <v>97.3</v>
      </c>
      <c r="H937" s="109">
        <v>4210.12</v>
      </c>
      <c r="I937" s="95">
        <v>0</v>
      </c>
      <c r="J937" s="95">
        <v>0</v>
      </c>
      <c r="K937" s="95">
        <v>0</v>
      </c>
      <c r="L937" s="95">
        <v>0</v>
      </c>
      <c r="M937" s="96">
        <v>0</v>
      </c>
      <c r="N937" s="97">
        <v>0</v>
      </c>
      <c r="O937" s="98">
        <v>0</v>
      </c>
      <c r="P937" s="33"/>
      <c r="Q937" s="99" t="s">
        <v>1198</v>
      </c>
      <c r="R937" s="100"/>
      <c r="S937" s="101">
        <v>-5.3442657216442994E-4</v>
      </c>
      <c r="T937" s="102">
        <v>2</v>
      </c>
      <c r="U937" s="103">
        <v>0</v>
      </c>
      <c r="V937" s="103">
        <v>0</v>
      </c>
      <c r="W937" s="104">
        <v>0</v>
      </c>
      <c r="X937" s="19"/>
      <c r="Y937" s="103">
        <v>0</v>
      </c>
      <c r="Z937" s="103">
        <v>0</v>
      </c>
      <c r="AA937" s="105">
        <v>0</v>
      </c>
      <c r="AB937" s="106">
        <v>0</v>
      </c>
      <c r="AC937" s="105">
        <v>0</v>
      </c>
      <c r="AD937" s="104">
        <v>0</v>
      </c>
      <c r="AE937" s="104">
        <v>0</v>
      </c>
      <c r="AF937" s="107">
        <v>46265</v>
      </c>
    </row>
    <row r="938" spans="1:32" x14ac:dyDescent="0.25">
      <c r="A938" s="90">
        <v>1063</v>
      </c>
      <c r="B938" s="91" t="s">
        <v>1196</v>
      </c>
      <c r="C938" s="29">
        <v>10630032</v>
      </c>
      <c r="D938" s="92" t="s">
        <v>1137</v>
      </c>
      <c r="E938" s="93" t="s">
        <v>275</v>
      </c>
      <c r="F938" s="93" t="s">
        <v>231</v>
      </c>
      <c r="G938" s="109">
        <v>112</v>
      </c>
      <c r="H938" s="109">
        <v>4874.6000000000004</v>
      </c>
      <c r="I938" s="95">
        <v>0</v>
      </c>
      <c r="J938" s="95">
        <v>0</v>
      </c>
      <c r="K938" s="95">
        <v>0</v>
      </c>
      <c r="L938" s="95">
        <v>0</v>
      </c>
      <c r="M938" s="96">
        <v>0</v>
      </c>
      <c r="N938" s="97">
        <v>0</v>
      </c>
      <c r="O938" s="98">
        <v>0</v>
      </c>
      <c r="P938" s="33"/>
      <c r="Q938" s="99" t="s">
        <v>1198</v>
      </c>
      <c r="R938" s="100"/>
      <c r="S938" s="101">
        <v>0</v>
      </c>
      <c r="T938" s="102">
        <v>0</v>
      </c>
      <c r="U938" s="103">
        <v>0</v>
      </c>
      <c r="V938" s="103">
        <v>0</v>
      </c>
      <c r="W938" s="104">
        <v>0</v>
      </c>
      <c r="X938" s="19"/>
      <c r="Y938" s="103">
        <v>0</v>
      </c>
      <c r="Z938" s="103">
        <v>0</v>
      </c>
      <c r="AA938" s="105">
        <v>0</v>
      </c>
      <c r="AB938" s="106">
        <v>0</v>
      </c>
      <c r="AC938" s="105">
        <v>0</v>
      </c>
      <c r="AD938" s="104">
        <v>0</v>
      </c>
      <c r="AE938" s="104">
        <v>0</v>
      </c>
      <c r="AF938" s="107">
        <v>46265</v>
      </c>
    </row>
    <row r="939" spans="1:32" x14ac:dyDescent="0.25">
      <c r="A939" s="90">
        <v>1063</v>
      </c>
      <c r="B939" s="91" t="s">
        <v>1196</v>
      </c>
      <c r="C939" s="29">
        <v>10630033</v>
      </c>
      <c r="D939" s="92" t="s">
        <v>1138</v>
      </c>
      <c r="E939" s="93" t="s">
        <v>275</v>
      </c>
      <c r="F939" s="93" t="s">
        <v>231</v>
      </c>
      <c r="G939" s="109">
        <v>240.3</v>
      </c>
      <c r="H939" s="109">
        <v>8766.26</v>
      </c>
      <c r="I939" s="95">
        <v>0</v>
      </c>
      <c r="J939" s="95">
        <v>0</v>
      </c>
      <c r="K939" s="95">
        <v>0</v>
      </c>
      <c r="L939" s="95">
        <v>0</v>
      </c>
      <c r="M939" s="96">
        <v>0</v>
      </c>
      <c r="N939" s="97">
        <v>0</v>
      </c>
      <c r="O939" s="98">
        <v>0</v>
      </c>
      <c r="P939" s="33"/>
      <c r="Q939" s="99" t="s">
        <v>1198</v>
      </c>
      <c r="R939" s="100"/>
      <c r="S939" s="101">
        <v>0</v>
      </c>
      <c r="T939" s="102">
        <v>0</v>
      </c>
      <c r="U939" s="103">
        <v>0</v>
      </c>
      <c r="V939" s="103">
        <v>0</v>
      </c>
      <c r="W939" s="104">
        <v>0</v>
      </c>
      <c r="X939" s="19"/>
      <c r="Y939" s="103">
        <v>0</v>
      </c>
      <c r="Z939" s="103">
        <v>0</v>
      </c>
      <c r="AA939" s="105">
        <v>0</v>
      </c>
      <c r="AB939" s="106">
        <v>0</v>
      </c>
      <c r="AC939" s="105">
        <v>0</v>
      </c>
      <c r="AD939" s="104">
        <v>0</v>
      </c>
      <c r="AE939" s="104">
        <v>0</v>
      </c>
      <c r="AF939" s="107">
        <v>46265</v>
      </c>
    </row>
    <row r="940" spans="1:32" x14ac:dyDescent="0.25">
      <c r="A940" s="90">
        <v>1063</v>
      </c>
      <c r="B940" s="91" t="s">
        <v>1196</v>
      </c>
      <c r="C940" s="29">
        <v>10630036</v>
      </c>
      <c r="D940" s="92" t="s">
        <v>1139</v>
      </c>
      <c r="E940" s="93" t="s">
        <v>275</v>
      </c>
      <c r="F940" s="93" t="s">
        <v>231</v>
      </c>
      <c r="G940" s="109">
        <v>229.3</v>
      </c>
      <c r="H940" s="109">
        <v>8085.27</v>
      </c>
      <c r="I940" s="95">
        <v>0</v>
      </c>
      <c r="J940" s="95">
        <v>0</v>
      </c>
      <c r="K940" s="95">
        <v>0</v>
      </c>
      <c r="L940" s="95">
        <v>0</v>
      </c>
      <c r="M940" s="96">
        <v>0</v>
      </c>
      <c r="N940" s="97">
        <v>0</v>
      </c>
      <c r="O940" s="98">
        <v>0</v>
      </c>
      <c r="P940" s="33"/>
      <c r="Q940" s="99" t="s">
        <v>1198</v>
      </c>
      <c r="R940" s="100"/>
      <c r="S940" s="101">
        <v>0</v>
      </c>
      <c r="T940" s="102">
        <v>0</v>
      </c>
      <c r="U940" s="103">
        <v>0</v>
      </c>
      <c r="V940" s="103">
        <v>0</v>
      </c>
      <c r="W940" s="104">
        <v>0</v>
      </c>
      <c r="X940" s="19"/>
      <c r="Y940" s="103">
        <v>0</v>
      </c>
      <c r="Z940" s="103">
        <v>0</v>
      </c>
      <c r="AA940" s="105">
        <v>0</v>
      </c>
      <c r="AB940" s="106">
        <v>0</v>
      </c>
      <c r="AC940" s="105">
        <v>0</v>
      </c>
      <c r="AD940" s="104">
        <v>0</v>
      </c>
      <c r="AE940" s="104">
        <v>0</v>
      </c>
      <c r="AF940" s="107">
        <v>46265</v>
      </c>
    </row>
    <row r="941" spans="1:32" x14ac:dyDescent="0.25">
      <c r="A941" s="90">
        <v>1063</v>
      </c>
      <c r="B941" s="91" t="s">
        <v>1196</v>
      </c>
      <c r="C941" s="29">
        <v>10630038</v>
      </c>
      <c r="D941" s="92" t="s">
        <v>1140</v>
      </c>
      <c r="E941" s="93" t="s">
        <v>275</v>
      </c>
      <c r="F941" s="93" t="s">
        <v>231</v>
      </c>
      <c r="G941" s="109">
        <v>428.3</v>
      </c>
      <c r="H941" s="109">
        <v>15723.75</v>
      </c>
      <c r="I941" s="95">
        <v>0</v>
      </c>
      <c r="J941" s="95">
        <v>0</v>
      </c>
      <c r="K941" s="95">
        <v>0</v>
      </c>
      <c r="L941" s="95">
        <v>0</v>
      </c>
      <c r="M941" s="96">
        <v>0</v>
      </c>
      <c r="N941" s="97">
        <v>0</v>
      </c>
      <c r="O941" s="98">
        <v>0</v>
      </c>
      <c r="P941" s="33"/>
      <c r="Q941" s="99" t="s">
        <v>1198</v>
      </c>
      <c r="R941" s="100"/>
      <c r="S941" s="101">
        <v>0</v>
      </c>
      <c r="T941" s="102">
        <v>0</v>
      </c>
      <c r="U941" s="103">
        <v>0</v>
      </c>
      <c r="V941" s="103">
        <v>0</v>
      </c>
      <c r="W941" s="104">
        <v>0</v>
      </c>
      <c r="X941" s="19"/>
      <c r="Y941" s="103">
        <v>0</v>
      </c>
      <c r="Z941" s="103">
        <v>0</v>
      </c>
      <c r="AA941" s="105">
        <v>0</v>
      </c>
      <c r="AB941" s="106">
        <v>0</v>
      </c>
      <c r="AC941" s="105">
        <v>0</v>
      </c>
      <c r="AD941" s="104">
        <v>0</v>
      </c>
      <c r="AE941" s="104">
        <v>0</v>
      </c>
      <c r="AF941" s="107">
        <v>46265</v>
      </c>
    </row>
    <row r="942" spans="1:32" x14ac:dyDescent="0.25">
      <c r="A942" s="90">
        <v>1063</v>
      </c>
      <c r="B942" s="91" t="s">
        <v>1196</v>
      </c>
      <c r="C942" s="29">
        <v>10630039</v>
      </c>
      <c r="D942" s="92" t="s">
        <v>1141</v>
      </c>
      <c r="E942" s="93" t="s">
        <v>275</v>
      </c>
      <c r="F942" s="93" t="s">
        <v>231</v>
      </c>
      <c r="G942" s="109">
        <v>374.9</v>
      </c>
      <c r="H942" s="109">
        <v>13873.11</v>
      </c>
      <c r="I942" s="95">
        <v>0</v>
      </c>
      <c r="J942" s="95">
        <v>0</v>
      </c>
      <c r="K942" s="95">
        <v>0</v>
      </c>
      <c r="L942" s="95">
        <v>0</v>
      </c>
      <c r="M942" s="96">
        <v>0</v>
      </c>
      <c r="N942" s="97">
        <v>0</v>
      </c>
      <c r="O942" s="98">
        <v>0</v>
      </c>
      <c r="P942" s="33"/>
      <c r="Q942" s="99" t="s">
        <v>1198</v>
      </c>
      <c r="R942" s="100"/>
      <c r="S942" s="101">
        <v>0</v>
      </c>
      <c r="T942" s="102">
        <v>0</v>
      </c>
      <c r="U942" s="103">
        <v>0</v>
      </c>
      <c r="V942" s="103">
        <v>0</v>
      </c>
      <c r="W942" s="104">
        <v>0</v>
      </c>
      <c r="X942" s="19"/>
      <c r="Y942" s="103">
        <v>0</v>
      </c>
      <c r="Z942" s="103">
        <v>0</v>
      </c>
      <c r="AA942" s="105">
        <v>0</v>
      </c>
      <c r="AB942" s="106">
        <v>0</v>
      </c>
      <c r="AC942" s="105">
        <v>0</v>
      </c>
      <c r="AD942" s="104">
        <v>0</v>
      </c>
      <c r="AE942" s="104">
        <v>0</v>
      </c>
      <c r="AF942" s="107">
        <v>46265</v>
      </c>
    </row>
    <row r="943" spans="1:32" x14ac:dyDescent="0.25">
      <c r="A943" s="90">
        <v>1063</v>
      </c>
      <c r="B943" s="91" t="s">
        <v>1196</v>
      </c>
      <c r="C943" s="29">
        <v>10630040</v>
      </c>
      <c r="D943" s="92" t="s">
        <v>1142</v>
      </c>
      <c r="E943" s="93" t="s">
        <v>275</v>
      </c>
      <c r="F943" s="93" t="s">
        <v>231</v>
      </c>
      <c r="G943" s="109">
        <v>174.60000000000002</v>
      </c>
      <c r="H943" s="109">
        <v>5232.4900000000007</v>
      </c>
      <c r="I943" s="95">
        <v>0</v>
      </c>
      <c r="J943" s="95">
        <v>0</v>
      </c>
      <c r="K943" s="95">
        <v>0</v>
      </c>
      <c r="L943" s="95">
        <v>0</v>
      </c>
      <c r="M943" s="96">
        <v>0</v>
      </c>
      <c r="N943" s="97">
        <v>0</v>
      </c>
      <c r="O943" s="98">
        <v>0</v>
      </c>
      <c r="P943" s="33"/>
      <c r="Q943" s="99" t="s">
        <v>1198</v>
      </c>
      <c r="R943" s="100"/>
      <c r="S943" s="101">
        <v>0</v>
      </c>
      <c r="T943" s="102">
        <v>0</v>
      </c>
      <c r="U943" s="103">
        <v>0</v>
      </c>
      <c r="V943" s="103">
        <v>0</v>
      </c>
      <c r="W943" s="104">
        <v>0</v>
      </c>
      <c r="X943" s="19"/>
      <c r="Y943" s="103">
        <v>0</v>
      </c>
      <c r="Z943" s="103">
        <v>0</v>
      </c>
      <c r="AA943" s="105">
        <v>0</v>
      </c>
      <c r="AB943" s="106">
        <v>0</v>
      </c>
      <c r="AC943" s="105">
        <v>0</v>
      </c>
      <c r="AD943" s="104">
        <v>0</v>
      </c>
      <c r="AE943" s="104">
        <v>0</v>
      </c>
      <c r="AF943" s="107">
        <v>46265</v>
      </c>
    </row>
    <row r="944" spans="1:32" x14ac:dyDescent="0.25">
      <c r="A944" s="90">
        <v>1063</v>
      </c>
      <c r="B944" s="91" t="s">
        <v>1196</v>
      </c>
      <c r="C944" s="29">
        <v>10630042</v>
      </c>
      <c r="D944" s="92" t="s">
        <v>1143</v>
      </c>
      <c r="E944" s="93" t="s">
        <v>275</v>
      </c>
      <c r="F944" s="93" t="s">
        <v>231</v>
      </c>
      <c r="G944" s="109">
        <v>119</v>
      </c>
      <c r="H944" s="109">
        <v>4204.68</v>
      </c>
      <c r="I944" s="95">
        <v>0</v>
      </c>
      <c r="J944" s="95">
        <v>0</v>
      </c>
      <c r="K944" s="95">
        <v>0</v>
      </c>
      <c r="L944" s="95">
        <v>0</v>
      </c>
      <c r="M944" s="96">
        <v>0</v>
      </c>
      <c r="N944" s="97">
        <v>0</v>
      </c>
      <c r="O944" s="98">
        <v>0</v>
      </c>
      <c r="P944" s="33"/>
      <c r="Q944" s="99" t="s">
        <v>1198</v>
      </c>
      <c r="R944" s="100"/>
      <c r="S944" s="101">
        <v>0</v>
      </c>
      <c r="T944" s="102">
        <v>0</v>
      </c>
      <c r="U944" s="103">
        <v>0</v>
      </c>
      <c r="V944" s="103">
        <v>0</v>
      </c>
      <c r="W944" s="104">
        <v>0</v>
      </c>
      <c r="X944" s="19"/>
      <c r="Y944" s="103">
        <v>0</v>
      </c>
      <c r="Z944" s="103">
        <v>0</v>
      </c>
      <c r="AA944" s="105">
        <v>0</v>
      </c>
      <c r="AB944" s="106">
        <v>0</v>
      </c>
      <c r="AC944" s="105">
        <v>0</v>
      </c>
      <c r="AD944" s="104">
        <v>0</v>
      </c>
      <c r="AE944" s="104">
        <v>0</v>
      </c>
      <c r="AF944" s="107">
        <v>46265</v>
      </c>
    </row>
    <row r="945" spans="1:32" x14ac:dyDescent="0.25">
      <c r="A945" s="90">
        <v>1063</v>
      </c>
      <c r="B945" s="91" t="s">
        <v>1196</v>
      </c>
      <c r="C945" s="29">
        <v>10630043</v>
      </c>
      <c r="D945" s="92" t="s">
        <v>1144</v>
      </c>
      <c r="E945" s="93" t="s">
        <v>275</v>
      </c>
      <c r="F945" s="93" t="s">
        <v>231</v>
      </c>
      <c r="G945" s="109">
        <v>47.599999999999994</v>
      </c>
      <c r="H945" s="109">
        <v>1701.47</v>
      </c>
      <c r="I945" s="95">
        <v>0</v>
      </c>
      <c r="J945" s="95">
        <v>0</v>
      </c>
      <c r="K945" s="95">
        <v>0</v>
      </c>
      <c r="L945" s="95">
        <v>0</v>
      </c>
      <c r="M945" s="96">
        <v>0</v>
      </c>
      <c r="N945" s="97">
        <v>0</v>
      </c>
      <c r="O945" s="98">
        <v>0</v>
      </c>
      <c r="P945" s="33"/>
      <c r="Q945" s="99" t="s">
        <v>1198</v>
      </c>
      <c r="R945" s="100"/>
      <c r="S945" s="101">
        <v>0</v>
      </c>
      <c r="T945" s="102">
        <v>0</v>
      </c>
      <c r="U945" s="103">
        <v>0</v>
      </c>
      <c r="V945" s="103">
        <v>0</v>
      </c>
      <c r="W945" s="104">
        <v>0</v>
      </c>
      <c r="X945" s="19"/>
      <c r="Y945" s="103">
        <v>0</v>
      </c>
      <c r="Z945" s="103">
        <v>0</v>
      </c>
      <c r="AA945" s="105">
        <v>0</v>
      </c>
      <c r="AB945" s="106">
        <v>0</v>
      </c>
      <c r="AC945" s="105">
        <v>0</v>
      </c>
      <c r="AD945" s="104">
        <v>0</v>
      </c>
      <c r="AE945" s="104">
        <v>0</v>
      </c>
      <c r="AF945" s="107">
        <v>46265</v>
      </c>
    </row>
    <row r="946" spans="1:32" x14ac:dyDescent="0.25">
      <c r="A946" s="90">
        <v>1062</v>
      </c>
      <c r="B946" s="91" t="s">
        <v>1193</v>
      </c>
      <c r="C946" s="29">
        <v>10640001</v>
      </c>
      <c r="D946" s="92" t="s">
        <v>1145</v>
      </c>
      <c r="E946" s="93" t="s">
        <v>270</v>
      </c>
      <c r="F946" s="93" t="s">
        <v>230</v>
      </c>
      <c r="G946" s="109">
        <v>1187.4499999999998</v>
      </c>
      <c r="H946" s="109">
        <v>47739.07</v>
      </c>
      <c r="I946" s="95">
        <v>0</v>
      </c>
      <c r="J946" s="95">
        <v>0</v>
      </c>
      <c r="K946" s="95">
        <v>0</v>
      </c>
      <c r="L946" s="95">
        <v>0</v>
      </c>
      <c r="M946" s="96">
        <v>184</v>
      </c>
      <c r="N946" s="97">
        <v>0</v>
      </c>
      <c r="O946" s="98">
        <v>0</v>
      </c>
      <c r="P946" s="33"/>
      <c r="Q946" s="99" t="s">
        <v>1198</v>
      </c>
      <c r="R946" s="100"/>
      <c r="S946" s="101">
        <v>3.8611979663619135E-3</v>
      </c>
      <c r="T946" s="102">
        <v>5</v>
      </c>
      <c r="U946" s="103">
        <v>0</v>
      </c>
      <c r="V946" s="103">
        <v>0</v>
      </c>
      <c r="W946" s="104">
        <v>0</v>
      </c>
      <c r="X946" s="19"/>
      <c r="Y946" s="103">
        <v>0</v>
      </c>
      <c r="Z946" s="103">
        <v>0</v>
      </c>
      <c r="AA946" s="105">
        <v>0</v>
      </c>
      <c r="AB946" s="106">
        <v>0</v>
      </c>
      <c r="AC946" s="105">
        <v>0</v>
      </c>
      <c r="AD946" s="104">
        <v>0</v>
      </c>
      <c r="AE946" s="104">
        <v>0</v>
      </c>
      <c r="AF946" s="107">
        <v>46265</v>
      </c>
    </row>
    <row r="947" spans="1:32" x14ac:dyDescent="0.25">
      <c r="A947" s="90">
        <v>1062</v>
      </c>
      <c r="B947" s="91" t="s">
        <v>1193</v>
      </c>
      <c r="C947" s="29">
        <v>10640003</v>
      </c>
      <c r="D947" s="92" t="s">
        <v>1146</v>
      </c>
      <c r="E947" s="93" t="s">
        <v>270</v>
      </c>
      <c r="F947" s="93" t="s">
        <v>230</v>
      </c>
      <c r="G947" s="109">
        <v>2331.19</v>
      </c>
      <c r="H947" s="109">
        <v>107886.11</v>
      </c>
      <c r="I947" s="95">
        <v>0</v>
      </c>
      <c r="J947" s="95">
        <v>0</v>
      </c>
      <c r="K947" s="95">
        <v>0</v>
      </c>
      <c r="L947" s="95">
        <v>0</v>
      </c>
      <c r="M947" s="96">
        <v>0</v>
      </c>
      <c r="N947" s="97">
        <v>0</v>
      </c>
      <c r="O947" s="98">
        <v>0</v>
      </c>
      <c r="P947" s="33"/>
      <c r="Q947" s="99" t="s">
        <v>1198</v>
      </c>
      <c r="R947" s="100"/>
      <c r="S947" s="101">
        <v>-2.6756085653658564E-2</v>
      </c>
      <c r="T947" s="102">
        <v>26</v>
      </c>
      <c r="U947" s="103">
        <v>0</v>
      </c>
      <c r="V947" s="103">
        <v>0</v>
      </c>
      <c r="W947" s="104">
        <v>0</v>
      </c>
      <c r="X947" s="19"/>
      <c r="Y947" s="103">
        <v>0</v>
      </c>
      <c r="Z947" s="103">
        <v>0</v>
      </c>
      <c r="AA947" s="105">
        <v>0</v>
      </c>
      <c r="AB947" s="106">
        <v>0</v>
      </c>
      <c r="AC947" s="105">
        <v>0</v>
      </c>
      <c r="AD947" s="104">
        <v>0</v>
      </c>
      <c r="AE947" s="104">
        <v>0</v>
      </c>
      <c r="AF947" s="107">
        <v>46265</v>
      </c>
    </row>
    <row r="948" spans="1:32" x14ac:dyDescent="0.25">
      <c r="A948" s="90">
        <v>1062</v>
      </c>
      <c r="B948" s="91" t="s">
        <v>1193</v>
      </c>
      <c r="C948" s="29">
        <v>10640005</v>
      </c>
      <c r="D948" s="92" t="s">
        <v>1147</v>
      </c>
      <c r="E948" s="93" t="s">
        <v>270</v>
      </c>
      <c r="F948" s="93" t="s">
        <v>230</v>
      </c>
      <c r="G948" s="109">
        <v>254.65</v>
      </c>
      <c r="H948" s="109">
        <v>10684.59</v>
      </c>
      <c r="I948" s="95">
        <v>0</v>
      </c>
      <c r="J948" s="95">
        <v>0</v>
      </c>
      <c r="K948" s="95">
        <v>0</v>
      </c>
      <c r="L948" s="95">
        <v>0</v>
      </c>
      <c r="M948" s="96">
        <v>18</v>
      </c>
      <c r="N948" s="97">
        <v>0</v>
      </c>
      <c r="O948" s="98">
        <v>0</v>
      </c>
      <c r="P948" s="33"/>
      <c r="Q948" s="99" t="s">
        <v>1198</v>
      </c>
      <c r="R948" s="100"/>
      <c r="S948" s="101">
        <v>1.7445685796085219E-3</v>
      </c>
      <c r="T948" s="102">
        <v>2</v>
      </c>
      <c r="U948" s="103">
        <v>0</v>
      </c>
      <c r="V948" s="103">
        <v>0</v>
      </c>
      <c r="W948" s="104">
        <v>0</v>
      </c>
      <c r="X948" s="19"/>
      <c r="Y948" s="103">
        <v>0</v>
      </c>
      <c r="Z948" s="103">
        <v>0</v>
      </c>
      <c r="AA948" s="105">
        <v>0</v>
      </c>
      <c r="AB948" s="106">
        <v>0</v>
      </c>
      <c r="AC948" s="105">
        <v>0</v>
      </c>
      <c r="AD948" s="104">
        <v>0</v>
      </c>
      <c r="AE948" s="104">
        <v>0</v>
      </c>
      <c r="AF948" s="107">
        <v>46265</v>
      </c>
    </row>
    <row r="949" spans="1:32" x14ac:dyDescent="0.25">
      <c r="A949" s="90">
        <v>1062</v>
      </c>
      <c r="B949" s="91" t="s">
        <v>1193</v>
      </c>
      <c r="C949" s="29">
        <v>10640006</v>
      </c>
      <c r="D949" s="92" t="s">
        <v>1148</v>
      </c>
      <c r="E949" s="93" t="s">
        <v>270</v>
      </c>
      <c r="F949" s="93" t="s">
        <v>230</v>
      </c>
      <c r="G949" s="109">
        <v>470.71999999999997</v>
      </c>
      <c r="H949" s="109">
        <v>22426.53</v>
      </c>
      <c r="I949" s="95">
        <v>0</v>
      </c>
      <c r="J949" s="95">
        <v>0</v>
      </c>
      <c r="K949" s="95">
        <v>0</v>
      </c>
      <c r="L949" s="95">
        <v>0</v>
      </c>
      <c r="M949" s="96">
        <v>0</v>
      </c>
      <c r="N949" s="97">
        <v>0</v>
      </c>
      <c r="O949" s="98">
        <v>0</v>
      </c>
      <c r="P949" s="33"/>
      <c r="Q949" s="99" t="s">
        <v>1198</v>
      </c>
      <c r="R949" s="100"/>
      <c r="S949" s="101">
        <v>-0.11685089044091965</v>
      </c>
      <c r="T949" s="102">
        <v>9</v>
      </c>
      <c r="U949" s="103">
        <v>0</v>
      </c>
      <c r="V949" s="103">
        <v>0</v>
      </c>
      <c r="W949" s="104">
        <v>0</v>
      </c>
      <c r="X949" s="19"/>
      <c r="Y949" s="103">
        <v>0</v>
      </c>
      <c r="Z949" s="103">
        <v>0</v>
      </c>
      <c r="AA949" s="105">
        <v>0</v>
      </c>
      <c r="AB949" s="106">
        <v>0</v>
      </c>
      <c r="AC949" s="105">
        <v>0</v>
      </c>
      <c r="AD949" s="104">
        <v>0</v>
      </c>
      <c r="AE949" s="104">
        <v>0</v>
      </c>
      <c r="AF949" s="107">
        <v>46265</v>
      </c>
    </row>
    <row r="950" spans="1:32" x14ac:dyDescent="0.25">
      <c r="A950" s="90">
        <v>1062</v>
      </c>
      <c r="B950" s="91" t="s">
        <v>1193</v>
      </c>
      <c r="C950" s="29">
        <v>10640007</v>
      </c>
      <c r="D950" s="92" t="s">
        <v>1149</v>
      </c>
      <c r="E950" s="93" t="s">
        <v>275</v>
      </c>
      <c r="F950" s="93" t="s">
        <v>231</v>
      </c>
      <c r="G950" s="109">
        <v>84.72</v>
      </c>
      <c r="H950" s="109">
        <v>3735.25</v>
      </c>
      <c r="I950" s="95">
        <v>0</v>
      </c>
      <c r="J950" s="95">
        <v>0</v>
      </c>
      <c r="K950" s="95">
        <v>0</v>
      </c>
      <c r="L950" s="95">
        <v>0</v>
      </c>
      <c r="M950" s="96">
        <v>0</v>
      </c>
      <c r="N950" s="97">
        <v>0</v>
      </c>
      <c r="O950" s="98">
        <v>0</v>
      </c>
      <c r="P950" s="33"/>
      <c r="Q950" s="99" t="s">
        <v>1198</v>
      </c>
      <c r="R950" s="100"/>
      <c r="S950" s="101">
        <v>0</v>
      </c>
      <c r="T950" s="102">
        <v>0</v>
      </c>
      <c r="U950" s="103">
        <v>0</v>
      </c>
      <c r="V950" s="103">
        <v>0</v>
      </c>
      <c r="W950" s="104">
        <v>0</v>
      </c>
      <c r="X950" s="19"/>
      <c r="Y950" s="103">
        <v>0</v>
      </c>
      <c r="Z950" s="103">
        <v>0</v>
      </c>
      <c r="AA950" s="105">
        <v>0</v>
      </c>
      <c r="AB950" s="106">
        <v>0</v>
      </c>
      <c r="AC950" s="105">
        <v>0</v>
      </c>
      <c r="AD950" s="104">
        <v>0</v>
      </c>
      <c r="AE950" s="104">
        <v>0</v>
      </c>
      <c r="AF950" s="107">
        <v>46265</v>
      </c>
    </row>
    <row r="951" spans="1:32" x14ac:dyDescent="0.25">
      <c r="A951" s="90">
        <v>1062</v>
      </c>
      <c r="B951" s="91" t="s">
        <v>1193</v>
      </c>
      <c r="C951" s="29">
        <v>10640008</v>
      </c>
      <c r="D951" s="92" t="s">
        <v>1150</v>
      </c>
      <c r="E951" s="93" t="s">
        <v>275</v>
      </c>
      <c r="F951" s="93" t="s">
        <v>230</v>
      </c>
      <c r="G951" s="109">
        <v>297.76</v>
      </c>
      <c r="H951" s="109">
        <v>12323.559999999998</v>
      </c>
      <c r="I951" s="95">
        <v>0</v>
      </c>
      <c r="J951" s="95">
        <v>0</v>
      </c>
      <c r="K951" s="95">
        <v>0</v>
      </c>
      <c r="L951" s="95">
        <v>0</v>
      </c>
      <c r="M951" s="96">
        <v>0</v>
      </c>
      <c r="N951" s="97">
        <v>0</v>
      </c>
      <c r="O951" s="98">
        <v>0</v>
      </c>
      <c r="P951" s="33"/>
      <c r="Q951" s="99" t="s">
        <v>1198</v>
      </c>
      <c r="R951" s="100"/>
      <c r="S951" s="101">
        <v>-1.6587739257162861E-2</v>
      </c>
      <c r="T951" s="102">
        <v>1</v>
      </c>
      <c r="U951" s="103">
        <v>0</v>
      </c>
      <c r="V951" s="103">
        <v>0</v>
      </c>
      <c r="W951" s="104">
        <v>0</v>
      </c>
      <c r="X951" s="19"/>
      <c r="Y951" s="103">
        <v>0</v>
      </c>
      <c r="Z951" s="103">
        <v>0</v>
      </c>
      <c r="AA951" s="105">
        <v>0</v>
      </c>
      <c r="AB951" s="106">
        <v>0</v>
      </c>
      <c r="AC951" s="105">
        <v>0</v>
      </c>
      <c r="AD951" s="104">
        <v>0</v>
      </c>
      <c r="AE951" s="104">
        <v>0</v>
      </c>
      <c r="AF951" s="107">
        <v>46265</v>
      </c>
    </row>
    <row r="952" spans="1:32" x14ac:dyDescent="0.25">
      <c r="A952" s="90">
        <v>1062</v>
      </c>
      <c r="B952" s="91" t="s">
        <v>1193</v>
      </c>
      <c r="C952" s="29">
        <v>10640009</v>
      </c>
      <c r="D952" s="92" t="s">
        <v>1151</v>
      </c>
      <c r="E952" s="93" t="s">
        <v>270</v>
      </c>
      <c r="F952" s="93" t="s">
        <v>230</v>
      </c>
      <c r="G952" s="109">
        <v>358.69999999999993</v>
      </c>
      <c r="H952" s="109">
        <v>15813.420000000002</v>
      </c>
      <c r="I952" s="95">
        <v>0</v>
      </c>
      <c r="J952" s="95">
        <v>0</v>
      </c>
      <c r="K952" s="95">
        <v>0</v>
      </c>
      <c r="L952" s="95">
        <v>0</v>
      </c>
      <c r="M952" s="96">
        <v>96</v>
      </c>
      <c r="N952" s="97">
        <v>0</v>
      </c>
      <c r="O952" s="98">
        <v>0</v>
      </c>
      <c r="P952" s="33"/>
      <c r="Q952" s="99" t="s">
        <v>1198</v>
      </c>
      <c r="R952" s="100"/>
      <c r="S952" s="101">
        <v>6.0733225323807791E-3</v>
      </c>
      <c r="T952" s="102">
        <v>1</v>
      </c>
      <c r="U952" s="103">
        <v>0</v>
      </c>
      <c r="V952" s="103">
        <v>0</v>
      </c>
      <c r="W952" s="104">
        <v>0</v>
      </c>
      <c r="X952" s="19"/>
      <c r="Y952" s="103">
        <v>0</v>
      </c>
      <c r="Z952" s="103">
        <v>0</v>
      </c>
      <c r="AA952" s="105">
        <v>0</v>
      </c>
      <c r="AB952" s="106">
        <v>0</v>
      </c>
      <c r="AC952" s="105">
        <v>0</v>
      </c>
      <c r="AD952" s="104">
        <v>0</v>
      </c>
      <c r="AE952" s="104">
        <v>0</v>
      </c>
      <c r="AF952" s="107">
        <v>46265</v>
      </c>
    </row>
    <row r="953" spans="1:32" x14ac:dyDescent="0.25">
      <c r="A953" s="90">
        <v>1062</v>
      </c>
      <c r="B953" s="91" t="s">
        <v>1193</v>
      </c>
      <c r="C953" s="29">
        <v>10640010</v>
      </c>
      <c r="D953" s="92" t="s">
        <v>1152</v>
      </c>
      <c r="E953" s="93" t="s">
        <v>275</v>
      </c>
      <c r="F953" s="93" t="s">
        <v>231</v>
      </c>
      <c r="G953" s="109">
        <v>158.42000000000002</v>
      </c>
      <c r="H953" s="109">
        <v>5941.01</v>
      </c>
      <c r="I953" s="95">
        <v>0</v>
      </c>
      <c r="J953" s="95">
        <v>0</v>
      </c>
      <c r="K953" s="95">
        <v>0</v>
      </c>
      <c r="L953" s="95">
        <v>0</v>
      </c>
      <c r="M953" s="96">
        <v>0</v>
      </c>
      <c r="N953" s="97">
        <v>0</v>
      </c>
      <c r="O953" s="98">
        <v>0</v>
      </c>
      <c r="P953" s="33"/>
      <c r="Q953" s="99" t="s">
        <v>1198</v>
      </c>
      <c r="R953" s="100"/>
      <c r="S953" s="101">
        <v>0</v>
      </c>
      <c r="T953" s="102">
        <v>0</v>
      </c>
      <c r="U953" s="103">
        <v>0</v>
      </c>
      <c r="V953" s="103">
        <v>0</v>
      </c>
      <c r="W953" s="104">
        <v>0</v>
      </c>
      <c r="X953" s="19"/>
      <c r="Y953" s="103">
        <v>0</v>
      </c>
      <c r="Z953" s="103">
        <v>0</v>
      </c>
      <c r="AA953" s="105">
        <v>0</v>
      </c>
      <c r="AB953" s="106">
        <v>0</v>
      </c>
      <c r="AC953" s="105">
        <v>0</v>
      </c>
      <c r="AD953" s="104">
        <v>0</v>
      </c>
      <c r="AE953" s="104">
        <v>0</v>
      </c>
      <c r="AF953" s="107">
        <v>46265</v>
      </c>
    </row>
    <row r="954" spans="1:32" x14ac:dyDescent="0.25">
      <c r="A954" s="90">
        <v>1062</v>
      </c>
      <c r="B954" s="91" t="s">
        <v>1193</v>
      </c>
      <c r="C954" s="29">
        <v>10640011</v>
      </c>
      <c r="D954" s="92" t="s">
        <v>1153</v>
      </c>
      <c r="E954" s="93" t="s">
        <v>275</v>
      </c>
      <c r="F954" s="93" t="s">
        <v>231</v>
      </c>
      <c r="G954" s="109">
        <v>179.95</v>
      </c>
      <c r="H954" s="109">
        <v>9037.82</v>
      </c>
      <c r="I954" s="95">
        <v>0</v>
      </c>
      <c r="J954" s="95">
        <v>0</v>
      </c>
      <c r="K954" s="95">
        <v>0</v>
      </c>
      <c r="L954" s="95">
        <v>0</v>
      </c>
      <c r="M954" s="96">
        <v>0</v>
      </c>
      <c r="N954" s="97">
        <v>0</v>
      </c>
      <c r="O954" s="98">
        <v>0</v>
      </c>
      <c r="P954" s="33"/>
      <c r="Q954" s="99" t="s">
        <v>1198</v>
      </c>
      <c r="R954" s="100"/>
      <c r="S954" s="101">
        <v>0</v>
      </c>
      <c r="T954" s="102">
        <v>0</v>
      </c>
      <c r="U954" s="103">
        <v>0</v>
      </c>
      <c r="V954" s="103">
        <v>0</v>
      </c>
      <c r="W954" s="104">
        <v>0</v>
      </c>
      <c r="X954" s="19"/>
      <c r="Y954" s="103">
        <v>0</v>
      </c>
      <c r="Z954" s="103">
        <v>0</v>
      </c>
      <c r="AA954" s="105">
        <v>0</v>
      </c>
      <c r="AB954" s="106">
        <v>0</v>
      </c>
      <c r="AC954" s="105">
        <v>0</v>
      </c>
      <c r="AD954" s="104">
        <v>0</v>
      </c>
      <c r="AE954" s="104">
        <v>0</v>
      </c>
      <c r="AF954" s="107">
        <v>46265</v>
      </c>
    </row>
    <row r="955" spans="1:32" x14ac:dyDescent="0.25">
      <c r="A955" s="90">
        <v>1008</v>
      </c>
      <c r="B955" s="91" t="s">
        <v>1190</v>
      </c>
      <c r="C955" s="29">
        <v>10650001</v>
      </c>
      <c r="D955" s="92" t="s">
        <v>1154</v>
      </c>
      <c r="E955" s="93" t="s">
        <v>270</v>
      </c>
      <c r="F955" s="93" t="s">
        <v>230</v>
      </c>
      <c r="G955" s="109">
        <v>339.15000000000003</v>
      </c>
      <c r="H955" s="109">
        <v>13675.39</v>
      </c>
      <c r="I955" s="95">
        <v>0</v>
      </c>
      <c r="J955" s="95">
        <v>0</v>
      </c>
      <c r="K955" s="95">
        <v>0</v>
      </c>
      <c r="L955" s="95">
        <v>0</v>
      </c>
      <c r="M955" s="96">
        <v>0</v>
      </c>
      <c r="N955" s="97">
        <v>0</v>
      </c>
      <c r="O955" s="98">
        <v>0</v>
      </c>
      <c r="P955" s="33"/>
      <c r="Q955" s="99" t="s">
        <v>1198</v>
      </c>
      <c r="R955" s="100"/>
      <c r="S955" s="101">
        <v>-6.1177779939000386E-2</v>
      </c>
      <c r="T955" s="102">
        <v>3</v>
      </c>
      <c r="U955" s="103">
        <v>0</v>
      </c>
      <c r="V955" s="103">
        <v>0</v>
      </c>
      <c r="W955" s="104">
        <v>0</v>
      </c>
      <c r="X955" s="19"/>
      <c r="Y955" s="103">
        <v>0</v>
      </c>
      <c r="Z955" s="103">
        <v>0</v>
      </c>
      <c r="AA955" s="105">
        <v>0</v>
      </c>
      <c r="AB955" s="106">
        <v>0</v>
      </c>
      <c r="AC955" s="105">
        <v>0</v>
      </c>
      <c r="AD955" s="104">
        <v>0</v>
      </c>
      <c r="AE955" s="104">
        <v>0</v>
      </c>
      <c r="AF955" s="107">
        <v>46265</v>
      </c>
    </row>
    <row r="956" spans="1:32" x14ac:dyDescent="0.25">
      <c r="A956" s="90">
        <v>1008</v>
      </c>
      <c r="B956" s="91" t="s">
        <v>1190</v>
      </c>
      <c r="C956" s="29">
        <v>10650003</v>
      </c>
      <c r="D956" s="92" t="s">
        <v>1155</v>
      </c>
      <c r="E956" s="93" t="s">
        <v>270</v>
      </c>
      <c r="F956" s="93" t="s">
        <v>230</v>
      </c>
      <c r="G956" s="109">
        <v>1187</v>
      </c>
      <c r="H956" s="109">
        <v>50963.02</v>
      </c>
      <c r="I956" s="95">
        <v>0</v>
      </c>
      <c r="J956" s="95">
        <v>0</v>
      </c>
      <c r="K956" s="95">
        <v>0</v>
      </c>
      <c r="L956" s="95">
        <v>0</v>
      </c>
      <c r="M956" s="96">
        <v>0</v>
      </c>
      <c r="N956" s="97">
        <v>0</v>
      </c>
      <c r="O956" s="98">
        <v>0</v>
      </c>
      <c r="P956" s="33"/>
      <c r="Q956" s="99" t="s">
        <v>1198</v>
      </c>
      <c r="R956" s="100"/>
      <c r="S956" s="101">
        <v>-1.0803127444174325E-2</v>
      </c>
      <c r="T956" s="102">
        <v>23</v>
      </c>
      <c r="U956" s="103">
        <v>0</v>
      </c>
      <c r="V956" s="103">
        <v>0</v>
      </c>
      <c r="W956" s="104">
        <v>0</v>
      </c>
      <c r="X956" s="19"/>
      <c r="Y956" s="103">
        <v>0</v>
      </c>
      <c r="Z956" s="103">
        <v>0</v>
      </c>
      <c r="AA956" s="105">
        <v>0</v>
      </c>
      <c r="AB956" s="106">
        <v>0</v>
      </c>
      <c r="AC956" s="105">
        <v>0</v>
      </c>
      <c r="AD956" s="104">
        <v>0</v>
      </c>
      <c r="AE956" s="104">
        <v>0</v>
      </c>
      <c r="AF956" s="107">
        <v>46265</v>
      </c>
    </row>
    <row r="957" spans="1:32" x14ac:dyDescent="0.25">
      <c r="A957" s="90">
        <v>1008</v>
      </c>
      <c r="B957" s="91" t="s">
        <v>1190</v>
      </c>
      <c r="C957" s="29">
        <v>10650004</v>
      </c>
      <c r="D957" s="92" t="s">
        <v>1156</v>
      </c>
      <c r="E957" s="93" t="s">
        <v>270</v>
      </c>
      <c r="F957" s="93" t="s">
        <v>230</v>
      </c>
      <c r="G957" s="109">
        <v>516.70000000000005</v>
      </c>
      <c r="H957" s="109">
        <v>20326.580000000002</v>
      </c>
      <c r="I957" s="95">
        <v>0</v>
      </c>
      <c r="J957" s="95">
        <v>0</v>
      </c>
      <c r="K957" s="95">
        <v>0</v>
      </c>
      <c r="L957" s="95">
        <v>0</v>
      </c>
      <c r="M957" s="96">
        <v>0</v>
      </c>
      <c r="N957" s="97">
        <v>0</v>
      </c>
      <c r="O957" s="98">
        <v>0</v>
      </c>
      <c r="P957" s="33"/>
      <c r="Q957" s="99" t="s">
        <v>1198</v>
      </c>
      <c r="R957" s="100"/>
      <c r="S957" s="101">
        <v>-5.632821655192341E-2</v>
      </c>
      <c r="T957" s="102">
        <v>6</v>
      </c>
      <c r="U957" s="103">
        <v>0</v>
      </c>
      <c r="V957" s="103">
        <v>0</v>
      </c>
      <c r="W957" s="104">
        <v>0</v>
      </c>
      <c r="X957" s="19"/>
      <c r="Y957" s="103">
        <v>0</v>
      </c>
      <c r="Z957" s="103">
        <v>0</v>
      </c>
      <c r="AA957" s="105">
        <v>0</v>
      </c>
      <c r="AB957" s="106">
        <v>0</v>
      </c>
      <c r="AC957" s="105">
        <v>0</v>
      </c>
      <c r="AD957" s="104">
        <v>0</v>
      </c>
      <c r="AE957" s="104">
        <v>0</v>
      </c>
      <c r="AF957" s="107">
        <v>46265</v>
      </c>
    </row>
    <row r="958" spans="1:32" x14ac:dyDescent="0.25">
      <c r="A958" s="90">
        <v>1008</v>
      </c>
      <c r="B958" s="91" t="s">
        <v>1190</v>
      </c>
      <c r="C958" s="29">
        <v>10650011</v>
      </c>
      <c r="D958" s="92" t="s">
        <v>1157</v>
      </c>
      <c r="E958" s="93" t="s">
        <v>270</v>
      </c>
      <c r="F958" s="93" t="s">
        <v>230</v>
      </c>
      <c r="G958" s="109">
        <v>579.80000000000007</v>
      </c>
      <c r="H958" s="109">
        <v>22446.059999999998</v>
      </c>
      <c r="I958" s="95">
        <v>0</v>
      </c>
      <c r="J958" s="95">
        <v>0</v>
      </c>
      <c r="K958" s="95">
        <v>0</v>
      </c>
      <c r="L958" s="95">
        <v>0</v>
      </c>
      <c r="M958" s="96">
        <v>0</v>
      </c>
      <c r="N958" s="97">
        <v>0</v>
      </c>
      <c r="O958" s="98">
        <v>0</v>
      </c>
      <c r="P958" s="33"/>
      <c r="Q958" s="99" t="s">
        <v>1198</v>
      </c>
      <c r="R958" s="100"/>
      <c r="S958" s="101">
        <v>-9.4623288006893222E-2</v>
      </c>
      <c r="T958" s="102">
        <v>9</v>
      </c>
      <c r="U958" s="103">
        <v>0</v>
      </c>
      <c r="V958" s="103">
        <v>0</v>
      </c>
      <c r="W958" s="104">
        <v>0</v>
      </c>
      <c r="X958" s="19"/>
      <c r="Y958" s="103">
        <v>0</v>
      </c>
      <c r="Z958" s="103">
        <v>0</v>
      </c>
      <c r="AA958" s="105">
        <v>0</v>
      </c>
      <c r="AB958" s="106">
        <v>0</v>
      </c>
      <c r="AC958" s="105">
        <v>0</v>
      </c>
      <c r="AD958" s="104">
        <v>0</v>
      </c>
      <c r="AE958" s="104">
        <v>0</v>
      </c>
      <c r="AF958" s="107">
        <v>46265</v>
      </c>
    </row>
    <row r="959" spans="1:32" x14ac:dyDescent="0.25">
      <c r="A959" s="90">
        <v>1008</v>
      </c>
      <c r="B959" s="91" t="s">
        <v>1190</v>
      </c>
      <c r="C959" s="29">
        <v>10650013</v>
      </c>
      <c r="D959" s="92" t="s">
        <v>1158</v>
      </c>
      <c r="E959" s="93" t="s">
        <v>270</v>
      </c>
      <c r="F959" s="93" t="s">
        <v>230</v>
      </c>
      <c r="G959" s="109">
        <v>444.75000000000006</v>
      </c>
      <c r="H959" s="109">
        <v>17661.86</v>
      </c>
      <c r="I959" s="95">
        <v>0</v>
      </c>
      <c r="J959" s="95">
        <v>0</v>
      </c>
      <c r="K959" s="95">
        <v>0</v>
      </c>
      <c r="L959" s="95">
        <v>0</v>
      </c>
      <c r="M959" s="96">
        <v>0</v>
      </c>
      <c r="N959" s="97">
        <v>0</v>
      </c>
      <c r="O959" s="98">
        <v>0</v>
      </c>
      <c r="P959" s="33"/>
      <c r="Q959" s="99" t="s">
        <v>1198</v>
      </c>
      <c r="R959" s="100"/>
      <c r="S959" s="101">
        <v>-5.0391068664350496E-4</v>
      </c>
      <c r="T959" s="102">
        <v>3</v>
      </c>
      <c r="U959" s="103">
        <v>0</v>
      </c>
      <c r="V959" s="103">
        <v>0</v>
      </c>
      <c r="W959" s="104">
        <v>0</v>
      </c>
      <c r="X959" s="19"/>
      <c r="Y959" s="103">
        <v>0</v>
      </c>
      <c r="Z959" s="103">
        <v>0</v>
      </c>
      <c r="AA959" s="105">
        <v>0</v>
      </c>
      <c r="AB959" s="106">
        <v>0</v>
      </c>
      <c r="AC959" s="105">
        <v>0</v>
      </c>
      <c r="AD959" s="104">
        <v>0</v>
      </c>
      <c r="AE959" s="104">
        <v>0</v>
      </c>
      <c r="AF959" s="107">
        <v>46265</v>
      </c>
    </row>
    <row r="960" spans="1:32" x14ac:dyDescent="0.25">
      <c r="A960" s="90">
        <v>1008</v>
      </c>
      <c r="B960" s="91" t="s">
        <v>1190</v>
      </c>
      <c r="C960" s="29">
        <v>10650014</v>
      </c>
      <c r="D960" s="92" t="s">
        <v>1159</v>
      </c>
      <c r="E960" s="93" t="s">
        <v>270</v>
      </c>
      <c r="F960" s="93" t="s">
        <v>230</v>
      </c>
      <c r="G960" s="109">
        <v>653.44999999999993</v>
      </c>
      <c r="H960" s="109">
        <v>25615.019999999997</v>
      </c>
      <c r="I960" s="95">
        <v>0</v>
      </c>
      <c r="J960" s="95">
        <v>0</v>
      </c>
      <c r="K960" s="95">
        <v>0</v>
      </c>
      <c r="L960" s="95">
        <v>0</v>
      </c>
      <c r="M960" s="96">
        <v>0</v>
      </c>
      <c r="N960" s="97">
        <v>0</v>
      </c>
      <c r="O960" s="98">
        <v>0</v>
      </c>
      <c r="P960" s="33"/>
      <c r="Q960" s="99" t="s">
        <v>1198</v>
      </c>
      <c r="R960" s="100"/>
      <c r="S960" s="101">
        <v>-7.9752426506010679E-2</v>
      </c>
      <c r="T960" s="102">
        <v>1</v>
      </c>
      <c r="U960" s="103">
        <v>0</v>
      </c>
      <c r="V960" s="103">
        <v>0</v>
      </c>
      <c r="W960" s="104">
        <v>0</v>
      </c>
      <c r="X960" s="19"/>
      <c r="Y960" s="103">
        <v>0</v>
      </c>
      <c r="Z960" s="103">
        <v>0</v>
      </c>
      <c r="AA960" s="105">
        <v>0</v>
      </c>
      <c r="AB960" s="106">
        <v>0</v>
      </c>
      <c r="AC960" s="105">
        <v>0</v>
      </c>
      <c r="AD960" s="104">
        <v>0</v>
      </c>
      <c r="AE960" s="104">
        <v>0</v>
      </c>
      <c r="AF960" s="107">
        <v>46265</v>
      </c>
    </row>
    <row r="961" spans="1:32" x14ac:dyDescent="0.25">
      <c r="A961" s="90">
        <v>1008</v>
      </c>
      <c r="B961" s="91" t="s">
        <v>1190</v>
      </c>
      <c r="C961" s="29">
        <v>10650016</v>
      </c>
      <c r="D961" s="92" t="s">
        <v>1160</v>
      </c>
      <c r="E961" s="93" t="s">
        <v>270</v>
      </c>
      <c r="F961" s="93" t="s">
        <v>230</v>
      </c>
      <c r="G961" s="109">
        <v>313.8</v>
      </c>
      <c r="H961" s="109">
        <v>11491.86</v>
      </c>
      <c r="I961" s="95">
        <v>0</v>
      </c>
      <c r="J961" s="95">
        <v>0</v>
      </c>
      <c r="K961" s="95">
        <v>0</v>
      </c>
      <c r="L961" s="95">
        <v>0</v>
      </c>
      <c r="M961" s="96">
        <v>34</v>
      </c>
      <c r="N961" s="97">
        <v>0</v>
      </c>
      <c r="O961" s="98">
        <v>1</v>
      </c>
      <c r="P961" s="33"/>
      <c r="Q961" s="99" t="s">
        <v>1198</v>
      </c>
      <c r="R961" s="100"/>
      <c r="S961" s="101">
        <v>2.8559345484542717E-3</v>
      </c>
      <c r="T961" s="102">
        <v>5</v>
      </c>
      <c r="U961" s="103">
        <v>0</v>
      </c>
      <c r="V961" s="103">
        <v>0</v>
      </c>
      <c r="W961" s="104">
        <v>0</v>
      </c>
      <c r="X961" s="19"/>
      <c r="Y961" s="103">
        <v>0</v>
      </c>
      <c r="Z961" s="103">
        <v>0</v>
      </c>
      <c r="AA961" s="105">
        <v>0</v>
      </c>
      <c r="AB961" s="106">
        <v>0</v>
      </c>
      <c r="AC961" s="105">
        <v>0</v>
      </c>
      <c r="AD961" s="104">
        <v>0</v>
      </c>
      <c r="AE961" s="104">
        <v>0</v>
      </c>
      <c r="AF961" s="107">
        <v>46265</v>
      </c>
    </row>
    <row r="962" spans="1:32" x14ac:dyDescent="0.25">
      <c r="A962" s="90">
        <v>1008</v>
      </c>
      <c r="B962" s="91" t="s">
        <v>1190</v>
      </c>
      <c r="C962" s="29">
        <v>10650018</v>
      </c>
      <c r="D962" s="92" t="s">
        <v>1161</v>
      </c>
      <c r="E962" s="93" t="s">
        <v>275</v>
      </c>
      <c r="F962" s="93" t="s">
        <v>231</v>
      </c>
      <c r="G962" s="109">
        <v>703.8</v>
      </c>
      <c r="H962" s="109">
        <v>27902.14</v>
      </c>
      <c r="I962" s="95">
        <v>0</v>
      </c>
      <c r="J962" s="95">
        <v>0</v>
      </c>
      <c r="K962" s="95">
        <v>0</v>
      </c>
      <c r="L962" s="95">
        <v>0</v>
      </c>
      <c r="M962" s="96">
        <v>0</v>
      </c>
      <c r="N962" s="97">
        <v>0</v>
      </c>
      <c r="O962" s="98">
        <v>0</v>
      </c>
      <c r="P962" s="33"/>
      <c r="Q962" s="99" t="s">
        <v>1198</v>
      </c>
      <c r="R962" s="100"/>
      <c r="S962" s="101">
        <v>0</v>
      </c>
      <c r="T962" s="102">
        <v>0</v>
      </c>
      <c r="U962" s="103">
        <v>0</v>
      </c>
      <c r="V962" s="103">
        <v>0</v>
      </c>
      <c r="W962" s="104">
        <v>0</v>
      </c>
      <c r="X962" s="19"/>
      <c r="Y962" s="103">
        <v>0</v>
      </c>
      <c r="Z962" s="103">
        <v>0</v>
      </c>
      <c r="AA962" s="105">
        <v>0</v>
      </c>
      <c r="AB962" s="106">
        <v>0</v>
      </c>
      <c r="AC962" s="105">
        <v>0</v>
      </c>
      <c r="AD962" s="104">
        <v>0</v>
      </c>
      <c r="AE962" s="104">
        <v>0</v>
      </c>
      <c r="AF962" s="107">
        <v>46265</v>
      </c>
    </row>
    <row r="963" spans="1:32" x14ac:dyDescent="0.25">
      <c r="A963" s="90">
        <v>1008</v>
      </c>
      <c r="B963" s="91" t="s">
        <v>1190</v>
      </c>
      <c r="C963" s="29">
        <v>10650023</v>
      </c>
      <c r="D963" s="92" t="s">
        <v>1162</v>
      </c>
      <c r="E963" s="93" t="s">
        <v>275</v>
      </c>
      <c r="F963" s="93" t="s">
        <v>230</v>
      </c>
      <c r="G963" s="109">
        <v>56.3</v>
      </c>
      <c r="H963" s="109">
        <v>2403.4</v>
      </c>
      <c r="I963" s="95">
        <v>0</v>
      </c>
      <c r="J963" s="95">
        <v>0</v>
      </c>
      <c r="K963" s="95">
        <v>0</v>
      </c>
      <c r="L963" s="95">
        <v>0</v>
      </c>
      <c r="M963" s="96">
        <v>1</v>
      </c>
      <c r="N963" s="97">
        <v>0</v>
      </c>
      <c r="O963" s="98">
        <v>1</v>
      </c>
      <c r="P963" s="33"/>
      <c r="Q963" s="99" t="s">
        <v>1198</v>
      </c>
      <c r="R963" s="100"/>
      <c r="S963" s="101">
        <v>-0.46879004743280334</v>
      </c>
      <c r="T963" s="102">
        <v>2</v>
      </c>
      <c r="U963" s="103">
        <v>0</v>
      </c>
      <c r="V963" s="103">
        <v>0</v>
      </c>
      <c r="W963" s="104">
        <v>0</v>
      </c>
      <c r="X963" s="19"/>
      <c r="Y963" s="103">
        <v>0</v>
      </c>
      <c r="Z963" s="103">
        <v>0</v>
      </c>
      <c r="AA963" s="105">
        <v>0</v>
      </c>
      <c r="AB963" s="106">
        <v>0</v>
      </c>
      <c r="AC963" s="105">
        <v>0</v>
      </c>
      <c r="AD963" s="104">
        <v>0</v>
      </c>
      <c r="AE963" s="104">
        <v>0</v>
      </c>
      <c r="AF963" s="107">
        <v>46265</v>
      </c>
    </row>
    <row r="964" spans="1:32" x14ac:dyDescent="0.25">
      <c r="A964" s="90">
        <v>1008</v>
      </c>
      <c r="B964" s="91" t="s">
        <v>1190</v>
      </c>
      <c r="C964" s="29">
        <v>10650029</v>
      </c>
      <c r="D964" s="92" t="s">
        <v>1163</v>
      </c>
      <c r="E964" s="93" t="s">
        <v>270</v>
      </c>
      <c r="F964" s="93" t="s">
        <v>230</v>
      </c>
      <c r="G964" s="109">
        <v>95.75</v>
      </c>
      <c r="H964" s="109">
        <v>3874.55</v>
      </c>
      <c r="I964" s="95">
        <v>0</v>
      </c>
      <c r="J964" s="95">
        <v>0</v>
      </c>
      <c r="K964" s="95">
        <v>0</v>
      </c>
      <c r="L964" s="95">
        <v>0</v>
      </c>
      <c r="M964" s="96">
        <v>480</v>
      </c>
      <c r="N964" s="97">
        <v>0</v>
      </c>
      <c r="O964" s="98">
        <v>0</v>
      </c>
      <c r="P964" s="33"/>
      <c r="Q964" s="99" t="s">
        <v>1198</v>
      </c>
      <c r="R964" s="100"/>
      <c r="S964" s="101">
        <v>0.12377179285336372</v>
      </c>
      <c r="T964" s="102">
        <v>1</v>
      </c>
      <c r="U964" s="103">
        <v>0</v>
      </c>
      <c r="V964" s="103">
        <v>0</v>
      </c>
      <c r="W964" s="104">
        <v>0</v>
      </c>
      <c r="X964" s="19"/>
      <c r="Y964" s="103">
        <v>0</v>
      </c>
      <c r="Z964" s="103">
        <v>0</v>
      </c>
      <c r="AA964" s="105">
        <v>0</v>
      </c>
      <c r="AB964" s="106">
        <v>0</v>
      </c>
      <c r="AC964" s="105">
        <v>0</v>
      </c>
      <c r="AD964" s="104">
        <v>0</v>
      </c>
      <c r="AE964" s="104">
        <v>0</v>
      </c>
      <c r="AF964" s="107">
        <v>46265</v>
      </c>
    </row>
    <row r="965" spans="1:32" x14ac:dyDescent="0.25">
      <c r="A965" s="90">
        <v>1066</v>
      </c>
      <c r="B965" s="91" t="s">
        <v>1195</v>
      </c>
      <c r="C965" s="29">
        <v>10660001</v>
      </c>
      <c r="D965" s="92" t="s">
        <v>215</v>
      </c>
      <c r="E965" s="93" t="s">
        <v>270</v>
      </c>
      <c r="F965" s="93" t="s">
        <v>230</v>
      </c>
      <c r="G965" s="109">
        <v>1451.8999999999999</v>
      </c>
      <c r="H965" s="109">
        <v>81652.759999999995</v>
      </c>
      <c r="I965" s="95">
        <v>0</v>
      </c>
      <c r="J965" s="95">
        <v>5265</v>
      </c>
      <c r="K965" s="95">
        <v>0</v>
      </c>
      <c r="L965" s="95">
        <v>0</v>
      </c>
      <c r="M965" s="96">
        <v>184</v>
      </c>
      <c r="N965" s="97">
        <v>0</v>
      </c>
      <c r="O965" s="98">
        <v>0</v>
      </c>
      <c r="P965" s="33"/>
      <c r="Q965" s="99" t="s">
        <v>1198</v>
      </c>
      <c r="R965" s="100"/>
      <c r="S965" s="101">
        <v>2.2528326048007197E-3</v>
      </c>
      <c r="T965" s="102">
        <v>17</v>
      </c>
      <c r="U965" s="103">
        <v>0</v>
      </c>
      <c r="V965" s="103">
        <v>0</v>
      </c>
      <c r="W965" s="104">
        <v>0</v>
      </c>
      <c r="X965" s="19"/>
      <c r="Y965" s="103">
        <v>0</v>
      </c>
      <c r="Z965" s="103">
        <v>0</v>
      </c>
      <c r="AA965" s="105">
        <v>0</v>
      </c>
      <c r="AB965" s="106">
        <v>0</v>
      </c>
      <c r="AC965" s="105">
        <v>0</v>
      </c>
      <c r="AD965" s="104">
        <v>0</v>
      </c>
      <c r="AE965" s="104">
        <v>0</v>
      </c>
      <c r="AF965" s="107">
        <v>46265</v>
      </c>
    </row>
    <row r="966" spans="1:32" x14ac:dyDescent="0.25">
      <c r="A966" s="90">
        <v>1066</v>
      </c>
      <c r="B966" s="91" t="s">
        <v>1195</v>
      </c>
      <c r="C966" s="29">
        <v>10660002</v>
      </c>
      <c r="D966" s="92" t="s">
        <v>109</v>
      </c>
      <c r="E966" s="93" t="s">
        <v>270</v>
      </c>
      <c r="F966" s="93" t="s">
        <v>230</v>
      </c>
      <c r="G966" s="109">
        <v>546.90000000000009</v>
      </c>
      <c r="H966" s="109">
        <v>24613.889999999996</v>
      </c>
      <c r="I966" s="95">
        <v>0</v>
      </c>
      <c r="J966" s="95">
        <v>2590</v>
      </c>
      <c r="K966" s="95">
        <v>0</v>
      </c>
      <c r="L966" s="95">
        <v>0</v>
      </c>
      <c r="M966" s="96">
        <v>0</v>
      </c>
      <c r="N966" s="97">
        <v>0</v>
      </c>
      <c r="O966" s="98">
        <v>0</v>
      </c>
      <c r="P966" s="33"/>
      <c r="Q966" s="99" t="s">
        <v>1198</v>
      </c>
      <c r="R966" s="100"/>
      <c r="S966" s="101">
        <v>-9.9244776018744905E-3</v>
      </c>
      <c r="T966" s="102">
        <v>8</v>
      </c>
      <c r="U966" s="103">
        <v>0</v>
      </c>
      <c r="V966" s="103">
        <v>0</v>
      </c>
      <c r="W966" s="104">
        <v>0</v>
      </c>
      <c r="X966" s="19"/>
      <c r="Y966" s="103">
        <v>0</v>
      </c>
      <c r="Z966" s="103">
        <v>0</v>
      </c>
      <c r="AA966" s="105">
        <v>0</v>
      </c>
      <c r="AB966" s="106">
        <v>0</v>
      </c>
      <c r="AC966" s="105">
        <v>0</v>
      </c>
      <c r="AD966" s="104">
        <v>0</v>
      </c>
      <c r="AE966" s="104">
        <v>0</v>
      </c>
      <c r="AF966" s="107">
        <v>46265</v>
      </c>
    </row>
    <row r="967" spans="1:32" x14ac:dyDescent="0.25">
      <c r="A967" s="90">
        <v>1066</v>
      </c>
      <c r="B967" s="91" t="s">
        <v>1195</v>
      </c>
      <c r="C967" s="29">
        <v>10660004</v>
      </c>
      <c r="D967" s="92" t="s">
        <v>173</v>
      </c>
      <c r="E967" s="93" t="s">
        <v>270</v>
      </c>
      <c r="F967" s="93" t="s">
        <v>230</v>
      </c>
      <c r="G967" s="109">
        <v>692.1</v>
      </c>
      <c r="H967" s="109">
        <v>29753.109999999993</v>
      </c>
      <c r="I967" s="95">
        <v>0</v>
      </c>
      <c r="J967" s="95">
        <v>1700</v>
      </c>
      <c r="K967" s="95">
        <v>0</v>
      </c>
      <c r="L967" s="95">
        <v>0</v>
      </c>
      <c r="M967" s="96">
        <v>206</v>
      </c>
      <c r="N967" s="97" t="s">
        <v>331</v>
      </c>
      <c r="O967" s="98">
        <v>0</v>
      </c>
      <c r="P967" s="33" t="s">
        <v>332</v>
      </c>
      <c r="Q967" s="99" t="s">
        <v>1198</v>
      </c>
      <c r="R967" s="100"/>
      <c r="S967" s="101">
        <v>6.9216293691646965E-3</v>
      </c>
      <c r="T967" s="102">
        <v>26</v>
      </c>
      <c r="U967" s="103">
        <v>1700</v>
      </c>
      <c r="V967" s="103">
        <v>50</v>
      </c>
      <c r="W967" s="104">
        <v>1650</v>
      </c>
      <c r="X967" s="19"/>
      <c r="Y967" s="103">
        <v>0</v>
      </c>
      <c r="Z967" s="103">
        <v>0</v>
      </c>
      <c r="AA967" s="105">
        <v>0</v>
      </c>
      <c r="AB967" s="106">
        <v>0</v>
      </c>
      <c r="AC967" s="105">
        <v>0</v>
      </c>
      <c r="AD967" s="104">
        <v>0</v>
      </c>
      <c r="AE967" s="104">
        <v>0</v>
      </c>
      <c r="AF967" s="107">
        <v>46265</v>
      </c>
    </row>
    <row r="968" spans="1:32" x14ac:dyDescent="0.25">
      <c r="A968" s="90">
        <v>1066</v>
      </c>
      <c r="B968" s="91" t="s">
        <v>1195</v>
      </c>
      <c r="C968" s="29">
        <v>10660005</v>
      </c>
      <c r="D968" s="92" t="s">
        <v>1164</v>
      </c>
      <c r="E968" s="93" t="s">
        <v>270</v>
      </c>
      <c r="F968" s="93" t="s">
        <v>230</v>
      </c>
      <c r="G968" s="109">
        <v>648.29999999999995</v>
      </c>
      <c r="H968" s="109">
        <v>30898.870000000006</v>
      </c>
      <c r="I968" s="95">
        <v>0</v>
      </c>
      <c r="J968" s="95">
        <v>0</v>
      </c>
      <c r="K968" s="95">
        <v>0</v>
      </c>
      <c r="L968" s="95">
        <v>0</v>
      </c>
      <c r="M968" s="96">
        <v>0</v>
      </c>
      <c r="N968" s="97">
        <v>0</v>
      </c>
      <c r="O968" s="98">
        <v>0</v>
      </c>
      <c r="P968" s="33"/>
      <c r="Q968" s="99" t="s">
        <v>1198</v>
      </c>
      <c r="R968" s="100"/>
      <c r="S968" s="101">
        <v>-2.9399133366365868E-3</v>
      </c>
      <c r="T968" s="102">
        <v>22</v>
      </c>
      <c r="U968" s="103">
        <v>0</v>
      </c>
      <c r="V968" s="103">
        <v>0</v>
      </c>
      <c r="W968" s="104">
        <v>0</v>
      </c>
      <c r="X968" s="19"/>
      <c r="Y968" s="103">
        <v>0</v>
      </c>
      <c r="Z968" s="103">
        <v>0</v>
      </c>
      <c r="AA968" s="105">
        <v>0</v>
      </c>
      <c r="AB968" s="106">
        <v>0</v>
      </c>
      <c r="AC968" s="105">
        <v>0</v>
      </c>
      <c r="AD968" s="104">
        <v>0</v>
      </c>
      <c r="AE968" s="104">
        <v>0</v>
      </c>
      <c r="AF968" s="107">
        <v>46265</v>
      </c>
    </row>
    <row r="969" spans="1:32" x14ac:dyDescent="0.25">
      <c r="A969" s="90">
        <v>1066</v>
      </c>
      <c r="B969" s="91" t="s">
        <v>1195</v>
      </c>
      <c r="C969" s="29">
        <v>10660006</v>
      </c>
      <c r="D969" s="92" t="s">
        <v>1165</v>
      </c>
      <c r="E969" s="93" t="s">
        <v>270</v>
      </c>
      <c r="F969" s="93" t="s">
        <v>230</v>
      </c>
      <c r="G969" s="109">
        <v>427.20000000000005</v>
      </c>
      <c r="H969" s="109">
        <v>18421.049999999996</v>
      </c>
      <c r="I969" s="95">
        <v>0</v>
      </c>
      <c r="J969" s="95">
        <v>0</v>
      </c>
      <c r="K969" s="95">
        <v>0</v>
      </c>
      <c r="L969" s="95">
        <v>0</v>
      </c>
      <c r="M969" s="96">
        <v>0</v>
      </c>
      <c r="N969" s="97">
        <v>0</v>
      </c>
      <c r="O969" s="98">
        <v>0</v>
      </c>
      <c r="P969" s="33"/>
      <c r="Q969" s="99" t="s">
        <v>1198</v>
      </c>
      <c r="R969" s="100"/>
      <c r="S969" s="101">
        <v>-3.1844004549147387E-3</v>
      </c>
      <c r="T969" s="102">
        <v>13</v>
      </c>
      <c r="U969" s="103">
        <v>0</v>
      </c>
      <c r="V969" s="103">
        <v>0</v>
      </c>
      <c r="W969" s="104">
        <v>0</v>
      </c>
      <c r="X969" s="19"/>
      <c r="Y969" s="103">
        <v>0</v>
      </c>
      <c r="Z969" s="103">
        <v>0</v>
      </c>
      <c r="AA969" s="105">
        <v>0</v>
      </c>
      <c r="AB969" s="106">
        <v>0</v>
      </c>
      <c r="AC969" s="105">
        <v>0</v>
      </c>
      <c r="AD969" s="104">
        <v>0</v>
      </c>
      <c r="AE969" s="104">
        <v>0</v>
      </c>
      <c r="AF969" s="107">
        <v>46265</v>
      </c>
    </row>
    <row r="970" spans="1:32" x14ac:dyDescent="0.25">
      <c r="A970" s="90">
        <v>1066</v>
      </c>
      <c r="B970" s="91" t="s">
        <v>1195</v>
      </c>
      <c r="C970" s="29">
        <v>10660007</v>
      </c>
      <c r="D970" s="92" t="s">
        <v>1166</v>
      </c>
      <c r="E970" s="93" t="s">
        <v>275</v>
      </c>
      <c r="F970" s="93" t="s">
        <v>231</v>
      </c>
      <c r="G970" s="109">
        <v>32.5</v>
      </c>
      <c r="H970" s="109">
        <v>1278.55</v>
      </c>
      <c r="I970" s="95">
        <v>0</v>
      </c>
      <c r="J970" s="95">
        <v>0</v>
      </c>
      <c r="K970" s="95">
        <v>0</v>
      </c>
      <c r="L970" s="95">
        <v>0</v>
      </c>
      <c r="M970" s="96">
        <v>0</v>
      </c>
      <c r="N970" s="97">
        <v>0</v>
      </c>
      <c r="O970" s="98">
        <v>0</v>
      </c>
      <c r="P970" s="33"/>
      <c r="Q970" s="99" t="s">
        <v>1198</v>
      </c>
      <c r="R970" s="100"/>
      <c r="S970" s="101">
        <v>0</v>
      </c>
      <c r="T970" s="102">
        <v>0</v>
      </c>
      <c r="U970" s="103">
        <v>0</v>
      </c>
      <c r="V970" s="103">
        <v>0</v>
      </c>
      <c r="W970" s="104">
        <v>0</v>
      </c>
      <c r="X970" s="19"/>
      <c r="Y970" s="103">
        <v>0</v>
      </c>
      <c r="Z970" s="103">
        <v>0</v>
      </c>
      <c r="AA970" s="105">
        <v>0</v>
      </c>
      <c r="AB970" s="106">
        <v>0</v>
      </c>
      <c r="AC970" s="105">
        <v>0</v>
      </c>
      <c r="AD970" s="104">
        <v>0</v>
      </c>
      <c r="AE970" s="104">
        <v>0</v>
      </c>
      <c r="AF970" s="107">
        <v>46265</v>
      </c>
    </row>
    <row r="971" spans="1:32" x14ac:dyDescent="0.25">
      <c r="A971" s="90">
        <v>1066</v>
      </c>
      <c r="B971" s="91" t="s">
        <v>1195</v>
      </c>
      <c r="C971" s="29">
        <v>10660010</v>
      </c>
      <c r="D971" s="92" t="s">
        <v>216</v>
      </c>
      <c r="E971" s="93" t="s">
        <v>275</v>
      </c>
      <c r="F971" s="93" t="s">
        <v>231</v>
      </c>
      <c r="G971" s="109">
        <v>2276.4999999999995</v>
      </c>
      <c r="H971" s="109">
        <v>95073.44</v>
      </c>
      <c r="I971" s="95">
        <v>0</v>
      </c>
      <c r="J971" s="95">
        <v>1001</v>
      </c>
      <c r="K971" s="95">
        <v>0</v>
      </c>
      <c r="L971" s="95">
        <v>0</v>
      </c>
      <c r="M971" s="96">
        <v>0</v>
      </c>
      <c r="N971" s="97">
        <v>0</v>
      </c>
      <c r="O971" s="98">
        <v>0</v>
      </c>
      <c r="P971" s="33"/>
      <c r="Q971" s="99" t="s">
        <v>1198</v>
      </c>
      <c r="R971" s="100"/>
      <c r="S971" s="101">
        <v>0</v>
      </c>
      <c r="T971" s="102">
        <v>0</v>
      </c>
      <c r="U971" s="103">
        <v>0</v>
      </c>
      <c r="V971" s="103">
        <v>0</v>
      </c>
      <c r="W971" s="104">
        <v>0</v>
      </c>
      <c r="X971" s="19"/>
      <c r="Y971" s="103">
        <v>0</v>
      </c>
      <c r="Z971" s="103">
        <v>0</v>
      </c>
      <c r="AA971" s="105">
        <v>0</v>
      </c>
      <c r="AB971" s="106">
        <v>0</v>
      </c>
      <c r="AC971" s="105">
        <v>0</v>
      </c>
      <c r="AD971" s="104">
        <v>0</v>
      </c>
      <c r="AE971" s="104">
        <v>0</v>
      </c>
      <c r="AF971" s="107">
        <v>46265</v>
      </c>
    </row>
    <row r="972" spans="1:32" x14ac:dyDescent="0.25">
      <c r="A972" s="90">
        <v>1066</v>
      </c>
      <c r="B972" s="91" t="s">
        <v>1195</v>
      </c>
      <c r="C972" s="29">
        <v>10660011</v>
      </c>
      <c r="D972" s="92" t="s">
        <v>1167</v>
      </c>
      <c r="E972" s="93" t="s">
        <v>275</v>
      </c>
      <c r="F972" s="93" t="s">
        <v>231</v>
      </c>
      <c r="G972" s="109">
        <v>771.30000000000007</v>
      </c>
      <c r="H972" s="109">
        <v>33564.31</v>
      </c>
      <c r="I972" s="95">
        <v>0</v>
      </c>
      <c r="J972" s="95">
        <v>0</v>
      </c>
      <c r="K972" s="95">
        <v>0</v>
      </c>
      <c r="L972" s="95">
        <v>0</v>
      </c>
      <c r="M972" s="96">
        <v>0</v>
      </c>
      <c r="N972" s="97">
        <v>0</v>
      </c>
      <c r="O972" s="98">
        <v>0</v>
      </c>
      <c r="P972" s="33"/>
      <c r="Q972" s="99" t="s">
        <v>1198</v>
      </c>
      <c r="R972" s="100"/>
      <c r="S972" s="101">
        <v>0</v>
      </c>
      <c r="T972" s="102">
        <v>0</v>
      </c>
      <c r="U972" s="103">
        <v>0</v>
      </c>
      <c r="V972" s="103">
        <v>0</v>
      </c>
      <c r="W972" s="104">
        <v>0</v>
      </c>
      <c r="X972" s="19"/>
      <c r="Y972" s="103">
        <v>0</v>
      </c>
      <c r="Z972" s="103">
        <v>0</v>
      </c>
      <c r="AA972" s="105">
        <v>0</v>
      </c>
      <c r="AB972" s="106">
        <v>0</v>
      </c>
      <c r="AC972" s="105">
        <v>0</v>
      </c>
      <c r="AD972" s="104">
        <v>0</v>
      </c>
      <c r="AE972" s="104">
        <v>0</v>
      </c>
      <c r="AF972" s="107">
        <v>46265</v>
      </c>
    </row>
    <row r="973" spans="1:32" x14ac:dyDescent="0.25">
      <c r="A973" s="90">
        <v>1066</v>
      </c>
      <c r="B973" s="91" t="s">
        <v>1195</v>
      </c>
      <c r="C973" s="29">
        <v>10660012</v>
      </c>
      <c r="D973" s="92" t="s">
        <v>1168</v>
      </c>
      <c r="E973" s="93" t="s">
        <v>275</v>
      </c>
      <c r="F973" s="93" t="s">
        <v>231</v>
      </c>
      <c r="G973" s="109">
        <v>434.3</v>
      </c>
      <c r="H973" s="109">
        <v>21356.99</v>
      </c>
      <c r="I973" s="95">
        <v>0</v>
      </c>
      <c r="J973" s="95">
        <v>0</v>
      </c>
      <c r="K973" s="95">
        <v>0</v>
      </c>
      <c r="L973" s="95">
        <v>0</v>
      </c>
      <c r="M973" s="96">
        <v>0</v>
      </c>
      <c r="N973" s="97">
        <v>0</v>
      </c>
      <c r="O973" s="98">
        <v>0</v>
      </c>
      <c r="P973" s="33"/>
      <c r="Q973" s="99" t="s">
        <v>1198</v>
      </c>
      <c r="R973" s="100"/>
      <c r="S973" s="101">
        <v>0</v>
      </c>
      <c r="T973" s="102">
        <v>0</v>
      </c>
      <c r="U973" s="103">
        <v>0</v>
      </c>
      <c r="V973" s="103">
        <v>0</v>
      </c>
      <c r="W973" s="104">
        <v>0</v>
      </c>
      <c r="X973" s="19"/>
      <c r="Y973" s="103">
        <v>0</v>
      </c>
      <c r="Z973" s="103">
        <v>0</v>
      </c>
      <c r="AA973" s="105">
        <v>0</v>
      </c>
      <c r="AB973" s="106">
        <v>0</v>
      </c>
      <c r="AC973" s="105">
        <v>0</v>
      </c>
      <c r="AD973" s="104">
        <v>0</v>
      </c>
      <c r="AE973" s="104">
        <v>0</v>
      </c>
      <c r="AF973" s="107">
        <v>46265</v>
      </c>
    </row>
    <row r="974" spans="1:32" x14ac:dyDescent="0.25">
      <c r="A974" s="90">
        <v>1066</v>
      </c>
      <c r="B974" s="91" t="s">
        <v>1195</v>
      </c>
      <c r="C974" s="29">
        <v>10660013</v>
      </c>
      <c r="D974" s="92" t="s">
        <v>1169</v>
      </c>
      <c r="E974" s="93" t="s">
        <v>270</v>
      </c>
      <c r="F974" s="93" t="s">
        <v>230</v>
      </c>
      <c r="G974" s="109">
        <v>775.1</v>
      </c>
      <c r="H974" s="109">
        <v>32003.19</v>
      </c>
      <c r="I974" s="95">
        <v>0</v>
      </c>
      <c r="J974" s="95">
        <v>0</v>
      </c>
      <c r="K974" s="95">
        <v>0</v>
      </c>
      <c r="L974" s="95">
        <v>0</v>
      </c>
      <c r="M974" s="96">
        <v>259</v>
      </c>
      <c r="N974" s="97">
        <v>0</v>
      </c>
      <c r="O974" s="98">
        <v>0</v>
      </c>
      <c r="P974" s="33"/>
      <c r="Q974" s="99" t="s">
        <v>1198</v>
      </c>
      <c r="R974" s="100"/>
      <c r="S974" s="101">
        <v>8.0973177986319311E-3</v>
      </c>
      <c r="T974" s="102">
        <v>4</v>
      </c>
      <c r="U974" s="103">
        <v>0</v>
      </c>
      <c r="V974" s="103">
        <v>0</v>
      </c>
      <c r="W974" s="104">
        <v>0</v>
      </c>
      <c r="X974" s="19"/>
      <c r="Y974" s="103">
        <v>0</v>
      </c>
      <c r="Z974" s="103">
        <v>0</v>
      </c>
      <c r="AA974" s="105">
        <v>0</v>
      </c>
      <c r="AB974" s="106">
        <v>0</v>
      </c>
      <c r="AC974" s="105">
        <v>0</v>
      </c>
      <c r="AD974" s="104">
        <v>0</v>
      </c>
      <c r="AE974" s="104">
        <v>0</v>
      </c>
      <c r="AF974" s="107">
        <v>46265</v>
      </c>
    </row>
    <row r="975" spans="1:32" x14ac:dyDescent="0.25">
      <c r="A975" s="90">
        <v>1066</v>
      </c>
      <c r="B975" s="91" t="s">
        <v>1195</v>
      </c>
      <c r="C975" s="29">
        <v>10660014</v>
      </c>
      <c r="D975" s="92" t="s">
        <v>1170</v>
      </c>
      <c r="E975" s="93" t="s">
        <v>275</v>
      </c>
      <c r="F975" s="93" t="s">
        <v>230</v>
      </c>
      <c r="G975" s="109">
        <v>32.199999999999996</v>
      </c>
      <c r="H975" s="109">
        <v>1452.43</v>
      </c>
      <c r="I975" s="95">
        <v>0</v>
      </c>
      <c r="J975" s="95">
        <v>0</v>
      </c>
      <c r="K975" s="95">
        <v>0</v>
      </c>
      <c r="L975" s="95">
        <v>0</v>
      </c>
      <c r="M975" s="96">
        <v>48</v>
      </c>
      <c r="N975" s="97">
        <v>0</v>
      </c>
      <c r="O975" s="98">
        <v>1</v>
      </c>
      <c r="P975" s="33"/>
      <c r="Q975" s="99" t="s">
        <v>1198</v>
      </c>
      <c r="R975" s="100"/>
      <c r="S975" s="101">
        <v>3.299298417135442E-2</v>
      </c>
      <c r="T975" s="102">
        <v>3</v>
      </c>
      <c r="U975" s="103">
        <v>0</v>
      </c>
      <c r="V975" s="103">
        <v>0</v>
      </c>
      <c r="W975" s="104">
        <v>0</v>
      </c>
      <c r="X975" s="19"/>
      <c r="Y975" s="103">
        <v>0</v>
      </c>
      <c r="Z975" s="103">
        <v>0</v>
      </c>
      <c r="AA975" s="105">
        <v>0</v>
      </c>
      <c r="AB975" s="106">
        <v>0</v>
      </c>
      <c r="AC975" s="105">
        <v>0</v>
      </c>
      <c r="AD975" s="104">
        <v>0</v>
      </c>
      <c r="AE975" s="104">
        <v>0</v>
      </c>
      <c r="AF975" s="107">
        <v>46265</v>
      </c>
    </row>
    <row r="976" spans="1:32" x14ac:dyDescent="0.25">
      <c r="A976" s="90">
        <v>1066</v>
      </c>
      <c r="B976" s="91" t="s">
        <v>1195</v>
      </c>
      <c r="C976" s="29">
        <v>10660015</v>
      </c>
      <c r="D976" s="92" t="s">
        <v>1171</v>
      </c>
      <c r="E976" s="93" t="s">
        <v>275</v>
      </c>
      <c r="F976" s="93" t="s">
        <v>231</v>
      </c>
      <c r="G976" s="109">
        <v>1738.9</v>
      </c>
      <c r="H976" s="109">
        <v>72428.91</v>
      </c>
      <c r="I976" s="95">
        <v>0</v>
      </c>
      <c r="J976" s="95">
        <v>0</v>
      </c>
      <c r="K976" s="95">
        <v>0</v>
      </c>
      <c r="L976" s="95">
        <v>0</v>
      </c>
      <c r="M976" s="96">
        <v>0</v>
      </c>
      <c r="N976" s="97">
        <v>0</v>
      </c>
      <c r="O976" s="98">
        <v>0</v>
      </c>
      <c r="P976" s="33"/>
      <c r="Q976" s="99" t="s">
        <v>1198</v>
      </c>
      <c r="R976" s="100"/>
      <c r="S976" s="101">
        <v>0</v>
      </c>
      <c r="T976" s="102">
        <v>0</v>
      </c>
      <c r="U976" s="103">
        <v>0</v>
      </c>
      <c r="V976" s="103">
        <v>0</v>
      </c>
      <c r="W976" s="104">
        <v>0</v>
      </c>
      <c r="X976" s="19"/>
      <c r="Y976" s="103">
        <v>0</v>
      </c>
      <c r="Z976" s="103">
        <v>0</v>
      </c>
      <c r="AA976" s="105">
        <v>0</v>
      </c>
      <c r="AB976" s="106">
        <v>0</v>
      </c>
      <c r="AC976" s="105">
        <v>0</v>
      </c>
      <c r="AD976" s="104">
        <v>0</v>
      </c>
      <c r="AE976" s="104">
        <v>0</v>
      </c>
      <c r="AF976" s="107">
        <v>46265</v>
      </c>
    </row>
    <row r="977" spans="1:32" x14ac:dyDescent="0.25">
      <c r="A977" s="90">
        <v>1066</v>
      </c>
      <c r="B977" s="91" t="s">
        <v>1195</v>
      </c>
      <c r="C977" s="29">
        <v>10660016</v>
      </c>
      <c r="D977" s="92" t="s">
        <v>1172</v>
      </c>
      <c r="E977" s="93" t="s">
        <v>275</v>
      </c>
      <c r="F977" s="93" t="s">
        <v>231</v>
      </c>
      <c r="G977" s="109">
        <v>501.8</v>
      </c>
      <c r="H977" s="109">
        <v>20467.87</v>
      </c>
      <c r="I977" s="95">
        <v>0</v>
      </c>
      <c r="J977" s="95">
        <v>0</v>
      </c>
      <c r="K977" s="95">
        <v>0</v>
      </c>
      <c r="L977" s="95">
        <v>0</v>
      </c>
      <c r="M977" s="96">
        <v>0</v>
      </c>
      <c r="N977" s="97">
        <v>0</v>
      </c>
      <c r="O977" s="98">
        <v>0</v>
      </c>
      <c r="P977" s="33"/>
      <c r="Q977" s="99" t="s">
        <v>1198</v>
      </c>
      <c r="R977" s="100"/>
      <c r="S977" s="101">
        <v>0</v>
      </c>
      <c r="T977" s="102">
        <v>0</v>
      </c>
      <c r="U977" s="103">
        <v>0</v>
      </c>
      <c r="V977" s="103">
        <v>0</v>
      </c>
      <c r="W977" s="104">
        <v>0</v>
      </c>
      <c r="X977" s="19"/>
      <c r="Y977" s="103">
        <v>0</v>
      </c>
      <c r="Z977" s="103">
        <v>0</v>
      </c>
      <c r="AA977" s="105">
        <v>0</v>
      </c>
      <c r="AB977" s="106">
        <v>0</v>
      </c>
      <c r="AC977" s="105">
        <v>0</v>
      </c>
      <c r="AD977" s="104">
        <v>0</v>
      </c>
      <c r="AE977" s="104">
        <v>0</v>
      </c>
      <c r="AF977" s="107">
        <v>46265</v>
      </c>
    </row>
    <row r="978" spans="1:32" x14ac:dyDescent="0.25">
      <c r="A978" s="90">
        <v>1066</v>
      </c>
      <c r="B978" s="91" t="s">
        <v>1195</v>
      </c>
      <c r="C978" s="29">
        <v>10660017</v>
      </c>
      <c r="D978" s="92" t="s">
        <v>1173</v>
      </c>
      <c r="E978" s="93" t="s">
        <v>270</v>
      </c>
      <c r="F978" s="93" t="s">
        <v>230</v>
      </c>
      <c r="G978" s="109">
        <v>292</v>
      </c>
      <c r="H978" s="109">
        <v>12912.039999999997</v>
      </c>
      <c r="I978" s="95">
        <v>0</v>
      </c>
      <c r="J978" s="95">
        <v>0</v>
      </c>
      <c r="K978" s="95">
        <v>0</v>
      </c>
      <c r="L978" s="95">
        <v>0</v>
      </c>
      <c r="M978" s="96">
        <v>0</v>
      </c>
      <c r="N978" s="97">
        <v>0</v>
      </c>
      <c r="O978" s="98">
        <v>0</v>
      </c>
      <c r="P978" s="33"/>
      <c r="Q978" s="99" t="s">
        <v>1198</v>
      </c>
      <c r="R978" s="100"/>
      <c r="S978" s="101">
        <v>-1.2796583653706263E-2</v>
      </c>
      <c r="T978" s="102">
        <v>7</v>
      </c>
      <c r="U978" s="103">
        <v>0</v>
      </c>
      <c r="V978" s="103">
        <v>0</v>
      </c>
      <c r="W978" s="104">
        <v>0</v>
      </c>
      <c r="X978" s="19"/>
      <c r="Y978" s="103">
        <v>0</v>
      </c>
      <c r="Z978" s="103">
        <v>0</v>
      </c>
      <c r="AA978" s="105">
        <v>0</v>
      </c>
      <c r="AB978" s="106">
        <v>0</v>
      </c>
      <c r="AC978" s="105">
        <v>0</v>
      </c>
      <c r="AD978" s="104">
        <v>0</v>
      </c>
      <c r="AE978" s="104">
        <v>0</v>
      </c>
      <c r="AF978" s="107">
        <v>46265</v>
      </c>
    </row>
    <row r="979" spans="1:32" x14ac:dyDescent="0.25">
      <c r="A979" s="90">
        <v>1066</v>
      </c>
      <c r="B979" s="91" t="s">
        <v>1195</v>
      </c>
      <c r="C979" s="29">
        <v>10660019</v>
      </c>
      <c r="D979" s="92" t="s">
        <v>1174</v>
      </c>
      <c r="E979" s="93" t="s">
        <v>275</v>
      </c>
      <c r="F979" s="93" t="s">
        <v>231</v>
      </c>
      <c r="G979" s="109">
        <v>28</v>
      </c>
      <c r="H979" s="109">
        <v>1113.8399999999999</v>
      </c>
      <c r="I979" s="95">
        <v>0</v>
      </c>
      <c r="J979" s="95">
        <v>0</v>
      </c>
      <c r="K979" s="95">
        <v>0</v>
      </c>
      <c r="L979" s="95">
        <v>0</v>
      </c>
      <c r="M979" s="96">
        <v>0</v>
      </c>
      <c r="N979" s="97">
        <v>0</v>
      </c>
      <c r="O979" s="98">
        <v>0</v>
      </c>
      <c r="P979" s="33"/>
      <c r="Q979" s="99" t="s">
        <v>1198</v>
      </c>
      <c r="R979" s="100"/>
      <c r="S979" s="101">
        <v>0</v>
      </c>
      <c r="T979" s="102">
        <v>0</v>
      </c>
      <c r="U979" s="103">
        <v>0</v>
      </c>
      <c r="V979" s="103">
        <v>0</v>
      </c>
      <c r="W979" s="104">
        <v>0</v>
      </c>
      <c r="X979" s="19"/>
      <c r="Y979" s="103">
        <v>0</v>
      </c>
      <c r="Z979" s="103">
        <v>0</v>
      </c>
      <c r="AA979" s="105">
        <v>0</v>
      </c>
      <c r="AB979" s="106">
        <v>0</v>
      </c>
      <c r="AC979" s="105">
        <v>0</v>
      </c>
      <c r="AD979" s="104">
        <v>0</v>
      </c>
      <c r="AE979" s="104">
        <v>0</v>
      </c>
      <c r="AF979" s="107">
        <v>46265</v>
      </c>
    </row>
    <row r="980" spans="1:32" x14ac:dyDescent="0.25">
      <c r="A980" s="90">
        <v>1066</v>
      </c>
      <c r="B980" s="91" t="s">
        <v>1195</v>
      </c>
      <c r="C980" s="29">
        <v>10660021</v>
      </c>
      <c r="D980" s="92" t="s">
        <v>1175</v>
      </c>
      <c r="E980" s="93" t="s">
        <v>275</v>
      </c>
      <c r="F980" s="93" t="s">
        <v>231</v>
      </c>
      <c r="G980" s="109">
        <v>47.5</v>
      </c>
      <c r="H980" s="109">
        <v>2112.8000000000002</v>
      </c>
      <c r="I980" s="95">
        <v>0</v>
      </c>
      <c r="J980" s="95">
        <v>0</v>
      </c>
      <c r="K980" s="95">
        <v>0</v>
      </c>
      <c r="L980" s="95">
        <v>0</v>
      </c>
      <c r="M980" s="96">
        <v>0</v>
      </c>
      <c r="N980" s="97">
        <v>0</v>
      </c>
      <c r="O980" s="98">
        <v>0</v>
      </c>
      <c r="P980" s="33"/>
      <c r="Q980" s="99" t="s">
        <v>1198</v>
      </c>
      <c r="R980" s="100"/>
      <c r="S980" s="101">
        <v>0</v>
      </c>
      <c r="T980" s="102">
        <v>0</v>
      </c>
      <c r="U980" s="103">
        <v>0</v>
      </c>
      <c r="V980" s="103">
        <v>0</v>
      </c>
      <c r="W980" s="104">
        <v>0</v>
      </c>
      <c r="X980" s="19"/>
      <c r="Y980" s="103">
        <v>0</v>
      </c>
      <c r="Z980" s="103">
        <v>0</v>
      </c>
      <c r="AA980" s="105">
        <v>0</v>
      </c>
      <c r="AB980" s="106">
        <v>0</v>
      </c>
      <c r="AC980" s="105">
        <v>0</v>
      </c>
      <c r="AD980" s="104">
        <v>0</v>
      </c>
      <c r="AE980" s="104">
        <v>0</v>
      </c>
      <c r="AF980" s="107">
        <v>46265</v>
      </c>
    </row>
    <row r="981" spans="1:32" x14ac:dyDescent="0.25">
      <c r="A981" s="90">
        <v>1066</v>
      </c>
      <c r="B981" s="91" t="s">
        <v>1195</v>
      </c>
      <c r="C981" s="29">
        <v>10660023</v>
      </c>
      <c r="D981" s="92" t="s">
        <v>1176</v>
      </c>
      <c r="E981" s="93" t="s">
        <v>275</v>
      </c>
      <c r="F981" s="93" t="s">
        <v>231</v>
      </c>
      <c r="G981" s="109">
        <v>9252.7999999999993</v>
      </c>
      <c r="H981" s="109">
        <v>384253.89999999997</v>
      </c>
      <c r="I981" s="95">
        <v>0</v>
      </c>
      <c r="J981" s="95">
        <v>0</v>
      </c>
      <c r="K981" s="95">
        <v>0</v>
      </c>
      <c r="L981" s="95">
        <v>0</v>
      </c>
      <c r="M981" s="96">
        <v>0</v>
      </c>
      <c r="N981" s="97">
        <v>0</v>
      </c>
      <c r="O981" s="98">
        <v>0</v>
      </c>
      <c r="P981" s="33"/>
      <c r="Q981" s="99" t="s">
        <v>1198</v>
      </c>
      <c r="R981" s="100"/>
      <c r="S981" s="101">
        <v>0</v>
      </c>
      <c r="T981" s="102">
        <v>0</v>
      </c>
      <c r="U981" s="103">
        <v>0</v>
      </c>
      <c r="V981" s="103">
        <v>0</v>
      </c>
      <c r="W981" s="104">
        <v>0</v>
      </c>
      <c r="X981" s="19"/>
      <c r="Y981" s="103">
        <v>0</v>
      </c>
      <c r="Z981" s="103">
        <v>0</v>
      </c>
      <c r="AA981" s="105">
        <v>0</v>
      </c>
      <c r="AB981" s="106">
        <v>0</v>
      </c>
      <c r="AC981" s="105">
        <v>0</v>
      </c>
      <c r="AD981" s="104">
        <v>0</v>
      </c>
      <c r="AE981" s="104">
        <v>0</v>
      </c>
      <c r="AF981" s="107">
        <v>46265</v>
      </c>
    </row>
    <row r="982" spans="1:32" x14ac:dyDescent="0.25">
      <c r="A982" s="90">
        <v>1066</v>
      </c>
      <c r="B982" s="91" t="s">
        <v>1195</v>
      </c>
      <c r="C982" s="29">
        <v>10660025</v>
      </c>
      <c r="D982" s="92" t="s">
        <v>1177</v>
      </c>
      <c r="E982" s="93" t="s">
        <v>275</v>
      </c>
      <c r="F982" s="93" t="s">
        <v>231</v>
      </c>
      <c r="G982" s="109">
        <v>93.3</v>
      </c>
      <c r="H982" s="109">
        <v>3511.1</v>
      </c>
      <c r="I982" s="95">
        <v>0</v>
      </c>
      <c r="J982" s="95">
        <v>0</v>
      </c>
      <c r="K982" s="95">
        <v>0</v>
      </c>
      <c r="L982" s="95">
        <v>0</v>
      </c>
      <c r="M982" s="96">
        <v>0</v>
      </c>
      <c r="N982" s="97">
        <v>0</v>
      </c>
      <c r="O982" s="98">
        <v>0</v>
      </c>
      <c r="P982" s="33"/>
      <c r="Q982" s="99" t="s">
        <v>1198</v>
      </c>
      <c r="R982" s="100"/>
      <c r="S982" s="101">
        <v>0</v>
      </c>
      <c r="T982" s="102">
        <v>0</v>
      </c>
      <c r="U982" s="103">
        <v>0</v>
      </c>
      <c r="V982" s="103">
        <v>0</v>
      </c>
      <c r="W982" s="104">
        <v>0</v>
      </c>
      <c r="X982" s="19"/>
      <c r="Y982" s="103">
        <v>0</v>
      </c>
      <c r="Z982" s="103">
        <v>0</v>
      </c>
      <c r="AA982" s="105">
        <v>0</v>
      </c>
      <c r="AB982" s="106">
        <v>0</v>
      </c>
      <c r="AC982" s="105">
        <v>0</v>
      </c>
      <c r="AD982" s="104">
        <v>0</v>
      </c>
      <c r="AE982" s="104">
        <v>0</v>
      </c>
      <c r="AF982" s="107">
        <v>46265</v>
      </c>
    </row>
    <row r="983" spans="1:32" x14ac:dyDescent="0.25">
      <c r="A983" s="90">
        <v>1066</v>
      </c>
      <c r="B983" s="91" t="s">
        <v>1195</v>
      </c>
      <c r="C983" s="29">
        <v>10660026</v>
      </c>
      <c r="D983" s="92" t="s">
        <v>1178</v>
      </c>
      <c r="E983" s="93" t="s">
        <v>275</v>
      </c>
      <c r="F983" s="93" t="s">
        <v>230</v>
      </c>
      <c r="G983" s="109">
        <v>195.99999999999997</v>
      </c>
      <c r="H983" s="109">
        <v>8865.74</v>
      </c>
      <c r="I983" s="95">
        <v>0</v>
      </c>
      <c r="J983" s="95">
        <v>0</v>
      </c>
      <c r="K983" s="95">
        <v>0</v>
      </c>
      <c r="L983" s="95">
        <v>0</v>
      </c>
      <c r="M983" s="96">
        <v>0</v>
      </c>
      <c r="N983" s="97">
        <v>0</v>
      </c>
      <c r="O983" s="98">
        <v>0</v>
      </c>
      <c r="P983" s="33"/>
      <c r="Q983" s="99" t="s">
        <v>1198</v>
      </c>
      <c r="R983" s="100"/>
      <c r="S983" s="101">
        <v>-5.7321780246203805E-3</v>
      </c>
      <c r="T983" s="102">
        <v>7</v>
      </c>
      <c r="U983" s="103">
        <v>0</v>
      </c>
      <c r="V983" s="103">
        <v>0</v>
      </c>
      <c r="W983" s="104">
        <v>0</v>
      </c>
      <c r="X983" s="19"/>
      <c r="Y983" s="103">
        <v>0</v>
      </c>
      <c r="Z983" s="103">
        <v>0</v>
      </c>
      <c r="AA983" s="105">
        <v>0</v>
      </c>
      <c r="AB983" s="106">
        <v>0</v>
      </c>
      <c r="AC983" s="105">
        <v>0</v>
      </c>
      <c r="AD983" s="104">
        <v>0</v>
      </c>
      <c r="AE983" s="104">
        <v>0</v>
      </c>
      <c r="AF983" s="107">
        <v>46265</v>
      </c>
    </row>
    <row r="984" spans="1:32" x14ac:dyDescent="0.25">
      <c r="A984" s="90">
        <v>1066</v>
      </c>
      <c r="B984" s="91" t="s">
        <v>1195</v>
      </c>
      <c r="C984" s="29">
        <v>10660027</v>
      </c>
      <c r="D984" s="92" t="s">
        <v>1179</v>
      </c>
      <c r="E984" s="93" t="s">
        <v>275</v>
      </c>
      <c r="F984" s="93" t="s">
        <v>230</v>
      </c>
      <c r="G984" s="109">
        <v>400.2</v>
      </c>
      <c r="H984" s="109">
        <v>16814.490000000002</v>
      </c>
      <c r="I984" s="95">
        <v>0</v>
      </c>
      <c r="J984" s="95">
        <v>0</v>
      </c>
      <c r="K984" s="95">
        <v>0</v>
      </c>
      <c r="L984" s="95">
        <v>0</v>
      </c>
      <c r="M984" s="96">
        <v>20</v>
      </c>
      <c r="N984" s="97">
        <v>0</v>
      </c>
      <c r="O984" s="98">
        <v>0</v>
      </c>
      <c r="P984" s="33"/>
      <c r="Q984" s="99" t="s">
        <v>1198</v>
      </c>
      <c r="R984" s="100"/>
      <c r="S984" s="101">
        <v>1.2162129211174841E-3</v>
      </c>
      <c r="T984" s="102">
        <v>8</v>
      </c>
      <c r="U984" s="103">
        <v>0</v>
      </c>
      <c r="V984" s="103">
        <v>0</v>
      </c>
      <c r="W984" s="104">
        <v>0</v>
      </c>
      <c r="X984" s="19"/>
      <c r="Y984" s="103">
        <v>0</v>
      </c>
      <c r="Z984" s="103">
        <v>0</v>
      </c>
      <c r="AA984" s="105">
        <v>0</v>
      </c>
      <c r="AB984" s="106">
        <v>0</v>
      </c>
      <c r="AC984" s="105">
        <v>0</v>
      </c>
      <c r="AD984" s="104">
        <v>0</v>
      </c>
      <c r="AE984" s="104">
        <v>0</v>
      </c>
      <c r="AF984" s="107">
        <v>46265</v>
      </c>
    </row>
    <row r="985" spans="1:32" x14ac:dyDescent="0.25">
      <c r="A985" s="90">
        <v>1066</v>
      </c>
      <c r="B985" s="91" t="s">
        <v>1195</v>
      </c>
      <c r="C985" s="29">
        <v>10660028</v>
      </c>
      <c r="D985" s="92" t="s">
        <v>1180</v>
      </c>
      <c r="E985" s="93" t="s">
        <v>275</v>
      </c>
      <c r="F985" s="93" t="s">
        <v>230</v>
      </c>
      <c r="G985" s="109">
        <v>1436.6</v>
      </c>
      <c r="H985" s="109">
        <v>74845.999999999985</v>
      </c>
      <c r="I985" s="95">
        <v>0</v>
      </c>
      <c r="J985" s="95">
        <v>2590</v>
      </c>
      <c r="K985" s="95">
        <v>0</v>
      </c>
      <c r="L985" s="95">
        <v>0</v>
      </c>
      <c r="M985" s="96">
        <v>0</v>
      </c>
      <c r="N985" s="97">
        <v>0</v>
      </c>
      <c r="O985" s="98">
        <v>0</v>
      </c>
      <c r="P985" s="33"/>
      <c r="Q985" s="99" t="s">
        <v>1198</v>
      </c>
      <c r="R985" s="100"/>
      <c r="S985" s="101">
        <v>-7.6223178259363122E-4</v>
      </c>
      <c r="T985" s="102">
        <v>30</v>
      </c>
      <c r="U985" s="103">
        <v>0</v>
      </c>
      <c r="V985" s="103">
        <v>0</v>
      </c>
      <c r="W985" s="104">
        <v>0</v>
      </c>
      <c r="X985" s="19"/>
      <c r="Y985" s="103">
        <v>0</v>
      </c>
      <c r="Z985" s="103">
        <v>0</v>
      </c>
      <c r="AA985" s="105">
        <v>0</v>
      </c>
      <c r="AB985" s="106">
        <v>0</v>
      </c>
      <c r="AC985" s="105">
        <v>0</v>
      </c>
      <c r="AD985" s="104">
        <v>0</v>
      </c>
      <c r="AE985" s="104">
        <v>0</v>
      </c>
      <c r="AF985" s="107">
        <v>46265</v>
      </c>
    </row>
    <row r="986" spans="1:32" x14ac:dyDescent="0.25">
      <c r="A986" s="90">
        <v>1066</v>
      </c>
      <c r="B986" s="91" t="s">
        <v>1195</v>
      </c>
      <c r="C986" s="29">
        <v>10660029</v>
      </c>
      <c r="D986" s="92" t="s">
        <v>1181</v>
      </c>
      <c r="E986" s="93" t="s">
        <v>275</v>
      </c>
      <c r="F986" s="93" t="s">
        <v>230</v>
      </c>
      <c r="G986" s="109">
        <v>360.49999999999994</v>
      </c>
      <c r="H986" s="109">
        <v>16419.68</v>
      </c>
      <c r="I986" s="95">
        <v>0</v>
      </c>
      <c r="J986" s="95">
        <v>0</v>
      </c>
      <c r="K986" s="95">
        <v>0</v>
      </c>
      <c r="L986" s="95">
        <v>0</v>
      </c>
      <c r="M986" s="96">
        <v>0</v>
      </c>
      <c r="N986" s="97">
        <v>0</v>
      </c>
      <c r="O986" s="98">
        <v>0</v>
      </c>
      <c r="P986" s="33"/>
      <c r="Q986" s="99" t="s">
        <v>1198</v>
      </c>
      <c r="R986" s="100"/>
      <c r="S986" s="101">
        <v>-1.6440028063884234E-2</v>
      </c>
      <c r="T986" s="102">
        <v>5</v>
      </c>
      <c r="U986" s="103">
        <v>0</v>
      </c>
      <c r="V986" s="103">
        <v>0</v>
      </c>
      <c r="W986" s="104">
        <v>0</v>
      </c>
      <c r="X986" s="19"/>
      <c r="Y986" s="103">
        <v>0</v>
      </c>
      <c r="Z986" s="103">
        <v>0</v>
      </c>
      <c r="AA986" s="105">
        <v>0</v>
      </c>
      <c r="AB986" s="106">
        <v>0</v>
      </c>
      <c r="AC986" s="105">
        <v>0</v>
      </c>
      <c r="AD986" s="104">
        <v>0</v>
      </c>
      <c r="AE986" s="104">
        <v>0</v>
      </c>
      <c r="AF986" s="107">
        <v>46265</v>
      </c>
    </row>
    <row r="987" spans="1:32" x14ac:dyDescent="0.25">
      <c r="A987" s="90">
        <v>1066</v>
      </c>
      <c r="B987" s="91" t="s">
        <v>1195</v>
      </c>
      <c r="C987" s="29">
        <v>10660030</v>
      </c>
      <c r="D987" s="92" t="s">
        <v>901</v>
      </c>
      <c r="E987" s="93" t="s">
        <v>275</v>
      </c>
      <c r="F987" s="93" t="s">
        <v>231</v>
      </c>
      <c r="G987" s="109">
        <v>12</v>
      </c>
      <c r="H987" s="109">
        <v>495.36</v>
      </c>
      <c r="I987" s="95">
        <v>0</v>
      </c>
      <c r="J987" s="95">
        <v>0</v>
      </c>
      <c r="K987" s="95">
        <v>0</v>
      </c>
      <c r="L987" s="95">
        <v>0</v>
      </c>
      <c r="M987" s="96">
        <v>0</v>
      </c>
      <c r="N987" s="97">
        <v>0</v>
      </c>
      <c r="O987" s="98">
        <v>0</v>
      </c>
      <c r="P987" s="33"/>
      <c r="Q987" s="99" t="s">
        <v>1198</v>
      </c>
      <c r="R987" s="100"/>
      <c r="S987" s="101">
        <v>0</v>
      </c>
      <c r="T987" s="102">
        <v>0</v>
      </c>
      <c r="U987" s="103">
        <v>0</v>
      </c>
      <c r="V987" s="103">
        <v>0</v>
      </c>
      <c r="W987" s="104">
        <v>0</v>
      </c>
      <c r="X987" s="19"/>
      <c r="Y987" s="103">
        <v>0</v>
      </c>
      <c r="Z987" s="103">
        <v>0</v>
      </c>
      <c r="AA987" s="105">
        <v>0</v>
      </c>
      <c r="AB987" s="106">
        <v>0</v>
      </c>
      <c r="AC987" s="105">
        <v>0</v>
      </c>
      <c r="AD987" s="104">
        <v>0</v>
      </c>
      <c r="AE987" s="104">
        <v>0</v>
      </c>
      <c r="AF987" s="107">
        <v>46265</v>
      </c>
    </row>
    <row r="988" spans="1:32" x14ac:dyDescent="0.25">
      <c r="A988" s="90">
        <v>1066</v>
      </c>
      <c r="B988" s="91" t="s">
        <v>1195</v>
      </c>
      <c r="C988" s="29">
        <v>10660032</v>
      </c>
      <c r="D988" s="92" t="s">
        <v>1169</v>
      </c>
      <c r="E988" s="93" t="s">
        <v>275</v>
      </c>
      <c r="F988" s="93" t="s">
        <v>231</v>
      </c>
      <c r="G988" s="109">
        <v>78.099999999999994</v>
      </c>
      <c r="H988" s="109">
        <v>3736.87</v>
      </c>
      <c r="I988" s="95">
        <v>0</v>
      </c>
      <c r="J988" s="95">
        <v>0</v>
      </c>
      <c r="K988" s="95">
        <v>0</v>
      </c>
      <c r="L988" s="95">
        <v>0</v>
      </c>
      <c r="M988" s="96">
        <v>0</v>
      </c>
      <c r="N988" s="97">
        <v>0</v>
      </c>
      <c r="O988" s="98">
        <v>0</v>
      </c>
      <c r="P988" s="33"/>
      <c r="Q988" s="99" t="s">
        <v>1198</v>
      </c>
      <c r="R988" s="100"/>
      <c r="S988" s="101">
        <v>0</v>
      </c>
      <c r="T988" s="102">
        <v>0</v>
      </c>
      <c r="U988" s="103">
        <v>0</v>
      </c>
      <c r="V988" s="103">
        <v>0</v>
      </c>
      <c r="W988" s="104">
        <v>0</v>
      </c>
      <c r="X988" s="19"/>
      <c r="Y988" s="103">
        <v>0</v>
      </c>
      <c r="Z988" s="103">
        <v>0</v>
      </c>
      <c r="AA988" s="105">
        <v>0</v>
      </c>
      <c r="AB988" s="106">
        <v>0</v>
      </c>
      <c r="AC988" s="105">
        <v>0</v>
      </c>
      <c r="AD988" s="104">
        <v>0</v>
      </c>
      <c r="AE988" s="104">
        <v>0</v>
      </c>
      <c r="AF988" s="107">
        <v>46265</v>
      </c>
    </row>
    <row r="989" spans="1:32" x14ac:dyDescent="0.25">
      <c r="A989" s="90">
        <v>1066</v>
      </c>
      <c r="B989" s="91" t="s">
        <v>1195</v>
      </c>
      <c r="C989" s="29">
        <v>10660034</v>
      </c>
      <c r="D989" s="92" t="s">
        <v>1182</v>
      </c>
      <c r="E989" s="93" t="s">
        <v>275</v>
      </c>
      <c r="F989" s="93" t="s">
        <v>230</v>
      </c>
      <c r="G989" s="109">
        <v>211.70000000000002</v>
      </c>
      <c r="H989" s="109">
        <v>11274.73</v>
      </c>
      <c r="I989" s="95">
        <v>0</v>
      </c>
      <c r="J989" s="95">
        <v>0</v>
      </c>
      <c r="K989" s="95">
        <v>0</v>
      </c>
      <c r="L989" s="95">
        <v>0</v>
      </c>
      <c r="M989" s="96">
        <v>0</v>
      </c>
      <c r="N989" s="97">
        <v>0</v>
      </c>
      <c r="O989" s="98">
        <v>0</v>
      </c>
      <c r="P989" s="33"/>
      <c r="Q989" s="99" t="s">
        <v>1198</v>
      </c>
      <c r="R989" s="100"/>
      <c r="S989" s="101">
        <v>-2.2479474009577075E-2</v>
      </c>
      <c r="T989" s="102">
        <v>5</v>
      </c>
      <c r="U989" s="103">
        <v>0</v>
      </c>
      <c r="V989" s="103">
        <v>0</v>
      </c>
      <c r="W989" s="104">
        <v>0</v>
      </c>
      <c r="X989" s="19"/>
      <c r="Y989" s="103">
        <v>0</v>
      </c>
      <c r="Z989" s="103">
        <v>0</v>
      </c>
      <c r="AA989" s="105">
        <v>0</v>
      </c>
      <c r="AB989" s="106">
        <v>0</v>
      </c>
      <c r="AC989" s="105">
        <v>0</v>
      </c>
      <c r="AD989" s="104">
        <v>0</v>
      </c>
      <c r="AE989" s="104">
        <v>0</v>
      </c>
      <c r="AF989" s="107">
        <v>46265</v>
      </c>
    </row>
    <row r="990" spans="1:32" x14ac:dyDescent="0.25">
      <c r="A990" s="90">
        <v>1066</v>
      </c>
      <c r="B990" s="91" t="s">
        <v>1195</v>
      </c>
      <c r="C990" s="29">
        <v>10660037</v>
      </c>
      <c r="D990" s="92" t="s">
        <v>1183</v>
      </c>
      <c r="E990" s="93" t="s">
        <v>275</v>
      </c>
      <c r="F990" s="93" t="s">
        <v>231</v>
      </c>
      <c r="G990" s="109">
        <v>189.39999999999998</v>
      </c>
      <c r="H990" s="109">
        <v>7357.35</v>
      </c>
      <c r="I990" s="95">
        <v>0</v>
      </c>
      <c r="J990" s="95">
        <v>0</v>
      </c>
      <c r="K990" s="95">
        <v>0</v>
      </c>
      <c r="L990" s="95">
        <v>0</v>
      </c>
      <c r="M990" s="96">
        <v>0</v>
      </c>
      <c r="N990" s="97">
        <v>0</v>
      </c>
      <c r="O990" s="98">
        <v>0</v>
      </c>
      <c r="P990" s="33"/>
      <c r="Q990" s="99" t="s">
        <v>1198</v>
      </c>
      <c r="R990" s="100"/>
      <c r="S990" s="101">
        <v>0</v>
      </c>
      <c r="T990" s="102">
        <v>0</v>
      </c>
      <c r="U990" s="103">
        <v>0</v>
      </c>
      <c r="V990" s="103">
        <v>0</v>
      </c>
      <c r="W990" s="104">
        <v>0</v>
      </c>
      <c r="X990" s="19"/>
      <c r="Y990" s="103">
        <v>0</v>
      </c>
      <c r="Z990" s="103">
        <v>0</v>
      </c>
      <c r="AA990" s="105">
        <v>0</v>
      </c>
      <c r="AB990" s="106">
        <v>0</v>
      </c>
      <c r="AC990" s="105">
        <v>0</v>
      </c>
      <c r="AD990" s="104">
        <v>0</v>
      </c>
      <c r="AE990" s="104">
        <v>0</v>
      </c>
      <c r="AF990" s="107">
        <v>46265</v>
      </c>
    </row>
    <row r="991" spans="1:32" x14ac:dyDescent="0.25">
      <c r="A991" s="118"/>
      <c r="B991" s="119"/>
      <c r="C991" s="118"/>
      <c r="D991" s="118"/>
      <c r="E991" s="118" t="s">
        <v>1184</v>
      </c>
      <c r="F991" s="118">
        <v>989</v>
      </c>
      <c r="G991" s="120">
        <v>903970.66000000096</v>
      </c>
      <c r="H991" s="120">
        <v>37453769.149999991</v>
      </c>
      <c r="I991" s="121">
        <v>62577</v>
      </c>
      <c r="J991" s="121">
        <v>610617.30000000005</v>
      </c>
      <c r="K991" s="121">
        <v>29703</v>
      </c>
      <c r="L991" s="121">
        <v>0</v>
      </c>
      <c r="M991" s="121">
        <v>64608</v>
      </c>
      <c r="N991" s="97">
        <v>8</v>
      </c>
      <c r="O991" s="121">
        <v>25031</v>
      </c>
      <c r="P991" s="29"/>
      <c r="Q991" s="19"/>
      <c r="R991" s="84"/>
      <c r="S991" s="122"/>
      <c r="T991" s="123">
        <v>6167</v>
      </c>
      <c r="U991" s="104">
        <v>195544.89999999997</v>
      </c>
      <c r="V991" s="104">
        <v>90042</v>
      </c>
      <c r="W991" s="104">
        <v>105502.9</v>
      </c>
      <c r="X991" s="19"/>
      <c r="Y991" s="103">
        <v>32500</v>
      </c>
      <c r="Z991" s="103">
        <v>0</v>
      </c>
      <c r="AA991" s="124">
        <v>0</v>
      </c>
      <c r="AB991" s="103">
        <v>32500</v>
      </c>
      <c r="AC991" s="103">
        <v>30306</v>
      </c>
      <c r="AD991" s="103">
        <v>-2194</v>
      </c>
      <c r="AE991" s="103">
        <v>-14492</v>
      </c>
      <c r="AF991" s="19"/>
    </row>
  </sheetData>
  <conditionalFormatting sqref="C2:C990">
    <cfRule type="duplicateValues" dxfId="11" priority="11"/>
  </conditionalFormatting>
  <conditionalFormatting sqref="C3">
    <cfRule type="duplicateValues" dxfId="10" priority="3"/>
  </conditionalFormatting>
  <conditionalFormatting sqref="C4:C990">
    <cfRule type="duplicateValues" dxfId="9" priority="12"/>
    <cfRule type="duplicateValues" dxfId="8" priority="13"/>
  </conditionalFormatting>
  <conditionalFormatting sqref="C991 C1">
    <cfRule type="duplicateValues" dxfId="7" priority="10" stopIfTrue="1"/>
  </conditionalFormatting>
  <conditionalFormatting sqref="D991">
    <cfRule type="duplicateValues" dxfId="6" priority="8" stopIfTrue="1"/>
  </conditionalFormatting>
  <conditionalFormatting sqref="E991">
    <cfRule type="duplicateValues" dxfId="5" priority="7" stopIfTrue="1"/>
  </conditionalFormatting>
  <conditionalFormatting sqref="F2:F990">
    <cfRule type="containsText" dxfId="4" priority="2" operator="containsText" text="Indirect">
      <formula>NOT(ISERROR(SEARCH("Indirect",F2)))</formula>
    </cfRule>
  </conditionalFormatting>
  <conditionalFormatting sqref="F991">
    <cfRule type="duplicateValues" dxfId="3" priority="6" stopIfTrue="1"/>
  </conditionalFormatting>
  <conditionalFormatting sqref="G991">
    <cfRule type="duplicateValues" dxfId="2" priority="5" stopIfTrue="1"/>
  </conditionalFormatting>
  <conditionalFormatting sqref="H991">
    <cfRule type="duplicateValues" dxfId="1" priority="4" stopIfTrue="1"/>
  </conditionalFormatting>
  <conditionalFormatting sqref="M2:M990 AD2:AE990">
    <cfRule type="cellIs" dxfId="0" priority="9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Indent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2026-08-08T03:55:29Z</dcterms:created>
  <dcterms:modified xsi:type="dcterms:W3CDTF">2026-08-14T08:44:11Z</dcterms:modified>
</cp:coreProperties>
</file>